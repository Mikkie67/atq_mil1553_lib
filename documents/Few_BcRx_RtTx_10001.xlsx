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Projects\mil1553_lib\documents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5" i="1" l="1"/>
  <c r="AE5" i="1"/>
  <c r="AF4" i="1"/>
  <c r="AE4" i="1"/>
  <c r="AF3" i="1"/>
  <c r="AE3" i="1"/>
  <c r="AF2" i="1"/>
  <c r="AE2" i="1"/>
</calcChain>
</file>

<file path=xl/sharedStrings.xml><?xml version="1.0" encoding="utf-8"?>
<sst xmlns="http://schemas.openxmlformats.org/spreadsheetml/2006/main" count="131" uniqueCount="39">
  <si>
    <t>Tests cases</t>
  </si>
  <si>
    <t>Hex</t>
  </si>
  <si>
    <t>Bin</t>
  </si>
  <si>
    <t>Command Type</t>
  </si>
  <si>
    <t>RT ADDR =</t>
  </si>
  <si>
    <t>Tx</t>
  </si>
  <si>
    <t>Mode/SubAddr</t>
  </si>
  <si>
    <t>Len/Cmd</t>
  </si>
  <si>
    <t>Mode/Data</t>
  </si>
  <si>
    <t>ModeValid</t>
  </si>
  <si>
    <t>MODE CMD</t>
  </si>
  <si>
    <t>Concat</t>
  </si>
  <si>
    <t>0</t>
  </si>
  <si>
    <t>1</t>
  </si>
  <si>
    <t>00001</t>
  </si>
  <si>
    <t xml:space="preserve"> TX</t>
  </si>
  <si>
    <t xml:space="preserve"> DATA LEN = 00001</t>
  </si>
  <si>
    <t>VALID</t>
  </si>
  <si>
    <t>00011</t>
  </si>
  <si>
    <t xml:space="preserve"> DATA LEN = 00011</t>
  </si>
  <si>
    <t>Synchronize</t>
  </si>
  <si>
    <t>0100001</t>
  </si>
  <si>
    <t>Initiate Self Test</t>
  </si>
  <si>
    <t>0100011</t>
  </si>
  <si>
    <t>RT ADDR = 10001 TX DATA LEN = 00001</t>
  </si>
  <si>
    <t>10001</t>
  </si>
  <si>
    <t>RT ADDR = 10001 TX DATA LEN = 00011</t>
  </si>
  <si>
    <t>8C21</t>
  </si>
  <si>
    <t>1000110000100001</t>
  </si>
  <si>
    <t>8C23</t>
  </si>
  <si>
    <t>1000110000100011</t>
  </si>
  <si>
    <t>8C61</t>
  </si>
  <si>
    <t>1000110001100001</t>
  </si>
  <si>
    <t>8C63</t>
  </si>
  <si>
    <t>1000110001100011</t>
  </si>
  <si>
    <t>RT1 Rep</t>
  </si>
  <si>
    <t>RT2 Rep</t>
  </si>
  <si>
    <t>BC Rep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</si>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</sst>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2" borderId="0" xfId="1" applyFont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3" borderId="0" xfId="0" applyFill="1" applyBorder="1" applyAlignment="1">
      <alignment horizontal="center"/>
    </xf>
    <xf numFmtId="0" fontId="1" fillId="2" borderId="0" xfId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0" borderId="0" xfId="0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tabSelected="1" workbookViewId="0">
      <selection activeCell="A6" sqref="A6:XFD140"/>
    </sheetView>
  </sheetViews>
  <sheetFormatPr defaultRowHeight="15" x14ac:dyDescent="0.25"/>
  <cols>
    <col min="1" max="1" width="10.7109375" bestFit="1" customWidth="1"/>
    <col min="2" max="2" width="5.140625" bestFit="1" customWidth="1"/>
    <col min="3" max="3" width="17.28515625" bestFit="1" customWidth="1"/>
    <col min="4" max="12" width="2" bestFit="1" customWidth="1"/>
    <col min="13" max="19" width="3" bestFit="1" customWidth="1"/>
    <col min="20" max="20" width="34.7109375" bestFit="1" customWidth="1"/>
    <col min="21" max="21" width="6" bestFit="1" customWidth="1"/>
    <col min="22" max="22" width="10" bestFit="1" customWidth="1"/>
    <col min="23" max="23" width="3.5703125" bestFit="1" customWidth="1"/>
    <col min="24" max="24" width="14.85546875" bestFit="1" customWidth="1"/>
    <col min="25" max="25" width="9" bestFit="1" customWidth="1"/>
    <col min="26" max="26" width="17" bestFit="1" customWidth="1"/>
    <col min="27" max="27" width="10.85546875" bestFit="1" customWidth="1"/>
    <col min="28" max="28" width="15.5703125" bestFit="1" customWidth="1"/>
    <col min="29" max="29" width="8" bestFit="1" customWidth="1"/>
  </cols>
  <sheetData>
    <row r="1" spans="1:33" s="7" customFormat="1" x14ac:dyDescent="0.25">
      <c r="A1" s="1" t="s">
        <v>0</v>
      </c>
      <c r="B1" s="1" t="s">
        <v>1</v>
      </c>
      <c r="C1" s="1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3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6" t="s">
        <v>3</v>
      </c>
      <c r="U1" s="6"/>
      <c r="V1" s="6" t="s">
        <v>4</v>
      </c>
      <c r="W1" s="6" t="s">
        <v>5</v>
      </c>
      <c r="X1" s="6" t="s">
        <v>6</v>
      </c>
      <c r="Y1" s="6" t="s">
        <v>7</v>
      </c>
      <c r="Z1" s="6" t="s">
        <v>8</v>
      </c>
      <c r="AA1" s="7" t="s">
        <v>9</v>
      </c>
      <c r="AB1" s="7" t="s">
        <v>10</v>
      </c>
      <c r="AC1" s="7" t="s">
        <v>11</v>
      </c>
      <c r="AE1" s="7" t="s">
        <v>35</v>
      </c>
      <c r="AF1" s="7" t="s">
        <v>36</v>
      </c>
      <c r="AG1" s="7" t="s">
        <v>37</v>
      </c>
    </row>
    <row r="2" spans="1:33" x14ac:dyDescent="0.25">
      <c r="A2" s="8">
        <v>35873</v>
      </c>
      <c r="B2" s="8" t="s">
        <v>27</v>
      </c>
      <c r="C2" s="8" t="s">
        <v>28</v>
      </c>
      <c r="D2" s="9" t="s">
        <v>13</v>
      </c>
      <c r="E2" s="9" t="s">
        <v>12</v>
      </c>
      <c r="F2" s="9" t="s">
        <v>12</v>
      </c>
      <c r="G2" s="9" t="s">
        <v>12</v>
      </c>
      <c r="H2" s="9" t="s">
        <v>13</v>
      </c>
      <c r="I2" s="10" t="s">
        <v>13</v>
      </c>
      <c r="J2" s="11" t="s">
        <v>12</v>
      </c>
      <c r="K2" s="11" t="s">
        <v>12</v>
      </c>
      <c r="L2" s="11" t="s">
        <v>12</v>
      </c>
      <c r="M2" s="11" t="s">
        <v>12</v>
      </c>
      <c r="N2" s="11" t="s">
        <v>13</v>
      </c>
      <c r="O2" s="12" t="s">
        <v>12</v>
      </c>
      <c r="P2" s="12" t="s">
        <v>12</v>
      </c>
      <c r="Q2" s="12" t="s">
        <v>12</v>
      </c>
      <c r="R2" s="12" t="s">
        <v>12</v>
      </c>
      <c r="S2" s="12" t="s">
        <v>13</v>
      </c>
      <c r="T2" s="13" t="s">
        <v>24</v>
      </c>
      <c r="U2" s="12" t="s">
        <v>25</v>
      </c>
      <c r="V2" s="14" t="s">
        <v>25</v>
      </c>
      <c r="W2" s="15" t="s">
        <v>15</v>
      </c>
      <c r="X2" s="14" t="s">
        <v>14</v>
      </c>
      <c r="Y2" s="14" t="s">
        <v>14</v>
      </c>
      <c r="Z2" s="14" t="s">
        <v>16</v>
      </c>
      <c r="AA2" t="s">
        <v>17</v>
      </c>
      <c r="AB2" t="s">
        <v>20</v>
      </c>
      <c r="AC2" t="s">
        <v>21</v>
      </c>
      <c r="AE2" t="str">
        <f t="shared" ref="AE2:AF5" si="0">IF(OR($V2="10001",$V2="10010"),IF($Z2=" MODE - ",IF($AB2="Invalid","NRP",IF(OR($V2="10001",$V2="10010"),"CS","NRP")),IF(OR($V2="10001",$V2="10010"),"DAT","NRP")),IF(AND($I2="0",$X2&lt;&gt;"00000",$X2&lt;&gt;"11111"),"DATNRP","NRP"))</f>
        <v>DAT</v>
      </c>
      <c r="AF2" t="str">
        <f t="shared" si="0"/>
        <v>DAT</v>
      </c>
      <c r="AG2" t="s">
        <v>38</v>
      </c>
    </row>
    <row r="3" spans="1:33" x14ac:dyDescent="0.25">
      <c r="A3" s="8">
        <v>35875</v>
      </c>
      <c r="B3" s="8" t="s">
        <v>29</v>
      </c>
      <c r="C3" s="8" t="s">
        <v>30</v>
      </c>
      <c r="D3" s="9" t="s">
        <v>13</v>
      </c>
      <c r="E3" s="9" t="s">
        <v>12</v>
      </c>
      <c r="F3" s="9" t="s">
        <v>12</v>
      </c>
      <c r="G3" s="9" t="s">
        <v>12</v>
      </c>
      <c r="H3" s="9" t="s">
        <v>13</v>
      </c>
      <c r="I3" s="10" t="s">
        <v>13</v>
      </c>
      <c r="J3" s="11" t="s">
        <v>12</v>
      </c>
      <c r="K3" s="11" t="s">
        <v>12</v>
      </c>
      <c r="L3" s="11" t="s">
        <v>12</v>
      </c>
      <c r="M3" s="11" t="s">
        <v>12</v>
      </c>
      <c r="N3" s="11" t="s">
        <v>13</v>
      </c>
      <c r="O3" s="12" t="s">
        <v>12</v>
      </c>
      <c r="P3" s="12" t="s">
        <v>12</v>
      </c>
      <c r="Q3" s="12" t="s">
        <v>12</v>
      </c>
      <c r="R3" s="12" t="s">
        <v>13</v>
      </c>
      <c r="S3" s="12" t="s">
        <v>13</v>
      </c>
      <c r="T3" s="13" t="s">
        <v>26</v>
      </c>
      <c r="U3" s="12" t="s">
        <v>25</v>
      </c>
      <c r="V3" s="14" t="s">
        <v>25</v>
      </c>
      <c r="W3" s="15" t="s">
        <v>15</v>
      </c>
      <c r="X3" s="14" t="s">
        <v>14</v>
      </c>
      <c r="Y3" s="14" t="s">
        <v>18</v>
      </c>
      <c r="Z3" s="14" t="s">
        <v>19</v>
      </c>
      <c r="AA3" t="s">
        <v>17</v>
      </c>
      <c r="AB3" t="s">
        <v>22</v>
      </c>
      <c r="AC3" t="s">
        <v>23</v>
      </c>
      <c r="AE3" t="str">
        <f t="shared" si="0"/>
        <v>DAT</v>
      </c>
      <c r="AF3" t="str">
        <f t="shared" si="0"/>
        <v>DAT</v>
      </c>
      <c r="AG3" t="s">
        <v>38</v>
      </c>
    </row>
    <row r="4" spans="1:33" x14ac:dyDescent="0.25">
      <c r="A4" s="8">
        <v>35937</v>
      </c>
      <c r="B4" s="8" t="s">
        <v>31</v>
      </c>
      <c r="C4" s="8" t="s">
        <v>32</v>
      </c>
      <c r="D4" s="9" t="s">
        <v>13</v>
      </c>
      <c r="E4" s="9" t="s">
        <v>12</v>
      </c>
      <c r="F4" s="9" t="s">
        <v>12</v>
      </c>
      <c r="G4" s="9" t="s">
        <v>12</v>
      </c>
      <c r="H4" s="9" t="s">
        <v>13</v>
      </c>
      <c r="I4" s="10" t="s">
        <v>13</v>
      </c>
      <c r="J4" s="11" t="s">
        <v>12</v>
      </c>
      <c r="K4" s="11" t="s">
        <v>12</v>
      </c>
      <c r="L4" s="11" t="s">
        <v>12</v>
      </c>
      <c r="M4" s="11" t="s">
        <v>13</v>
      </c>
      <c r="N4" s="11" t="s">
        <v>13</v>
      </c>
      <c r="O4" s="12" t="s">
        <v>12</v>
      </c>
      <c r="P4" s="12" t="s">
        <v>12</v>
      </c>
      <c r="Q4" s="12" t="s">
        <v>12</v>
      </c>
      <c r="R4" s="12" t="s">
        <v>12</v>
      </c>
      <c r="S4" s="12" t="s">
        <v>13</v>
      </c>
      <c r="T4" s="13" t="s">
        <v>24</v>
      </c>
      <c r="U4" s="12" t="s">
        <v>25</v>
      </c>
      <c r="V4" s="14" t="s">
        <v>25</v>
      </c>
      <c r="W4" s="15" t="s">
        <v>15</v>
      </c>
      <c r="X4" s="14" t="s">
        <v>18</v>
      </c>
      <c r="Y4" s="14" t="s">
        <v>14</v>
      </c>
      <c r="Z4" s="14" t="s">
        <v>16</v>
      </c>
      <c r="AA4" t="s">
        <v>17</v>
      </c>
      <c r="AB4" t="s">
        <v>20</v>
      </c>
      <c r="AC4" t="s">
        <v>21</v>
      </c>
      <c r="AE4" t="str">
        <f t="shared" si="0"/>
        <v>DAT</v>
      </c>
      <c r="AF4" t="str">
        <f t="shared" si="0"/>
        <v>DAT</v>
      </c>
      <c r="AG4" t="s">
        <v>38</v>
      </c>
    </row>
    <row r="5" spans="1:33" x14ac:dyDescent="0.25">
      <c r="A5" s="8">
        <v>35939</v>
      </c>
      <c r="B5" s="8" t="s">
        <v>33</v>
      </c>
      <c r="C5" s="8" t="s">
        <v>34</v>
      </c>
      <c r="D5" s="9" t="s">
        <v>13</v>
      </c>
      <c r="E5" s="9" t="s">
        <v>12</v>
      </c>
      <c r="F5" s="9" t="s">
        <v>12</v>
      </c>
      <c r="G5" s="9" t="s">
        <v>12</v>
      </c>
      <c r="H5" s="9" t="s">
        <v>13</v>
      </c>
      <c r="I5" s="10" t="s">
        <v>13</v>
      </c>
      <c r="J5" s="11" t="s">
        <v>12</v>
      </c>
      <c r="K5" s="11" t="s">
        <v>12</v>
      </c>
      <c r="L5" s="11" t="s">
        <v>12</v>
      </c>
      <c r="M5" s="11" t="s">
        <v>13</v>
      </c>
      <c r="N5" s="11" t="s">
        <v>13</v>
      </c>
      <c r="O5" s="12" t="s">
        <v>12</v>
      </c>
      <c r="P5" s="12" t="s">
        <v>12</v>
      </c>
      <c r="Q5" s="12" t="s">
        <v>12</v>
      </c>
      <c r="R5" s="12" t="s">
        <v>13</v>
      </c>
      <c r="S5" s="12" t="s">
        <v>13</v>
      </c>
      <c r="T5" s="13" t="s">
        <v>26</v>
      </c>
      <c r="U5" s="12" t="s">
        <v>25</v>
      </c>
      <c r="V5" s="14" t="s">
        <v>25</v>
      </c>
      <c r="W5" s="15" t="s">
        <v>15</v>
      </c>
      <c r="X5" s="14" t="s">
        <v>18</v>
      </c>
      <c r="Y5" s="14" t="s">
        <v>18</v>
      </c>
      <c r="Z5" s="14" t="s">
        <v>19</v>
      </c>
      <c r="AA5" t="s">
        <v>17</v>
      </c>
      <c r="AB5" t="s">
        <v>22</v>
      </c>
      <c r="AC5" t="s">
        <v>23</v>
      </c>
      <c r="AE5" t="str">
        <f t="shared" si="0"/>
        <v>DAT</v>
      </c>
      <c r="AF5" t="str">
        <f t="shared" si="0"/>
        <v>DAT</v>
      </c>
      <c r="AG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Ferraris</dc:creator>
  <cp:lastModifiedBy>Steven Ferraris</cp:lastModifiedBy>
  <dcterms:created xsi:type="dcterms:W3CDTF">2022-07-23T12:27:55Z</dcterms:created>
  <dcterms:modified xsi:type="dcterms:W3CDTF">2022-07-23T12:45:23Z</dcterms:modified>
</cp:coreProperties>
</file>