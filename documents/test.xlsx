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_Projects\mil1553_lib\documents\"/>
    </mc:Choice>
  </mc:AlternateContent>
  <bookViews>
    <workbookView xWindow="0" yWindow="0" windowWidth="7350" windowHeight="4785" firstSheet="2" activeTab="4"/>
  </bookViews>
  <sheets>
    <sheet name="MIL-STD_1553_Registers" sheetId="2" r:id="rId1"/>
    <sheet name="Mode Commands" sheetId="19" r:id="rId2"/>
    <sheet name="MemoryMap" sheetId="18" r:id="rId3"/>
    <sheet name="TX RAM Allocation" sheetId="17" r:id="rId4"/>
    <sheet name="Test Cases" sheetId="20" r:id="rId5"/>
    <sheet name="ModeCmds" sheetId="21" r:id="rId6"/>
  </sheets>
  <definedNames>
    <definedName name="_xlnm.Print_Area" localSheetId="0">'MIL-STD_1553_Registers'!$A$1:$Y$60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99" i="21" l="1"/>
  <c r="A100" i="21" s="1"/>
  <c r="D100" i="21" s="1"/>
  <c r="E100" i="21" s="1"/>
  <c r="D98" i="21"/>
  <c r="E98" i="21" s="1"/>
  <c r="A67" i="21"/>
  <c r="A68" i="21" s="1"/>
  <c r="D66" i="21"/>
  <c r="E66" i="21" s="1"/>
  <c r="A35" i="21"/>
  <c r="D35" i="21" s="1"/>
  <c r="E35" i="21" s="1"/>
  <c r="D34" i="21"/>
  <c r="E34" i="21" s="1"/>
  <c r="D2" i="21"/>
  <c r="E2" i="21" s="1"/>
  <c r="A3" i="21"/>
  <c r="D3" i="21" s="1"/>
  <c r="E3" i="21" s="1"/>
  <c r="E34" i="19"/>
  <c r="E39" i="19"/>
  <c r="E40" i="19"/>
  <c r="E41" i="19"/>
  <c r="E42" i="19"/>
  <c r="E18" i="19"/>
  <c r="E19" i="19"/>
  <c r="E20" i="19"/>
  <c r="E21" i="19"/>
  <c r="E22" i="19"/>
  <c r="E31" i="19"/>
  <c r="E32" i="19"/>
  <c r="E33" i="19"/>
  <c r="E50" i="19"/>
  <c r="E59" i="19"/>
  <c r="E60" i="19"/>
  <c r="E61" i="19"/>
  <c r="E62" i="19"/>
  <c r="E2" i="19"/>
  <c r="C51" i="19"/>
  <c r="C52" i="19" s="1"/>
  <c r="C53" i="19" s="1"/>
  <c r="C54" i="19" s="1"/>
  <c r="C55" i="19" s="1"/>
  <c r="C56" i="19" s="1"/>
  <c r="C57" i="19" s="1"/>
  <c r="C58" i="19" s="1"/>
  <c r="C59" i="19" s="1"/>
  <c r="C60" i="19" s="1"/>
  <c r="C61" i="19" s="1"/>
  <c r="C62" i="19" s="1"/>
  <c r="C63" i="19" s="1"/>
  <c r="C64" i="19" s="1"/>
  <c r="C65" i="19" s="1"/>
  <c r="E65" i="19" s="1"/>
  <c r="C19" i="19"/>
  <c r="C20" i="19" s="1"/>
  <c r="C21" i="19" s="1"/>
  <c r="C22" i="19" s="1"/>
  <c r="C23" i="19" s="1"/>
  <c r="C24" i="19" s="1"/>
  <c r="C25" i="19" s="1"/>
  <c r="C26" i="19" s="1"/>
  <c r="C27" i="19" s="1"/>
  <c r="C28" i="19" s="1"/>
  <c r="C29" i="19" s="1"/>
  <c r="C30" i="19" s="1"/>
  <c r="C31" i="19" s="1"/>
  <c r="C32" i="19" s="1"/>
  <c r="C33" i="19" s="1"/>
  <c r="C35" i="19"/>
  <c r="C36" i="19" s="1"/>
  <c r="C37" i="19" s="1"/>
  <c r="C38" i="19" s="1"/>
  <c r="C39" i="19" s="1"/>
  <c r="C40" i="19" s="1"/>
  <c r="C41" i="19" s="1"/>
  <c r="C42" i="19" s="1"/>
  <c r="C43" i="19" s="1"/>
  <c r="C44" i="19" s="1"/>
  <c r="C45" i="19" s="1"/>
  <c r="C46" i="19" s="1"/>
  <c r="C47" i="19" s="1"/>
  <c r="C48" i="19" s="1"/>
  <c r="C49" i="19" s="1"/>
  <c r="E49" i="19" s="1"/>
  <c r="C3" i="19"/>
  <c r="E3" i="19" s="1"/>
  <c r="A4" i="21" l="1"/>
  <c r="A5" i="21" s="1"/>
  <c r="A6" i="21" s="1"/>
  <c r="A7" i="21" s="1"/>
  <c r="A8" i="21" s="1"/>
  <c r="A9" i="21" s="1"/>
  <c r="A10" i="21" s="1"/>
  <c r="A11" i="21" s="1"/>
  <c r="A12" i="21" s="1"/>
  <c r="A13" i="21" s="1"/>
  <c r="A14" i="21" s="1"/>
  <c r="A15" i="21" s="1"/>
  <c r="A16" i="21" s="1"/>
  <c r="A17" i="21" s="1"/>
  <c r="D67" i="21"/>
  <c r="E67" i="21" s="1"/>
  <c r="D5" i="21"/>
  <c r="E5" i="21" s="1"/>
  <c r="A69" i="21"/>
  <c r="D69" i="21" s="1"/>
  <c r="E69" i="21" s="1"/>
  <c r="D68" i="21"/>
  <c r="E68" i="21" s="1"/>
  <c r="D10" i="21"/>
  <c r="E10" i="21" s="1"/>
  <c r="D9" i="21"/>
  <c r="E9" i="21" s="1"/>
  <c r="D8" i="21"/>
  <c r="E8" i="21" s="1"/>
  <c r="D11" i="21"/>
  <c r="E11" i="21" s="1"/>
  <c r="D7" i="21"/>
  <c r="E7" i="21" s="1"/>
  <c r="D16" i="21"/>
  <c r="E16" i="21" s="1"/>
  <c r="A101" i="21"/>
  <c r="A70" i="21"/>
  <c r="D99" i="21"/>
  <c r="E99" i="21" s="1"/>
  <c r="A36" i="21"/>
  <c r="C4" i="19"/>
  <c r="E38" i="19"/>
  <c r="E30" i="19"/>
  <c r="E29" i="19"/>
  <c r="E37" i="19"/>
  <c r="E58" i="19"/>
  <c r="E56" i="19"/>
  <c r="E28" i="19"/>
  <c r="E48" i="19"/>
  <c r="E36" i="19"/>
  <c r="E27" i="19"/>
  <c r="E47" i="19"/>
  <c r="E35" i="19"/>
  <c r="E25" i="19"/>
  <c r="E45" i="19"/>
  <c r="E57" i="19"/>
  <c r="E55" i="19"/>
  <c r="E26" i="19"/>
  <c r="E64" i="19"/>
  <c r="E52" i="19"/>
  <c r="E24" i="19"/>
  <c r="E44" i="19"/>
  <c r="E54" i="19"/>
  <c r="E46" i="19"/>
  <c r="E53" i="19"/>
  <c r="E63" i="19"/>
  <c r="E51" i="19"/>
  <c r="E23" i="19"/>
  <c r="E43" i="19"/>
  <c r="V50" i="2"/>
  <c r="W50" i="2"/>
  <c r="X50" i="2"/>
  <c r="Y50" i="2"/>
  <c r="V51" i="2"/>
  <c r="W51" i="2"/>
  <c r="X51" i="2"/>
  <c r="Y51" i="2"/>
  <c r="V52" i="2"/>
  <c r="W52" i="2"/>
  <c r="X52" i="2"/>
  <c r="Y52" i="2"/>
  <c r="V53" i="2"/>
  <c r="W53" i="2"/>
  <c r="X53" i="2"/>
  <c r="Y53" i="2"/>
  <c r="C52" i="2"/>
  <c r="C53" i="2"/>
  <c r="C51" i="2"/>
  <c r="C50" i="2"/>
  <c r="B52" i="2"/>
  <c r="B53" i="2" s="1"/>
  <c r="B51" i="2"/>
  <c r="B50" i="2"/>
  <c r="D13" i="21" l="1"/>
  <c r="E13" i="21" s="1"/>
  <c r="D15" i="21"/>
  <c r="E15" i="21" s="1"/>
  <c r="D12" i="21"/>
  <c r="E12" i="21" s="1"/>
  <c r="D6" i="21"/>
  <c r="E6" i="21" s="1"/>
  <c r="D4" i="21"/>
  <c r="E4" i="21" s="1"/>
  <c r="D14" i="21"/>
  <c r="E14" i="21" s="1"/>
  <c r="A18" i="21"/>
  <c r="D17" i="21"/>
  <c r="E17" i="21" s="1"/>
  <c r="A71" i="21"/>
  <c r="D70" i="21"/>
  <c r="E70" i="21" s="1"/>
  <c r="D101" i="21"/>
  <c r="E101" i="21" s="1"/>
  <c r="A102" i="21"/>
  <c r="A37" i="21"/>
  <c r="D36" i="21"/>
  <c r="E36" i="21" s="1"/>
  <c r="C5" i="19"/>
  <c r="E4" i="19"/>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2" i="2"/>
  <c r="C18" i="2"/>
  <c r="X18" i="2" s="1"/>
  <c r="C34" i="2"/>
  <c r="X34" i="2" s="1"/>
  <c r="C2" i="2"/>
  <c r="Y2" i="2" s="1"/>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2" i="2"/>
  <c r="B7" i="18"/>
  <c r="B6" i="18"/>
  <c r="B5" i="18"/>
  <c r="B4" i="18"/>
  <c r="B8" i="18"/>
  <c r="A9" i="18"/>
  <c r="B9" i="18"/>
  <c r="B3" i="2"/>
  <c r="B4" i="2" s="1"/>
  <c r="C4" i="2" s="1"/>
  <c r="Y4" i="2" s="1"/>
  <c r="A19" i="21" l="1"/>
  <c r="D18" i="21"/>
  <c r="E18" i="21" s="1"/>
  <c r="A72" i="21"/>
  <c r="D71" i="21"/>
  <c r="E71" i="21" s="1"/>
  <c r="A103" i="21"/>
  <c r="D102" i="21"/>
  <c r="E102" i="21" s="1"/>
  <c r="A38" i="21"/>
  <c r="D37" i="21"/>
  <c r="E37" i="21" s="1"/>
  <c r="C6" i="19"/>
  <c r="E5" i="19"/>
  <c r="C3" i="2"/>
  <c r="Y3" i="2" s="1"/>
  <c r="Y18" i="2"/>
  <c r="X4" i="2"/>
  <c r="X3" i="2"/>
  <c r="X2" i="2"/>
  <c r="Y34" i="2"/>
  <c r="B5" i="2"/>
  <c r="C5" i="2" s="1"/>
  <c r="B19" i="2"/>
  <c r="C19" i="2" s="1"/>
  <c r="AI38" i="17"/>
  <c r="AH38" i="17"/>
  <c r="AG38" i="17"/>
  <c r="AI37" i="17"/>
  <c r="AH37" i="17"/>
  <c r="AG37" i="17"/>
  <c r="AI36" i="17"/>
  <c r="AG36" i="17"/>
  <c r="AH36" i="17" s="1"/>
  <c r="AI35" i="17"/>
  <c r="AG35" i="17"/>
  <c r="AH35" i="17" s="1"/>
  <c r="AI34" i="17"/>
  <c r="AG34" i="17"/>
  <c r="AH34" i="17" s="1"/>
  <c r="AI32" i="17"/>
  <c r="AG32" i="17"/>
  <c r="AH32" i="17" s="1"/>
  <c r="E63" i="2"/>
  <c r="F63" i="2" s="1"/>
  <c r="AI30" i="17"/>
  <c r="AG30" i="17"/>
  <c r="AH30" i="17" s="1"/>
  <c r="AI29" i="17"/>
  <c r="AG29" i="17"/>
  <c r="AH29" i="17" s="1"/>
  <c r="AI28" i="17"/>
  <c r="AG28" i="17"/>
  <c r="AH28" i="17" s="1"/>
  <c r="AI27" i="17"/>
  <c r="AH27" i="17"/>
  <c r="AG27" i="17"/>
  <c r="AI26" i="17"/>
  <c r="AG26" i="17"/>
  <c r="AH26" i="17" s="1"/>
  <c r="AI25" i="17"/>
  <c r="AG25" i="17"/>
  <c r="AH25" i="17" s="1"/>
  <c r="AI24" i="17"/>
  <c r="AG24" i="17"/>
  <c r="AH24" i="17" s="1"/>
  <c r="AI23" i="17"/>
  <c r="AG23" i="17"/>
  <c r="AH23" i="17" s="1"/>
  <c r="AI22" i="17"/>
  <c r="AG22" i="17"/>
  <c r="AH22" i="17" s="1"/>
  <c r="AI21" i="17"/>
  <c r="AG21" i="17"/>
  <c r="AH21" i="17" s="1"/>
  <c r="AI20" i="17"/>
  <c r="AG20" i="17"/>
  <c r="AH20" i="17" s="1"/>
  <c r="AI19" i="17"/>
  <c r="AH19" i="17"/>
  <c r="AG19" i="17"/>
  <c r="AI18" i="17"/>
  <c r="AG18" i="17"/>
  <c r="AH18" i="17" s="1"/>
  <c r="AI17" i="17"/>
  <c r="AG17" i="17"/>
  <c r="AH17" i="17" s="1"/>
  <c r="AI16" i="17"/>
  <c r="AG16" i="17"/>
  <c r="AH16" i="17" s="1"/>
  <c r="A20" i="21" l="1"/>
  <c r="D19" i="21"/>
  <c r="E19" i="21" s="1"/>
  <c r="A104" i="21"/>
  <c r="D103" i="21"/>
  <c r="E103" i="21" s="1"/>
  <c r="A73" i="21"/>
  <c r="D72" i="21"/>
  <c r="E72" i="21" s="1"/>
  <c r="A39" i="21"/>
  <c r="D38" i="21"/>
  <c r="E38" i="21" s="1"/>
  <c r="C7" i="19"/>
  <c r="E6" i="19"/>
  <c r="Y19" i="2"/>
  <c r="X19" i="2"/>
  <c r="Y5" i="2"/>
  <c r="X5" i="2"/>
  <c r="B6" i="2"/>
  <c r="C6" i="2" s="1"/>
  <c r="B20" i="2"/>
  <c r="C20" i="2" s="1"/>
  <c r="AG9" i="17"/>
  <c r="AH9" i="17" s="1"/>
  <c r="AI9" i="17"/>
  <c r="AG10" i="17"/>
  <c r="AH10" i="17" s="1"/>
  <c r="AI10" i="17"/>
  <c r="AG11" i="17"/>
  <c r="AH11" i="17" s="1"/>
  <c r="AI11" i="17"/>
  <c r="AG12" i="17"/>
  <c r="AH12" i="17" s="1"/>
  <c r="AI12" i="17"/>
  <c r="AG13" i="17"/>
  <c r="AH13" i="17" s="1"/>
  <c r="AI13" i="17"/>
  <c r="AG14" i="17"/>
  <c r="AH14" i="17" s="1"/>
  <c r="AI14" i="17"/>
  <c r="AG15" i="17"/>
  <c r="AH15" i="17" s="1"/>
  <c r="AI15" i="17"/>
  <c r="AI8" i="17"/>
  <c r="AG8" i="17"/>
  <c r="AH8" i="17" s="1"/>
  <c r="D58" i="2"/>
  <c r="E59" i="2" s="1"/>
  <c r="F59" i="2" s="1"/>
  <c r="A21" i="21" l="1"/>
  <c r="D20" i="21"/>
  <c r="E20" i="21" s="1"/>
  <c r="D73" i="21"/>
  <c r="E73" i="21" s="1"/>
  <c r="A74" i="21"/>
  <c r="D104" i="21"/>
  <c r="E104" i="21" s="1"/>
  <c r="A105" i="21"/>
  <c r="A40" i="21"/>
  <c r="D39" i="21"/>
  <c r="E39" i="21" s="1"/>
  <c r="C8" i="19"/>
  <c r="E7" i="19"/>
  <c r="Y6" i="2"/>
  <c r="X6" i="2"/>
  <c r="Y20" i="2"/>
  <c r="X20" i="2"/>
  <c r="B7" i="2"/>
  <c r="C7" i="2" s="1"/>
  <c r="B21" i="2"/>
  <c r="C21" i="2" s="1"/>
  <c r="E62" i="2"/>
  <c r="F62" i="2" s="1"/>
  <c r="E61" i="2"/>
  <c r="F61" i="2" s="1"/>
  <c r="E60" i="2"/>
  <c r="F60" i="2" s="1"/>
  <c r="A72" i="18"/>
  <c r="A73" i="18"/>
  <c r="A74" i="18" s="1"/>
  <c r="B72" i="18"/>
  <c r="A10" i="18"/>
  <c r="A11" i="18" s="1"/>
  <c r="B3" i="18"/>
  <c r="B2" i="18"/>
  <c r="C9" i="17"/>
  <c r="C10" i="17"/>
  <c r="C11" i="17"/>
  <c r="C12" i="17"/>
  <c r="C13" i="17"/>
  <c r="C14" i="17"/>
  <c r="C15" i="17"/>
  <c r="C8" i="17"/>
  <c r="A22" i="21" l="1"/>
  <c r="D21" i="21"/>
  <c r="E21" i="21" s="1"/>
  <c r="D105" i="21"/>
  <c r="E105" i="21" s="1"/>
  <c r="A106" i="21"/>
  <c r="A75" i="21"/>
  <c r="D74" i="21"/>
  <c r="E74" i="21" s="1"/>
  <c r="A41" i="21"/>
  <c r="D40" i="21"/>
  <c r="E40" i="21" s="1"/>
  <c r="C9" i="19"/>
  <c r="E8" i="19"/>
  <c r="Y21" i="2"/>
  <c r="X21" i="2"/>
  <c r="Y7" i="2"/>
  <c r="X7" i="2"/>
  <c r="B8" i="2"/>
  <c r="C8" i="2" s="1"/>
  <c r="B22" i="2"/>
  <c r="C22" i="2" s="1"/>
  <c r="A75" i="18"/>
  <c r="B74" i="18"/>
  <c r="B73" i="18"/>
  <c r="B10" i="18"/>
  <c r="A12" i="18"/>
  <c r="B11" i="18"/>
  <c r="C71" i="17"/>
  <c r="D71" i="17" s="1"/>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104" i="17"/>
  <c r="D136" i="17"/>
  <c r="D137" i="17"/>
  <c r="D138" i="17"/>
  <c r="D139" i="17"/>
  <c r="D140" i="17"/>
  <c r="D141" i="17"/>
  <c r="D142" i="17"/>
  <c r="D143" i="17"/>
  <c r="D144" i="17"/>
  <c r="D145" i="17"/>
  <c r="D146" i="17"/>
  <c r="D147" i="17"/>
  <c r="D148" i="17"/>
  <c r="D149" i="17"/>
  <c r="D150" i="17"/>
  <c r="D151" i="17"/>
  <c r="D152" i="17"/>
  <c r="D153" i="17"/>
  <c r="D154" i="17"/>
  <c r="D155" i="17"/>
  <c r="D156" i="17"/>
  <c r="D157" i="17"/>
  <c r="D158" i="17"/>
  <c r="D159" i="17"/>
  <c r="D160" i="17"/>
  <c r="D161" i="17"/>
  <c r="D162" i="17"/>
  <c r="D163" i="17"/>
  <c r="D164" i="17"/>
  <c r="D165" i="17"/>
  <c r="D166" i="17"/>
  <c r="D167" i="17"/>
  <c r="D168" i="17"/>
  <c r="D169" i="17"/>
  <c r="D170" i="17"/>
  <c r="D171" i="17"/>
  <c r="D172" i="17"/>
  <c r="D173" i="17"/>
  <c r="D174" i="17"/>
  <c r="D175" i="17"/>
  <c r="D176" i="17"/>
  <c r="D177" i="17"/>
  <c r="D178" i="17"/>
  <c r="D179" i="17"/>
  <c r="D180" i="17"/>
  <c r="D181" i="17"/>
  <c r="D182" i="17"/>
  <c r="D183" i="17"/>
  <c r="D184" i="17"/>
  <c r="D185" i="17"/>
  <c r="D186" i="17"/>
  <c r="D187" i="17"/>
  <c r="D188" i="17"/>
  <c r="D189" i="17"/>
  <c r="D190" i="17"/>
  <c r="D191" i="17"/>
  <c r="D192" i="17"/>
  <c r="D193" i="17"/>
  <c r="D194" i="17"/>
  <c r="D195" i="17"/>
  <c r="D196" i="17"/>
  <c r="D197" i="17"/>
  <c r="D198" i="17"/>
  <c r="D199" i="17"/>
  <c r="D200" i="17"/>
  <c r="D201" i="17"/>
  <c r="D202" i="17"/>
  <c r="D203" i="17"/>
  <c r="D204" i="17"/>
  <c r="D205" i="17"/>
  <c r="D206" i="17"/>
  <c r="D207" i="17"/>
  <c r="D208" i="17"/>
  <c r="D209" i="17"/>
  <c r="D210" i="17"/>
  <c r="D211" i="17"/>
  <c r="D212" i="17"/>
  <c r="D213" i="17"/>
  <c r="D214" i="17"/>
  <c r="D215" i="17"/>
  <c r="D216" i="17"/>
  <c r="D217" i="17"/>
  <c r="D218" i="17"/>
  <c r="D219" i="17"/>
  <c r="D220" i="17"/>
  <c r="D221" i="17"/>
  <c r="D222" i="17"/>
  <c r="D223" i="17"/>
  <c r="D224" i="17"/>
  <c r="D225" i="17"/>
  <c r="D226" i="17"/>
  <c r="D227" i="17"/>
  <c r="D228" i="17"/>
  <c r="D229" i="17"/>
  <c r="D230" i="17"/>
  <c r="D231" i="17"/>
  <c r="D232" i="17"/>
  <c r="D233" i="17"/>
  <c r="D234" i="17"/>
  <c r="D235" i="17"/>
  <c r="D236" i="17"/>
  <c r="D237" i="17"/>
  <c r="D238" i="17"/>
  <c r="D239" i="17"/>
  <c r="D240" i="17"/>
  <c r="D241" i="17"/>
  <c r="D242" i="17"/>
  <c r="D243" i="17"/>
  <c r="D244" i="17"/>
  <c r="D245" i="17"/>
  <c r="D246" i="17"/>
  <c r="D247" i="17"/>
  <c r="D248" i="17"/>
  <c r="D249" i="17"/>
  <c r="D250" i="17"/>
  <c r="D251" i="17"/>
  <c r="D252" i="17"/>
  <c r="D253" i="17"/>
  <c r="D254" i="17"/>
  <c r="D255" i="17"/>
  <c r="D256" i="17"/>
  <c r="D257" i="17"/>
  <c r="D258" i="17"/>
  <c r="D259" i="17"/>
  <c r="D260" i="17"/>
  <c r="D261" i="17"/>
  <c r="D262" i="17"/>
  <c r="D263" i="17"/>
  <c r="D264" i="17"/>
  <c r="D265" i="17"/>
  <c r="D266" i="17"/>
  <c r="D267" i="17"/>
  <c r="D268" i="17"/>
  <c r="D269" i="17"/>
  <c r="D270" i="17"/>
  <c r="D271" i="17"/>
  <c r="D272" i="17"/>
  <c r="D273" i="17"/>
  <c r="D274" i="17"/>
  <c r="D275" i="17"/>
  <c r="D276" i="17"/>
  <c r="D277" i="17"/>
  <c r="D278" i="17"/>
  <c r="D279" i="17"/>
  <c r="D280" i="17"/>
  <c r="D281" i="17"/>
  <c r="D282" i="17"/>
  <c r="D283" i="17"/>
  <c r="D284" i="17"/>
  <c r="D285" i="17"/>
  <c r="D286" i="17"/>
  <c r="D287" i="17"/>
  <c r="D288" i="17"/>
  <c r="D289" i="17"/>
  <c r="D290" i="17"/>
  <c r="D291" i="17"/>
  <c r="D292" i="17"/>
  <c r="D293" i="17"/>
  <c r="D294" i="17"/>
  <c r="D295" i="17"/>
  <c r="D296" i="17"/>
  <c r="D297" i="17"/>
  <c r="D298" i="17"/>
  <c r="D299" i="17"/>
  <c r="D300" i="17"/>
  <c r="D301" i="17"/>
  <c r="D302" i="17"/>
  <c r="D303" i="17"/>
  <c r="D304" i="17"/>
  <c r="D305" i="17"/>
  <c r="D306" i="17"/>
  <c r="D307" i="17"/>
  <c r="D308" i="17"/>
  <c r="D309" i="17"/>
  <c r="D310" i="17"/>
  <c r="D311" i="17"/>
  <c r="D312" i="17"/>
  <c r="D313" i="17"/>
  <c r="D314" i="17"/>
  <c r="D315" i="17"/>
  <c r="D316" i="17"/>
  <c r="D317" i="17"/>
  <c r="D318" i="17"/>
  <c r="D319" i="17"/>
  <c r="D320" i="17"/>
  <c r="D321" i="17"/>
  <c r="D322" i="17"/>
  <c r="D323" i="17"/>
  <c r="D324" i="17"/>
  <c r="D325" i="17"/>
  <c r="D326" i="17"/>
  <c r="D327" i="17"/>
  <c r="D328" i="17"/>
  <c r="D329" i="17"/>
  <c r="D330" i="17"/>
  <c r="D331" i="17"/>
  <c r="D332" i="17"/>
  <c r="D333" i="17"/>
  <c r="D334" i="17"/>
  <c r="D335" i="17"/>
  <c r="D336" i="17"/>
  <c r="D337" i="17"/>
  <c r="D338" i="17"/>
  <c r="D339" i="17"/>
  <c r="D340" i="17"/>
  <c r="D341" i="17"/>
  <c r="D342" i="17"/>
  <c r="D343" i="17"/>
  <c r="D344" i="17"/>
  <c r="D345" i="17"/>
  <c r="D346" i="17"/>
  <c r="D347" i="17"/>
  <c r="D348" i="17"/>
  <c r="D349" i="17"/>
  <c r="D350" i="17"/>
  <c r="D351" i="17"/>
  <c r="D352" i="17"/>
  <c r="D353" i="17"/>
  <c r="D354" i="17"/>
  <c r="D355" i="17"/>
  <c r="D356" i="17"/>
  <c r="D357" i="17"/>
  <c r="D358" i="17"/>
  <c r="D359" i="17"/>
  <c r="D360" i="17"/>
  <c r="D361" i="17"/>
  <c r="D362" i="17"/>
  <c r="D363" i="17"/>
  <c r="D364" i="17"/>
  <c r="D365" i="17"/>
  <c r="D366" i="17"/>
  <c r="D367" i="17"/>
  <c r="D368" i="17"/>
  <c r="D369" i="17"/>
  <c r="D370" i="17"/>
  <c r="D371" i="17"/>
  <c r="D372" i="17"/>
  <c r="D373" i="17"/>
  <c r="D374" i="17"/>
  <c r="D375" i="17"/>
  <c r="D376" i="17"/>
  <c r="D377" i="17"/>
  <c r="D378" i="17"/>
  <c r="D379" i="17"/>
  <c r="D380" i="17"/>
  <c r="D381" i="17"/>
  <c r="D382" i="17"/>
  <c r="D383" i="17"/>
  <c r="D384" i="17"/>
  <c r="D385" i="17"/>
  <c r="D386" i="17"/>
  <c r="D387" i="17"/>
  <c r="D388" i="17"/>
  <c r="D389" i="17"/>
  <c r="D390" i="17"/>
  <c r="D391" i="17"/>
  <c r="D392" i="17"/>
  <c r="D393" i="17"/>
  <c r="D394" i="17"/>
  <c r="D395" i="17"/>
  <c r="D396" i="17"/>
  <c r="D397" i="17"/>
  <c r="D398" i="17"/>
  <c r="D399" i="17"/>
  <c r="D400" i="17"/>
  <c r="D401" i="17"/>
  <c r="D402" i="17"/>
  <c r="D403" i="17"/>
  <c r="D404" i="17"/>
  <c r="D405" i="17"/>
  <c r="D406" i="17"/>
  <c r="D407" i="17"/>
  <c r="D408" i="17"/>
  <c r="D409" i="17"/>
  <c r="D410" i="17"/>
  <c r="D411" i="17"/>
  <c r="D412" i="17"/>
  <c r="D413" i="17"/>
  <c r="D414" i="17"/>
  <c r="D415" i="17"/>
  <c r="D416" i="17"/>
  <c r="D417" i="17"/>
  <c r="D418" i="17"/>
  <c r="D419" i="17"/>
  <c r="D420" i="17"/>
  <c r="D421" i="17"/>
  <c r="D422" i="17"/>
  <c r="D423" i="17"/>
  <c r="D424" i="17"/>
  <c r="D425" i="17"/>
  <c r="D426" i="17"/>
  <c r="D427" i="17"/>
  <c r="D428" i="17"/>
  <c r="D429" i="17"/>
  <c r="D430" i="17"/>
  <c r="D431" i="17"/>
  <c r="D432" i="17"/>
  <c r="D433" i="17"/>
  <c r="D434" i="17"/>
  <c r="D435" i="17"/>
  <c r="D436" i="17"/>
  <c r="D437" i="17"/>
  <c r="D438" i="17"/>
  <c r="D439" i="17"/>
  <c r="D440" i="17"/>
  <c r="D441" i="17"/>
  <c r="D442" i="17"/>
  <c r="D443" i="17"/>
  <c r="D444" i="17"/>
  <c r="D445" i="17"/>
  <c r="D446" i="17"/>
  <c r="D447" i="17"/>
  <c r="D448" i="17"/>
  <c r="D449" i="17"/>
  <c r="D450" i="17"/>
  <c r="D451" i="17"/>
  <c r="D452" i="17"/>
  <c r="D453" i="17"/>
  <c r="D454" i="17"/>
  <c r="D455" i="17"/>
  <c r="D456" i="17"/>
  <c r="D457" i="17"/>
  <c r="D458" i="17"/>
  <c r="D459" i="17"/>
  <c r="D460" i="17"/>
  <c r="D461" i="17"/>
  <c r="D462" i="17"/>
  <c r="D463" i="17"/>
  <c r="D464" i="17"/>
  <c r="D465" i="17"/>
  <c r="D466" i="17"/>
  <c r="D467" i="17"/>
  <c r="D468" i="17"/>
  <c r="D469" i="17"/>
  <c r="D470" i="17"/>
  <c r="D471" i="17"/>
  <c r="D472" i="17"/>
  <c r="D473" i="17"/>
  <c r="D474" i="17"/>
  <c r="D475" i="17"/>
  <c r="D476" i="17"/>
  <c r="D477" i="17"/>
  <c r="D478" i="17"/>
  <c r="D479" i="17"/>
  <c r="D480" i="17"/>
  <c r="D481" i="17"/>
  <c r="D482" i="17"/>
  <c r="D483" i="17"/>
  <c r="D484" i="17"/>
  <c r="D485" i="17"/>
  <c r="D486" i="17"/>
  <c r="D487" i="17"/>
  <c r="D488" i="17"/>
  <c r="D489" i="17"/>
  <c r="D490" i="17"/>
  <c r="D491" i="17"/>
  <c r="D492" i="17"/>
  <c r="D493" i="17"/>
  <c r="D494" i="17"/>
  <c r="D495" i="17"/>
  <c r="D496" i="17"/>
  <c r="D497" i="17"/>
  <c r="D498" i="17"/>
  <c r="D499" i="17"/>
  <c r="D500" i="17"/>
  <c r="D501" i="17"/>
  <c r="D502" i="17"/>
  <c r="D503" i="17"/>
  <c r="D504" i="17"/>
  <c r="D505" i="17"/>
  <c r="D506" i="17"/>
  <c r="D507" i="17"/>
  <c r="D508" i="17"/>
  <c r="D509" i="17"/>
  <c r="D510" i="17"/>
  <c r="D511" i="17"/>
  <c r="D512" i="17"/>
  <c r="D513" i="17"/>
  <c r="D514" i="17"/>
  <c r="D515" i="17"/>
  <c r="D516" i="17"/>
  <c r="D517" i="17"/>
  <c r="D518" i="17"/>
  <c r="D519" i="17"/>
  <c r="D520" i="17"/>
  <c r="D521" i="17"/>
  <c r="D522" i="17"/>
  <c r="D523" i="17"/>
  <c r="D524" i="17"/>
  <c r="D525" i="17"/>
  <c r="D526" i="17"/>
  <c r="D527" i="17"/>
  <c r="D528" i="17"/>
  <c r="D529" i="17"/>
  <c r="D530" i="17"/>
  <c r="D531" i="17"/>
  <c r="D532" i="17"/>
  <c r="D533" i="17"/>
  <c r="D534" i="17"/>
  <c r="D535" i="17"/>
  <c r="D536" i="17"/>
  <c r="D537" i="17"/>
  <c r="D538" i="17"/>
  <c r="D539" i="17"/>
  <c r="D540" i="17"/>
  <c r="D541" i="17"/>
  <c r="D542" i="17"/>
  <c r="D543" i="17"/>
  <c r="D544" i="17"/>
  <c r="D545" i="17"/>
  <c r="D546" i="17"/>
  <c r="D547" i="17"/>
  <c r="D548" i="17"/>
  <c r="D549" i="17"/>
  <c r="D550" i="17"/>
  <c r="D551" i="17"/>
  <c r="D552" i="17"/>
  <c r="D553" i="17"/>
  <c r="D554" i="17"/>
  <c r="D555" i="17"/>
  <c r="D556" i="17"/>
  <c r="D557" i="17"/>
  <c r="D558" i="17"/>
  <c r="D559" i="17"/>
  <c r="D560" i="17"/>
  <c r="D561" i="17"/>
  <c r="D562" i="17"/>
  <c r="D563" i="17"/>
  <c r="D564" i="17"/>
  <c r="D565" i="17"/>
  <c r="D566" i="17"/>
  <c r="D567" i="17"/>
  <c r="D568" i="17"/>
  <c r="D569" i="17"/>
  <c r="D570" i="17"/>
  <c r="D571" i="17"/>
  <c r="D572" i="17"/>
  <c r="D573" i="17"/>
  <c r="D574" i="17"/>
  <c r="D575" i="17"/>
  <c r="D576" i="17"/>
  <c r="D577" i="17"/>
  <c r="D578" i="17"/>
  <c r="D579" i="17"/>
  <c r="D580" i="17"/>
  <c r="D581" i="17"/>
  <c r="D582" i="17"/>
  <c r="D583" i="17"/>
  <c r="D584" i="17"/>
  <c r="D585" i="17"/>
  <c r="D586" i="17"/>
  <c r="D587" i="17"/>
  <c r="D588" i="17"/>
  <c r="D589" i="17"/>
  <c r="D590" i="17"/>
  <c r="D591" i="17"/>
  <c r="D592" i="17"/>
  <c r="D593" i="17"/>
  <c r="D594" i="17"/>
  <c r="D595" i="17"/>
  <c r="D596" i="17"/>
  <c r="D597" i="17"/>
  <c r="D598" i="17"/>
  <c r="D599" i="17"/>
  <c r="D600" i="17"/>
  <c r="D601" i="17"/>
  <c r="D602" i="17"/>
  <c r="D603" i="17"/>
  <c r="D604" i="17"/>
  <c r="D605" i="17"/>
  <c r="D606" i="17"/>
  <c r="D607" i="17"/>
  <c r="D608" i="17"/>
  <c r="D609" i="17"/>
  <c r="D610" i="17"/>
  <c r="D611" i="17"/>
  <c r="D612" i="17"/>
  <c r="D613" i="17"/>
  <c r="D614" i="17"/>
  <c r="D615" i="17"/>
  <c r="D616" i="17"/>
  <c r="D617" i="17"/>
  <c r="D618" i="17"/>
  <c r="D619" i="17"/>
  <c r="D620" i="17"/>
  <c r="D621" i="17"/>
  <c r="D622" i="17"/>
  <c r="D623" i="17"/>
  <c r="D624" i="17"/>
  <c r="D625" i="17"/>
  <c r="D626" i="17"/>
  <c r="D627" i="17"/>
  <c r="D628" i="17"/>
  <c r="D629" i="17"/>
  <c r="D630" i="17"/>
  <c r="D631" i="17"/>
  <c r="D632" i="17"/>
  <c r="D633" i="17"/>
  <c r="D634" i="17"/>
  <c r="D635" i="17"/>
  <c r="D636" i="17"/>
  <c r="D637" i="17"/>
  <c r="D638" i="17"/>
  <c r="D639" i="17"/>
  <c r="D640" i="17"/>
  <c r="D641" i="17"/>
  <c r="D642" i="17"/>
  <c r="D643" i="17"/>
  <c r="D644" i="17"/>
  <c r="D645" i="17"/>
  <c r="D646" i="17"/>
  <c r="D647" i="17"/>
  <c r="D648" i="17"/>
  <c r="D649" i="17"/>
  <c r="D650" i="17"/>
  <c r="D651" i="17"/>
  <c r="D652" i="17"/>
  <c r="D653" i="17"/>
  <c r="D654" i="17"/>
  <c r="D655" i="17"/>
  <c r="D656" i="17"/>
  <c r="D657" i="17"/>
  <c r="D658" i="17"/>
  <c r="D659" i="17"/>
  <c r="D660" i="17"/>
  <c r="D661" i="17"/>
  <c r="D662" i="17"/>
  <c r="D663" i="17"/>
  <c r="D664" i="17"/>
  <c r="D665" i="17"/>
  <c r="D666" i="17"/>
  <c r="D667" i="17"/>
  <c r="D668" i="17"/>
  <c r="D669" i="17"/>
  <c r="D670" i="17"/>
  <c r="D671" i="17"/>
  <c r="D672" i="17"/>
  <c r="D673" i="17"/>
  <c r="D674" i="17"/>
  <c r="D675" i="17"/>
  <c r="D676" i="17"/>
  <c r="D677" i="17"/>
  <c r="D678" i="17"/>
  <c r="D679" i="17"/>
  <c r="D680" i="17"/>
  <c r="D681" i="17"/>
  <c r="D682" i="17"/>
  <c r="D683" i="17"/>
  <c r="D684" i="17"/>
  <c r="D685" i="17"/>
  <c r="D686" i="17"/>
  <c r="D687" i="17"/>
  <c r="D688" i="17"/>
  <c r="D689" i="17"/>
  <c r="D690" i="17"/>
  <c r="D691" i="17"/>
  <c r="D692" i="17"/>
  <c r="D693" i="17"/>
  <c r="D694" i="17"/>
  <c r="D695" i="17"/>
  <c r="D696" i="17"/>
  <c r="D697" i="17"/>
  <c r="D698" i="17"/>
  <c r="D699" i="17"/>
  <c r="D700" i="17"/>
  <c r="D701" i="17"/>
  <c r="D702" i="17"/>
  <c r="D703" i="17"/>
  <c r="D704" i="17"/>
  <c r="D705" i="17"/>
  <c r="D706" i="17"/>
  <c r="D707" i="17"/>
  <c r="D708" i="17"/>
  <c r="D709" i="17"/>
  <c r="D710" i="17"/>
  <c r="D711" i="17"/>
  <c r="D712" i="17"/>
  <c r="D713" i="17"/>
  <c r="D714" i="17"/>
  <c r="D715" i="17"/>
  <c r="D716" i="17"/>
  <c r="D717" i="17"/>
  <c r="D718" i="17"/>
  <c r="D719" i="17"/>
  <c r="D720" i="17"/>
  <c r="D721" i="17"/>
  <c r="D722" i="17"/>
  <c r="D723" i="17"/>
  <c r="D724" i="17"/>
  <c r="D725" i="17"/>
  <c r="D726" i="17"/>
  <c r="D727" i="17"/>
  <c r="D728" i="17"/>
  <c r="D729" i="17"/>
  <c r="D730" i="17"/>
  <c r="D731" i="17"/>
  <c r="D732" i="17"/>
  <c r="D733" i="17"/>
  <c r="D734" i="17"/>
  <c r="D735" i="17"/>
  <c r="D736" i="17"/>
  <c r="D737" i="17"/>
  <c r="D738" i="17"/>
  <c r="D739" i="17"/>
  <c r="D740" i="17"/>
  <c r="D741" i="17"/>
  <c r="D742" i="17"/>
  <c r="D743" i="17"/>
  <c r="D744" i="17"/>
  <c r="D745" i="17"/>
  <c r="D746" i="17"/>
  <c r="D747" i="17"/>
  <c r="D748" i="17"/>
  <c r="D749" i="17"/>
  <c r="D750" i="17"/>
  <c r="D751" i="17"/>
  <c r="D752" i="17"/>
  <c r="D753" i="17"/>
  <c r="D754" i="17"/>
  <c r="D755" i="17"/>
  <c r="D756" i="17"/>
  <c r="D757" i="17"/>
  <c r="D758" i="17"/>
  <c r="D759" i="17"/>
  <c r="D760" i="17"/>
  <c r="D761" i="17"/>
  <c r="D762" i="17"/>
  <c r="D763" i="17"/>
  <c r="D764" i="17"/>
  <c r="D765" i="17"/>
  <c r="D766" i="17"/>
  <c r="D767" i="17"/>
  <c r="D768" i="17"/>
  <c r="D769" i="17"/>
  <c r="D770" i="17"/>
  <c r="D771" i="17"/>
  <c r="D772" i="17"/>
  <c r="D773" i="17"/>
  <c r="D774" i="17"/>
  <c r="D775" i="17"/>
  <c r="D776" i="17"/>
  <c r="D777" i="17"/>
  <c r="D778" i="17"/>
  <c r="D779" i="17"/>
  <c r="D780" i="17"/>
  <c r="D781" i="17"/>
  <c r="D782" i="17"/>
  <c r="D783" i="17"/>
  <c r="D784" i="17"/>
  <c r="D785" i="17"/>
  <c r="D786" i="17"/>
  <c r="D787" i="17"/>
  <c r="D788" i="17"/>
  <c r="D789" i="17"/>
  <c r="D790" i="17"/>
  <c r="D791" i="17"/>
  <c r="D792" i="17"/>
  <c r="D793" i="17"/>
  <c r="D794" i="17"/>
  <c r="D795" i="17"/>
  <c r="D796" i="17"/>
  <c r="D797" i="17"/>
  <c r="D798" i="17"/>
  <c r="D799" i="17"/>
  <c r="D800" i="17"/>
  <c r="D801" i="17"/>
  <c r="D802" i="17"/>
  <c r="D803" i="17"/>
  <c r="D804" i="17"/>
  <c r="D805" i="17"/>
  <c r="D806" i="17"/>
  <c r="D807" i="17"/>
  <c r="D808" i="17"/>
  <c r="D809" i="17"/>
  <c r="D810" i="17"/>
  <c r="D811" i="17"/>
  <c r="D812" i="17"/>
  <c r="D813" i="17"/>
  <c r="D814" i="17"/>
  <c r="D815" i="17"/>
  <c r="D816" i="17"/>
  <c r="D817" i="17"/>
  <c r="D818" i="17"/>
  <c r="D819" i="17"/>
  <c r="D820" i="17"/>
  <c r="D821" i="17"/>
  <c r="D822" i="17"/>
  <c r="D823" i="17"/>
  <c r="D824" i="17"/>
  <c r="D825" i="17"/>
  <c r="D826" i="17"/>
  <c r="D827" i="17"/>
  <c r="D828" i="17"/>
  <c r="D829" i="17"/>
  <c r="D830" i="17"/>
  <c r="D831" i="17"/>
  <c r="D832" i="17"/>
  <c r="D833" i="17"/>
  <c r="D834" i="17"/>
  <c r="D835" i="17"/>
  <c r="D836" i="17"/>
  <c r="D837" i="17"/>
  <c r="D838" i="17"/>
  <c r="D839" i="17"/>
  <c r="D840" i="17"/>
  <c r="D841" i="17"/>
  <c r="D842" i="17"/>
  <c r="D843" i="17"/>
  <c r="D844" i="17"/>
  <c r="D845" i="17"/>
  <c r="D846" i="17"/>
  <c r="D847" i="17"/>
  <c r="D848" i="17"/>
  <c r="D849" i="17"/>
  <c r="D850" i="17"/>
  <c r="D851" i="17"/>
  <c r="D852" i="17"/>
  <c r="D853" i="17"/>
  <c r="D854" i="17"/>
  <c r="D855" i="17"/>
  <c r="D856" i="17"/>
  <c r="D857" i="17"/>
  <c r="D858" i="17"/>
  <c r="D859" i="17"/>
  <c r="D860" i="17"/>
  <c r="D861" i="17"/>
  <c r="D862" i="17"/>
  <c r="D863" i="17"/>
  <c r="D864" i="17"/>
  <c r="D865" i="17"/>
  <c r="D866" i="17"/>
  <c r="D867" i="17"/>
  <c r="D868" i="17"/>
  <c r="D869" i="17"/>
  <c r="D870" i="17"/>
  <c r="D871" i="17"/>
  <c r="D872" i="17"/>
  <c r="D873" i="17"/>
  <c r="D874" i="17"/>
  <c r="D875" i="17"/>
  <c r="D876" i="17"/>
  <c r="D877" i="17"/>
  <c r="D878" i="17"/>
  <c r="D879" i="17"/>
  <c r="D880" i="17"/>
  <c r="D881" i="17"/>
  <c r="D882" i="17"/>
  <c r="D883" i="17"/>
  <c r="D884" i="17"/>
  <c r="D885" i="17"/>
  <c r="D886" i="17"/>
  <c r="D887" i="17"/>
  <c r="D888" i="17"/>
  <c r="D889" i="17"/>
  <c r="D890" i="17"/>
  <c r="D891" i="17"/>
  <c r="D892" i="17"/>
  <c r="D893" i="17"/>
  <c r="D894" i="17"/>
  <c r="D895" i="17"/>
  <c r="D896" i="17"/>
  <c r="D897" i="17"/>
  <c r="D898" i="17"/>
  <c r="D899" i="17"/>
  <c r="D900" i="17"/>
  <c r="D901" i="17"/>
  <c r="D902" i="17"/>
  <c r="D903" i="17"/>
  <c r="D904" i="17"/>
  <c r="D905" i="17"/>
  <c r="D906" i="17"/>
  <c r="D907" i="17"/>
  <c r="D908" i="17"/>
  <c r="D909" i="17"/>
  <c r="D910" i="17"/>
  <c r="D911" i="17"/>
  <c r="D912" i="17"/>
  <c r="D913" i="17"/>
  <c r="D914" i="17"/>
  <c r="D915" i="17"/>
  <c r="D916" i="17"/>
  <c r="D917" i="17"/>
  <c r="D918" i="17"/>
  <c r="D919" i="17"/>
  <c r="D920" i="17"/>
  <c r="D921" i="17"/>
  <c r="D922" i="17"/>
  <c r="D923" i="17"/>
  <c r="D924" i="17"/>
  <c r="D925" i="17"/>
  <c r="D926" i="17"/>
  <c r="D927" i="17"/>
  <c r="D928" i="17"/>
  <c r="D929" i="17"/>
  <c r="D930" i="17"/>
  <c r="D931" i="17"/>
  <c r="D932" i="17"/>
  <c r="D933" i="17"/>
  <c r="D934" i="17"/>
  <c r="D935" i="17"/>
  <c r="D936" i="17"/>
  <c r="D937" i="17"/>
  <c r="D938" i="17"/>
  <c r="D939" i="17"/>
  <c r="D940" i="17"/>
  <c r="D941" i="17"/>
  <c r="D942" i="17"/>
  <c r="D943" i="17"/>
  <c r="D944" i="17"/>
  <c r="D945" i="17"/>
  <c r="D946" i="17"/>
  <c r="D947" i="17"/>
  <c r="D948" i="17"/>
  <c r="D949" i="17"/>
  <c r="D950" i="17"/>
  <c r="D951" i="17"/>
  <c r="D952" i="17"/>
  <c r="D953" i="17"/>
  <c r="D954" i="17"/>
  <c r="D955" i="17"/>
  <c r="D956" i="17"/>
  <c r="D957" i="17"/>
  <c r="D958" i="17"/>
  <c r="D959" i="17"/>
  <c r="D960" i="17"/>
  <c r="D961" i="17"/>
  <c r="D962" i="17"/>
  <c r="D963" i="17"/>
  <c r="D964" i="17"/>
  <c r="D965" i="17"/>
  <c r="D966" i="17"/>
  <c r="D967" i="17"/>
  <c r="D968" i="17"/>
  <c r="D969" i="17"/>
  <c r="D970" i="17"/>
  <c r="D971" i="17"/>
  <c r="D972" i="17"/>
  <c r="D973" i="17"/>
  <c r="D974" i="17"/>
  <c r="D975" i="17"/>
  <c r="D976" i="17"/>
  <c r="D977" i="17"/>
  <c r="D978" i="17"/>
  <c r="D979" i="17"/>
  <c r="D980" i="17"/>
  <c r="D981" i="17"/>
  <c r="D982" i="17"/>
  <c r="D983" i="17"/>
  <c r="D984" i="17"/>
  <c r="D985" i="17"/>
  <c r="D986" i="17"/>
  <c r="D987" i="17"/>
  <c r="D988" i="17"/>
  <c r="D989" i="17"/>
  <c r="D990" i="17"/>
  <c r="D991" i="17"/>
  <c r="D992" i="17"/>
  <c r="D993" i="17"/>
  <c r="D994" i="17"/>
  <c r="D995" i="17"/>
  <c r="D996" i="17"/>
  <c r="D997" i="17"/>
  <c r="D998" i="17"/>
  <c r="D999" i="17"/>
  <c r="D1000" i="17"/>
  <c r="D1001" i="17"/>
  <c r="D1002" i="17"/>
  <c r="D1003" i="17"/>
  <c r="D1004" i="17"/>
  <c r="D1005" i="17"/>
  <c r="D1006" i="17"/>
  <c r="D1007" i="17"/>
  <c r="D1008" i="17"/>
  <c r="D1009" i="17"/>
  <c r="D1010" i="17"/>
  <c r="D1011" i="17"/>
  <c r="D1012" i="17"/>
  <c r="D1013" i="17"/>
  <c r="D1014" i="17"/>
  <c r="D1015" i="17"/>
  <c r="D1016" i="17"/>
  <c r="D1017" i="17"/>
  <c r="D1018" i="17"/>
  <c r="D1019" i="17"/>
  <c r="D1020" i="17"/>
  <c r="D1021" i="17"/>
  <c r="D1022" i="17"/>
  <c r="D1023" i="17"/>
  <c r="D1024" i="17"/>
  <c r="D1025" i="17"/>
  <c r="D1026" i="17"/>
  <c r="D1027" i="17"/>
  <c r="D1028" i="17"/>
  <c r="D1029" i="17"/>
  <c r="D1030" i="17"/>
  <c r="D1031" i="17"/>
  <c r="C105" i="17"/>
  <c r="C106" i="17" s="1"/>
  <c r="D106" i="17" s="1"/>
  <c r="C1001" i="17"/>
  <c r="C1002" i="17" s="1"/>
  <c r="C971" i="17"/>
  <c r="C972" i="17" s="1"/>
  <c r="C970" i="17"/>
  <c r="C969" i="17"/>
  <c r="C937" i="17"/>
  <c r="C938" i="17" s="1"/>
  <c r="C905" i="17"/>
  <c r="C906" i="17" s="1"/>
  <c r="C874" i="17"/>
  <c r="C873" i="17"/>
  <c r="C841" i="17"/>
  <c r="C842" i="17" s="1"/>
  <c r="C809" i="17"/>
  <c r="C777" i="17"/>
  <c r="C778" i="17" s="1"/>
  <c r="C747" i="17"/>
  <c r="C746" i="17"/>
  <c r="C745" i="17"/>
  <c r="C714" i="17"/>
  <c r="C715" i="17" s="1"/>
  <c r="C713" i="17"/>
  <c r="C681" i="17"/>
  <c r="C650" i="17"/>
  <c r="C649" i="17"/>
  <c r="C618" i="17"/>
  <c r="C619" i="17" s="1"/>
  <c r="C617" i="17"/>
  <c r="C585" i="17"/>
  <c r="C586" i="17" s="1"/>
  <c r="C553" i="17"/>
  <c r="C554" i="17" s="1"/>
  <c r="C521" i="17"/>
  <c r="C522" i="17" s="1"/>
  <c r="C491" i="17"/>
  <c r="C492" i="17" s="1"/>
  <c r="C490" i="17"/>
  <c r="C489" i="17"/>
  <c r="C457" i="17"/>
  <c r="C458" i="17" s="1"/>
  <c r="C426" i="17"/>
  <c r="C427" i="17" s="1"/>
  <c r="C425" i="17"/>
  <c r="C395" i="17"/>
  <c r="C396" i="17" s="1"/>
  <c r="C394" i="17"/>
  <c r="C393" i="17"/>
  <c r="C361" i="17"/>
  <c r="C329" i="17"/>
  <c r="C330" i="17" s="1"/>
  <c r="C297" i="17"/>
  <c r="C298" i="17" s="1"/>
  <c r="C266" i="17"/>
  <c r="C267" i="17" s="1"/>
  <c r="C265" i="17"/>
  <c r="C235" i="17"/>
  <c r="C234" i="17"/>
  <c r="C233" i="17"/>
  <c r="C201" i="17"/>
  <c r="C170" i="17"/>
  <c r="C169" i="17"/>
  <c r="C137" i="17"/>
  <c r="C138" i="17" s="1"/>
  <c r="C73" i="17"/>
  <c r="D73" i="17" s="1"/>
  <c r="C74" i="17"/>
  <c r="D74" i="17" s="1"/>
  <c r="C75" i="17"/>
  <c r="D75" i="17" s="1"/>
  <c r="C76" i="17"/>
  <c r="D76" i="17" s="1"/>
  <c r="C77" i="17"/>
  <c r="D77" i="17" s="1"/>
  <c r="C78" i="17"/>
  <c r="D78" i="17" s="1"/>
  <c r="C79" i="17"/>
  <c r="D79" i="17" s="1"/>
  <c r="C80" i="17"/>
  <c r="D80" i="17" s="1"/>
  <c r="C81" i="17"/>
  <c r="D81" i="17" s="1"/>
  <c r="C82" i="17"/>
  <c r="D82" i="17" s="1"/>
  <c r="C83" i="17"/>
  <c r="D83" i="17" s="1"/>
  <c r="C84" i="17"/>
  <c r="D84" i="17" s="1"/>
  <c r="C85" i="17"/>
  <c r="D85" i="17" s="1"/>
  <c r="C86" i="17"/>
  <c r="D86" i="17" s="1"/>
  <c r="C87" i="17"/>
  <c r="D87" i="17" s="1"/>
  <c r="C88" i="17"/>
  <c r="D88" i="17" s="1"/>
  <c r="C89" i="17"/>
  <c r="D89" i="17" s="1"/>
  <c r="C90" i="17"/>
  <c r="D90" i="17" s="1"/>
  <c r="C91" i="17"/>
  <c r="D91" i="17" s="1"/>
  <c r="C92" i="17"/>
  <c r="D92" i="17" s="1"/>
  <c r="C93" i="17"/>
  <c r="D93" i="17" s="1"/>
  <c r="C94" i="17"/>
  <c r="D94" i="17" s="1"/>
  <c r="C95" i="17"/>
  <c r="D95" i="17" s="1"/>
  <c r="C96" i="17"/>
  <c r="D96" i="17" s="1"/>
  <c r="C97" i="17"/>
  <c r="D97" i="17" s="1"/>
  <c r="C98" i="17"/>
  <c r="D98" i="17" s="1"/>
  <c r="C99" i="17"/>
  <c r="D99" i="17" s="1"/>
  <c r="C100" i="17"/>
  <c r="D100" i="17" s="1"/>
  <c r="C101" i="17"/>
  <c r="D101" i="17" s="1"/>
  <c r="C102" i="17"/>
  <c r="D102" i="17" s="1"/>
  <c r="C103" i="17"/>
  <c r="D103" i="17" s="1"/>
  <c r="C72" i="17"/>
  <c r="D72" i="17" s="1"/>
  <c r="C42" i="17"/>
  <c r="C43" i="17"/>
  <c r="C44" i="17"/>
  <c r="C45" i="17" s="1"/>
  <c r="C46" i="17" s="1"/>
  <c r="C47" i="17" s="1"/>
  <c r="C48" i="17" s="1"/>
  <c r="C49" i="17" s="1"/>
  <c r="C50" i="17" s="1"/>
  <c r="C51" i="17" s="1"/>
  <c r="C52" i="17" s="1"/>
  <c r="C53" i="17" s="1"/>
  <c r="C54" i="17" s="1"/>
  <c r="C55" i="17" s="1"/>
  <c r="C56" i="17" s="1"/>
  <c r="C57" i="17" s="1"/>
  <c r="C58" i="17" s="1"/>
  <c r="C59" i="17" s="1"/>
  <c r="C60" i="17" s="1"/>
  <c r="C61" i="17" s="1"/>
  <c r="C62" i="17" s="1"/>
  <c r="C63" i="17" s="1"/>
  <c r="C64" i="17" s="1"/>
  <c r="C65" i="17" s="1"/>
  <c r="C66" i="17" s="1"/>
  <c r="C67" i="17" s="1"/>
  <c r="C68" i="17" s="1"/>
  <c r="C69" i="17" s="1"/>
  <c r="C70" i="17" s="1"/>
  <c r="C41" i="17"/>
  <c r="B9" i="17"/>
  <c r="B10" i="17"/>
  <c r="B11" i="17"/>
  <c r="B12" i="17"/>
  <c r="B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39" i="17"/>
  <c r="B40" i="17"/>
  <c r="B41" i="17"/>
  <c r="B42" i="17"/>
  <c r="B43" i="17"/>
  <c r="B44" i="17"/>
  <c r="B45" i="17"/>
  <c r="B46" i="17"/>
  <c r="B47" i="17"/>
  <c r="B48" i="17"/>
  <c r="B49" i="17"/>
  <c r="B50" i="17"/>
  <c r="B51" i="17"/>
  <c r="B52" i="17"/>
  <c r="B53" i="17"/>
  <c r="B54" i="17"/>
  <c r="B55" i="17"/>
  <c r="B56" i="17"/>
  <c r="B57" i="17"/>
  <c r="B58" i="17"/>
  <c r="B59" i="17"/>
  <c r="B60"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86" i="17"/>
  <c r="B87" i="17"/>
  <c r="B88" i="17"/>
  <c r="B89" i="17"/>
  <c r="B90" i="17"/>
  <c r="B91" i="17"/>
  <c r="B92" i="17"/>
  <c r="B93" i="17"/>
  <c r="B94" i="17"/>
  <c r="B95" i="17"/>
  <c r="B96" i="17"/>
  <c r="B97" i="17"/>
  <c r="B98" i="17"/>
  <c r="B99" i="17"/>
  <c r="B100" i="17"/>
  <c r="B101" i="17"/>
  <c r="B102" i="17"/>
  <c r="B103" i="17"/>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03" i="17"/>
  <c r="B204" i="17"/>
  <c r="B205" i="17"/>
  <c r="B206" i="17"/>
  <c r="B207" i="17"/>
  <c r="B208" i="17"/>
  <c r="B209" i="17"/>
  <c r="B210" i="17"/>
  <c r="B211" i="17"/>
  <c r="B212" i="17"/>
  <c r="B213" i="17"/>
  <c r="B214" i="17"/>
  <c r="B215" i="17"/>
  <c r="B216" i="17"/>
  <c r="B217" i="17"/>
  <c r="B218" i="17"/>
  <c r="B219" i="17"/>
  <c r="B220" i="17"/>
  <c r="B221" i="17"/>
  <c r="B222" i="17"/>
  <c r="B223" i="17"/>
  <c r="B224" i="17"/>
  <c r="B225" i="17"/>
  <c r="B226" i="17"/>
  <c r="B227" i="17"/>
  <c r="B228" i="17"/>
  <c r="B229" i="17"/>
  <c r="B230" i="17"/>
  <c r="B231" i="17"/>
  <c r="B232" i="17"/>
  <c r="B233" i="17"/>
  <c r="B234" i="17"/>
  <c r="B235" i="17"/>
  <c r="B236" i="17"/>
  <c r="B237" i="17"/>
  <c r="B238" i="17"/>
  <c r="B239" i="17"/>
  <c r="B240" i="17"/>
  <c r="B241" i="17"/>
  <c r="B242" i="17"/>
  <c r="B243" i="17"/>
  <c r="B244" i="17"/>
  <c r="B245" i="17"/>
  <c r="B246" i="17"/>
  <c r="B247" i="17"/>
  <c r="B248" i="17"/>
  <c r="B249" i="17"/>
  <c r="B250" i="17"/>
  <c r="B251" i="17"/>
  <c r="B252" i="17"/>
  <c r="B253" i="17"/>
  <c r="B254" i="17"/>
  <c r="B255" i="17"/>
  <c r="B256" i="17"/>
  <c r="B257" i="17"/>
  <c r="B258" i="17"/>
  <c r="B259" i="17"/>
  <c r="B260" i="17"/>
  <c r="B261" i="17"/>
  <c r="B262" i="17"/>
  <c r="B263" i="17"/>
  <c r="B264" i="17"/>
  <c r="B265" i="17"/>
  <c r="B266" i="17"/>
  <c r="B267" i="17"/>
  <c r="B268" i="17"/>
  <c r="B269" i="17"/>
  <c r="B270" i="17"/>
  <c r="B271" i="17"/>
  <c r="B272" i="17"/>
  <c r="B273" i="17"/>
  <c r="B274" i="17"/>
  <c r="B275" i="17"/>
  <c r="B276" i="17"/>
  <c r="B277" i="17"/>
  <c r="B278" i="17"/>
  <c r="B279" i="17"/>
  <c r="B280" i="17"/>
  <c r="B281" i="17"/>
  <c r="B282" i="17"/>
  <c r="B283" i="17"/>
  <c r="B284" i="17"/>
  <c r="B285" i="17"/>
  <c r="B286" i="17"/>
  <c r="B287" i="17"/>
  <c r="B288" i="17"/>
  <c r="B289" i="17"/>
  <c r="B290" i="17"/>
  <c r="B291" i="17"/>
  <c r="B292" i="17"/>
  <c r="B293" i="17"/>
  <c r="B294" i="17"/>
  <c r="B295" i="17"/>
  <c r="B296" i="17"/>
  <c r="B297" i="17"/>
  <c r="B298" i="17"/>
  <c r="B299" i="17"/>
  <c r="B300" i="17"/>
  <c r="B301" i="17"/>
  <c r="B302" i="17"/>
  <c r="B303" i="17"/>
  <c r="B304" i="17"/>
  <c r="B305" i="17"/>
  <c r="B306" i="17"/>
  <c r="B307" i="17"/>
  <c r="B308" i="17"/>
  <c r="B309" i="17"/>
  <c r="B310" i="17"/>
  <c r="B311" i="17"/>
  <c r="B312" i="17"/>
  <c r="B313" i="17"/>
  <c r="B314" i="17"/>
  <c r="B315" i="17"/>
  <c r="B316" i="17"/>
  <c r="B317" i="17"/>
  <c r="B318" i="17"/>
  <c r="B319" i="17"/>
  <c r="B320" i="17"/>
  <c r="B321" i="17"/>
  <c r="B322" i="17"/>
  <c r="B323" i="17"/>
  <c r="B324" i="17"/>
  <c r="B325" i="17"/>
  <c r="B326" i="17"/>
  <c r="B327" i="17"/>
  <c r="B328" i="17"/>
  <c r="B329" i="17"/>
  <c r="B330" i="17"/>
  <c r="B331" i="17"/>
  <c r="B332" i="17"/>
  <c r="B333" i="17"/>
  <c r="B334" i="17"/>
  <c r="B335" i="17"/>
  <c r="B336" i="17"/>
  <c r="B337" i="17"/>
  <c r="B338" i="17"/>
  <c r="B339" i="17"/>
  <c r="B340" i="17"/>
  <c r="B341" i="17"/>
  <c r="B342" i="17"/>
  <c r="B343" i="17"/>
  <c r="B344" i="17"/>
  <c r="B345" i="17"/>
  <c r="B346" i="17"/>
  <c r="B347" i="17"/>
  <c r="B348" i="17"/>
  <c r="B349" i="17"/>
  <c r="B350" i="17"/>
  <c r="B351" i="17"/>
  <c r="B352" i="17"/>
  <c r="B353" i="17"/>
  <c r="B354" i="17"/>
  <c r="B355" i="17"/>
  <c r="B356" i="17"/>
  <c r="B357" i="17"/>
  <c r="B358" i="17"/>
  <c r="B359" i="17"/>
  <c r="B360" i="17"/>
  <c r="B361" i="17"/>
  <c r="B362" i="17"/>
  <c r="B363" i="17"/>
  <c r="B364" i="17"/>
  <c r="B365" i="17"/>
  <c r="B366" i="17"/>
  <c r="B367" i="17"/>
  <c r="B368" i="17"/>
  <c r="B369" i="17"/>
  <c r="B370" i="17"/>
  <c r="B371" i="17"/>
  <c r="B372" i="17"/>
  <c r="B373" i="17"/>
  <c r="B374" i="17"/>
  <c r="B375" i="17"/>
  <c r="B376" i="17"/>
  <c r="B377" i="17"/>
  <c r="B378" i="17"/>
  <c r="B379" i="17"/>
  <c r="B380" i="17"/>
  <c r="B381" i="17"/>
  <c r="B382" i="17"/>
  <c r="B383" i="17"/>
  <c r="B384" i="17"/>
  <c r="B385" i="17"/>
  <c r="B386" i="17"/>
  <c r="B387" i="17"/>
  <c r="B388" i="17"/>
  <c r="B389" i="17"/>
  <c r="B390" i="17"/>
  <c r="B391" i="17"/>
  <c r="B392" i="17"/>
  <c r="B393" i="17"/>
  <c r="B394" i="17"/>
  <c r="B395" i="17"/>
  <c r="B396" i="17"/>
  <c r="B397" i="17"/>
  <c r="B398" i="17"/>
  <c r="B399" i="17"/>
  <c r="B400" i="17"/>
  <c r="B401" i="17"/>
  <c r="B402" i="17"/>
  <c r="B403" i="17"/>
  <c r="B404" i="17"/>
  <c r="B405" i="17"/>
  <c r="B406" i="17"/>
  <c r="B407" i="17"/>
  <c r="B408" i="17"/>
  <c r="B409" i="17"/>
  <c r="B410" i="17"/>
  <c r="B411" i="17"/>
  <c r="B412" i="17"/>
  <c r="B413" i="17"/>
  <c r="B414" i="17"/>
  <c r="B415" i="17"/>
  <c r="B416" i="17"/>
  <c r="B417" i="17"/>
  <c r="B418" i="17"/>
  <c r="B419" i="17"/>
  <c r="B420" i="17"/>
  <c r="B421" i="17"/>
  <c r="B422" i="17"/>
  <c r="B423" i="17"/>
  <c r="B424" i="17"/>
  <c r="B425" i="17"/>
  <c r="B426" i="17"/>
  <c r="B427" i="17"/>
  <c r="B428" i="17"/>
  <c r="B429" i="17"/>
  <c r="B430" i="17"/>
  <c r="B431" i="17"/>
  <c r="B432" i="17"/>
  <c r="B433" i="17"/>
  <c r="B434" i="17"/>
  <c r="B435" i="17"/>
  <c r="B436" i="17"/>
  <c r="B437" i="17"/>
  <c r="B438" i="17"/>
  <c r="B439" i="17"/>
  <c r="B440" i="17"/>
  <c r="B441" i="17"/>
  <c r="B442" i="17"/>
  <c r="B443" i="17"/>
  <c r="B444" i="17"/>
  <c r="B445" i="17"/>
  <c r="B446" i="17"/>
  <c r="B447" i="17"/>
  <c r="B448" i="17"/>
  <c r="B449" i="17"/>
  <c r="B450" i="17"/>
  <c r="B451" i="17"/>
  <c r="B452" i="17"/>
  <c r="B453" i="17"/>
  <c r="B454" i="17"/>
  <c r="B455" i="17"/>
  <c r="B456" i="17"/>
  <c r="B457" i="17"/>
  <c r="B458" i="17"/>
  <c r="B459" i="17"/>
  <c r="B460" i="17"/>
  <c r="B461" i="17"/>
  <c r="B462" i="17"/>
  <c r="B463" i="17"/>
  <c r="B464" i="17"/>
  <c r="B465" i="17"/>
  <c r="B466" i="17"/>
  <c r="B467" i="17"/>
  <c r="B468" i="17"/>
  <c r="B469" i="17"/>
  <c r="B470" i="17"/>
  <c r="B471" i="17"/>
  <c r="B472" i="17"/>
  <c r="B473" i="17"/>
  <c r="B474" i="17"/>
  <c r="B475" i="17"/>
  <c r="B476" i="17"/>
  <c r="B477" i="17"/>
  <c r="B478" i="17"/>
  <c r="B479" i="17"/>
  <c r="B480" i="17"/>
  <c r="B481" i="17"/>
  <c r="B482" i="17"/>
  <c r="B483" i="17"/>
  <c r="B484" i="17"/>
  <c r="B485" i="17"/>
  <c r="B486" i="17"/>
  <c r="B487" i="17"/>
  <c r="B488" i="17"/>
  <c r="B489" i="17"/>
  <c r="B490" i="17"/>
  <c r="B491" i="17"/>
  <c r="B492" i="17"/>
  <c r="B493" i="17"/>
  <c r="B494" i="17"/>
  <c r="B495" i="17"/>
  <c r="B496" i="17"/>
  <c r="B497" i="17"/>
  <c r="B498" i="17"/>
  <c r="B499" i="17"/>
  <c r="B500" i="17"/>
  <c r="B501" i="17"/>
  <c r="B502" i="17"/>
  <c r="B503" i="17"/>
  <c r="B504" i="17"/>
  <c r="B505" i="17"/>
  <c r="B506" i="17"/>
  <c r="B507" i="17"/>
  <c r="B508" i="17"/>
  <c r="B509" i="17"/>
  <c r="B510" i="17"/>
  <c r="B511" i="17"/>
  <c r="B512" i="17"/>
  <c r="B513" i="17"/>
  <c r="B514" i="17"/>
  <c r="B515" i="17"/>
  <c r="B516" i="17"/>
  <c r="B517" i="17"/>
  <c r="B518" i="17"/>
  <c r="B519" i="17"/>
  <c r="B520" i="17"/>
  <c r="B521" i="17"/>
  <c r="B522" i="17"/>
  <c r="B523" i="17"/>
  <c r="B524" i="17"/>
  <c r="B525" i="17"/>
  <c r="B526" i="17"/>
  <c r="B527" i="17"/>
  <c r="B528" i="17"/>
  <c r="B529" i="17"/>
  <c r="B530" i="17"/>
  <c r="B531" i="17"/>
  <c r="B532" i="17"/>
  <c r="B533" i="17"/>
  <c r="B534" i="17"/>
  <c r="B535" i="17"/>
  <c r="B536" i="17"/>
  <c r="B537" i="17"/>
  <c r="B538" i="17"/>
  <c r="B539" i="17"/>
  <c r="B540" i="17"/>
  <c r="B541" i="17"/>
  <c r="B542" i="17"/>
  <c r="B543" i="17"/>
  <c r="B544" i="17"/>
  <c r="B545" i="17"/>
  <c r="B546" i="17"/>
  <c r="B547" i="17"/>
  <c r="B548" i="17"/>
  <c r="B549" i="17"/>
  <c r="B550" i="17"/>
  <c r="B551" i="17"/>
  <c r="B552" i="17"/>
  <c r="B553" i="17"/>
  <c r="B554" i="17"/>
  <c r="B555" i="17"/>
  <c r="B556" i="17"/>
  <c r="B557" i="17"/>
  <c r="B558" i="17"/>
  <c r="B559" i="17"/>
  <c r="B560" i="17"/>
  <c r="B561" i="17"/>
  <c r="B562" i="17"/>
  <c r="B563" i="17"/>
  <c r="B564" i="17"/>
  <c r="B565" i="17"/>
  <c r="B566" i="17"/>
  <c r="B567" i="17"/>
  <c r="B568" i="17"/>
  <c r="B569" i="17"/>
  <c r="B570" i="17"/>
  <c r="B571" i="17"/>
  <c r="B572" i="17"/>
  <c r="B573" i="17"/>
  <c r="B574" i="17"/>
  <c r="B575" i="17"/>
  <c r="B576" i="17"/>
  <c r="B577" i="17"/>
  <c r="B578" i="17"/>
  <c r="B579" i="17"/>
  <c r="B580" i="17"/>
  <c r="B581" i="17"/>
  <c r="B582" i="17"/>
  <c r="B583" i="17"/>
  <c r="B584" i="17"/>
  <c r="B585" i="17"/>
  <c r="B586" i="17"/>
  <c r="B587" i="17"/>
  <c r="B588" i="17"/>
  <c r="B589" i="17"/>
  <c r="B590" i="17"/>
  <c r="B591" i="17"/>
  <c r="B592" i="17"/>
  <c r="B593" i="17"/>
  <c r="B594" i="17"/>
  <c r="B595" i="17"/>
  <c r="B596" i="17"/>
  <c r="B597" i="17"/>
  <c r="B598" i="17"/>
  <c r="B599" i="17"/>
  <c r="B600" i="17"/>
  <c r="B601" i="17"/>
  <c r="B602" i="17"/>
  <c r="B603" i="17"/>
  <c r="B604" i="17"/>
  <c r="B605" i="17"/>
  <c r="B606" i="17"/>
  <c r="B607" i="17"/>
  <c r="B608" i="17"/>
  <c r="B609" i="17"/>
  <c r="B610" i="17"/>
  <c r="B611" i="17"/>
  <c r="B612" i="17"/>
  <c r="B613" i="17"/>
  <c r="B614" i="17"/>
  <c r="B615" i="17"/>
  <c r="B616" i="17"/>
  <c r="B617" i="17"/>
  <c r="B618" i="17"/>
  <c r="B619" i="17"/>
  <c r="B620" i="17"/>
  <c r="B621" i="17"/>
  <c r="B622" i="17"/>
  <c r="B623" i="17"/>
  <c r="B624" i="17"/>
  <c r="B625" i="17"/>
  <c r="B626" i="17"/>
  <c r="B627" i="17"/>
  <c r="B628" i="17"/>
  <c r="B629" i="17"/>
  <c r="B630" i="17"/>
  <c r="B631" i="17"/>
  <c r="B632" i="17"/>
  <c r="B633" i="17"/>
  <c r="B634" i="17"/>
  <c r="B635" i="17"/>
  <c r="B636" i="17"/>
  <c r="B637" i="17"/>
  <c r="B638" i="17"/>
  <c r="B639" i="17"/>
  <c r="B640" i="17"/>
  <c r="B641" i="17"/>
  <c r="B642" i="17"/>
  <c r="B643" i="17"/>
  <c r="B644" i="17"/>
  <c r="B645" i="17"/>
  <c r="B646" i="17"/>
  <c r="B647" i="17"/>
  <c r="B648" i="17"/>
  <c r="B649" i="17"/>
  <c r="B650" i="17"/>
  <c r="B651" i="17"/>
  <c r="B652" i="17"/>
  <c r="B653" i="17"/>
  <c r="B654" i="17"/>
  <c r="B655" i="17"/>
  <c r="B656" i="17"/>
  <c r="B657" i="17"/>
  <c r="B658" i="17"/>
  <c r="B659" i="17"/>
  <c r="B660" i="17"/>
  <c r="B661" i="17"/>
  <c r="B662" i="17"/>
  <c r="B663" i="17"/>
  <c r="B664" i="17"/>
  <c r="B665" i="17"/>
  <c r="B666" i="17"/>
  <c r="B667" i="17"/>
  <c r="B668" i="17"/>
  <c r="B669" i="17"/>
  <c r="B670" i="17"/>
  <c r="B671" i="17"/>
  <c r="B672" i="17"/>
  <c r="B673" i="17"/>
  <c r="B674" i="17"/>
  <c r="B675" i="17"/>
  <c r="B676" i="17"/>
  <c r="B677" i="17"/>
  <c r="B678" i="17"/>
  <c r="B679" i="17"/>
  <c r="B680" i="17"/>
  <c r="B681" i="17"/>
  <c r="B682" i="17"/>
  <c r="B683" i="17"/>
  <c r="B684" i="17"/>
  <c r="B685" i="17"/>
  <c r="B686" i="17"/>
  <c r="B687" i="17"/>
  <c r="B688" i="17"/>
  <c r="B689" i="17"/>
  <c r="B690" i="17"/>
  <c r="B691" i="17"/>
  <c r="B692" i="17"/>
  <c r="B693" i="17"/>
  <c r="B694" i="17"/>
  <c r="B695" i="17"/>
  <c r="B696" i="17"/>
  <c r="B697" i="17"/>
  <c r="B698" i="17"/>
  <c r="B699" i="17"/>
  <c r="B700" i="17"/>
  <c r="B701" i="17"/>
  <c r="B702" i="17"/>
  <c r="B703" i="17"/>
  <c r="B704" i="17"/>
  <c r="B705" i="17"/>
  <c r="B706" i="17"/>
  <c r="B707" i="17"/>
  <c r="B708" i="17"/>
  <c r="B709" i="17"/>
  <c r="B710" i="17"/>
  <c r="B711" i="17"/>
  <c r="B712" i="17"/>
  <c r="B713" i="17"/>
  <c r="B714" i="17"/>
  <c r="B715" i="17"/>
  <c r="B716" i="17"/>
  <c r="B717" i="17"/>
  <c r="B718" i="17"/>
  <c r="B719" i="17"/>
  <c r="B720" i="17"/>
  <c r="B721" i="17"/>
  <c r="B722" i="17"/>
  <c r="B723" i="17"/>
  <c r="B724" i="17"/>
  <c r="B725" i="17"/>
  <c r="B726" i="17"/>
  <c r="B727" i="17"/>
  <c r="B728" i="17"/>
  <c r="B729" i="17"/>
  <c r="B730" i="17"/>
  <c r="B731" i="17"/>
  <c r="B732" i="17"/>
  <c r="B733" i="17"/>
  <c r="B734" i="17"/>
  <c r="B735" i="17"/>
  <c r="B736" i="17"/>
  <c r="B737" i="17"/>
  <c r="B738" i="17"/>
  <c r="B739" i="17"/>
  <c r="B740" i="17"/>
  <c r="B741" i="17"/>
  <c r="B742" i="17"/>
  <c r="B743" i="17"/>
  <c r="B744" i="17"/>
  <c r="B745" i="17"/>
  <c r="B746" i="17"/>
  <c r="B747" i="17"/>
  <c r="B748" i="17"/>
  <c r="B749" i="17"/>
  <c r="B750" i="17"/>
  <c r="B751" i="17"/>
  <c r="B752" i="17"/>
  <c r="B753" i="17"/>
  <c r="B754" i="17"/>
  <c r="B755" i="17"/>
  <c r="B756" i="17"/>
  <c r="B757" i="17"/>
  <c r="B758" i="17"/>
  <c r="B759" i="17"/>
  <c r="B760" i="17"/>
  <c r="B761" i="17"/>
  <c r="B762" i="17"/>
  <c r="B763" i="17"/>
  <c r="B764" i="17"/>
  <c r="B765" i="17"/>
  <c r="B766" i="17"/>
  <c r="B767" i="17"/>
  <c r="B768" i="17"/>
  <c r="B769" i="17"/>
  <c r="B770" i="17"/>
  <c r="B771" i="17"/>
  <c r="B772" i="17"/>
  <c r="B773" i="17"/>
  <c r="B774" i="17"/>
  <c r="B775" i="17"/>
  <c r="B776" i="17"/>
  <c r="B777" i="17"/>
  <c r="B778" i="17"/>
  <c r="B779" i="17"/>
  <c r="B780" i="17"/>
  <c r="B781" i="17"/>
  <c r="B782" i="17"/>
  <c r="B783" i="17"/>
  <c r="B784" i="17"/>
  <c r="B785" i="17"/>
  <c r="B786" i="17"/>
  <c r="B787" i="17"/>
  <c r="B788" i="17"/>
  <c r="B789" i="17"/>
  <c r="B790" i="17"/>
  <c r="B791" i="17"/>
  <c r="B792" i="17"/>
  <c r="B793" i="17"/>
  <c r="B794" i="17"/>
  <c r="B795" i="17"/>
  <c r="B796" i="17"/>
  <c r="B797" i="17"/>
  <c r="B798" i="17"/>
  <c r="B799" i="17"/>
  <c r="B800" i="17"/>
  <c r="B801" i="17"/>
  <c r="B802" i="17"/>
  <c r="B803" i="17"/>
  <c r="B804" i="17"/>
  <c r="B805" i="17"/>
  <c r="B806" i="17"/>
  <c r="B807" i="17"/>
  <c r="B808" i="17"/>
  <c r="B809" i="17"/>
  <c r="B810" i="17"/>
  <c r="B811" i="17"/>
  <c r="B812" i="17"/>
  <c r="B813" i="17"/>
  <c r="B814" i="17"/>
  <c r="B815" i="17"/>
  <c r="B816" i="17"/>
  <c r="B817" i="17"/>
  <c r="B818" i="17"/>
  <c r="B819" i="17"/>
  <c r="B820" i="17"/>
  <c r="B821" i="17"/>
  <c r="B822" i="17"/>
  <c r="B823" i="17"/>
  <c r="B824" i="17"/>
  <c r="B825" i="17"/>
  <c r="B826" i="17"/>
  <c r="B827" i="17"/>
  <c r="B828" i="17"/>
  <c r="B829" i="17"/>
  <c r="B830" i="17"/>
  <c r="B831" i="17"/>
  <c r="B832" i="17"/>
  <c r="B833" i="17"/>
  <c r="B834" i="17"/>
  <c r="B835" i="17"/>
  <c r="B836" i="17"/>
  <c r="B837" i="17"/>
  <c r="B838" i="17"/>
  <c r="B839" i="17"/>
  <c r="B840" i="17"/>
  <c r="B841" i="17"/>
  <c r="B842" i="17"/>
  <c r="B843" i="17"/>
  <c r="B844" i="17"/>
  <c r="B845" i="17"/>
  <c r="B846" i="17"/>
  <c r="B847" i="17"/>
  <c r="B848" i="17"/>
  <c r="B849" i="17"/>
  <c r="B850" i="17"/>
  <c r="B851" i="17"/>
  <c r="B852" i="17"/>
  <c r="B853" i="17"/>
  <c r="B854" i="17"/>
  <c r="B855" i="17"/>
  <c r="B856" i="17"/>
  <c r="B857" i="17"/>
  <c r="B858" i="17"/>
  <c r="B859" i="17"/>
  <c r="B860" i="17"/>
  <c r="B861" i="17"/>
  <c r="B862" i="17"/>
  <c r="B863" i="17"/>
  <c r="B864" i="17"/>
  <c r="B865" i="17"/>
  <c r="B866" i="17"/>
  <c r="B867" i="17"/>
  <c r="B868" i="17"/>
  <c r="B869" i="17"/>
  <c r="B870" i="17"/>
  <c r="B871" i="17"/>
  <c r="B872" i="17"/>
  <c r="B873" i="17"/>
  <c r="B874" i="17"/>
  <c r="B875" i="17"/>
  <c r="B876" i="17"/>
  <c r="B877" i="17"/>
  <c r="B878" i="17"/>
  <c r="B879" i="17"/>
  <c r="B880" i="17"/>
  <c r="B881" i="17"/>
  <c r="B882" i="17"/>
  <c r="B883" i="17"/>
  <c r="B884" i="17"/>
  <c r="B885" i="17"/>
  <c r="B886" i="17"/>
  <c r="B887" i="17"/>
  <c r="B888" i="17"/>
  <c r="B889" i="17"/>
  <c r="B890" i="17"/>
  <c r="B891" i="17"/>
  <c r="B892" i="17"/>
  <c r="B893" i="17"/>
  <c r="B894" i="17"/>
  <c r="B895" i="17"/>
  <c r="B896" i="17"/>
  <c r="B897" i="17"/>
  <c r="B898" i="17"/>
  <c r="B899" i="17"/>
  <c r="B900" i="17"/>
  <c r="B901" i="17"/>
  <c r="B902" i="17"/>
  <c r="B903" i="17"/>
  <c r="B904" i="17"/>
  <c r="B905" i="17"/>
  <c r="B906" i="17"/>
  <c r="B907" i="17"/>
  <c r="B908" i="17"/>
  <c r="B909" i="17"/>
  <c r="B910" i="17"/>
  <c r="B911" i="17"/>
  <c r="B912" i="17"/>
  <c r="B913" i="17"/>
  <c r="B914" i="17"/>
  <c r="B915" i="17"/>
  <c r="B916" i="17"/>
  <c r="B917" i="17"/>
  <c r="B918" i="17"/>
  <c r="B919" i="17"/>
  <c r="B920" i="17"/>
  <c r="B921" i="17"/>
  <c r="B922" i="17"/>
  <c r="B923" i="17"/>
  <c r="B924" i="17"/>
  <c r="B925" i="17"/>
  <c r="B926" i="17"/>
  <c r="B927" i="17"/>
  <c r="B928" i="17"/>
  <c r="B929" i="17"/>
  <c r="B930" i="17"/>
  <c r="B931" i="17"/>
  <c r="B932" i="17"/>
  <c r="B933" i="17"/>
  <c r="B934" i="17"/>
  <c r="B935" i="17"/>
  <c r="B936" i="17"/>
  <c r="B937" i="17"/>
  <c r="B938" i="17"/>
  <c r="B939" i="17"/>
  <c r="B940" i="17"/>
  <c r="B941" i="17"/>
  <c r="B942" i="17"/>
  <c r="B943" i="17"/>
  <c r="B944" i="17"/>
  <c r="B945" i="17"/>
  <c r="B946" i="17"/>
  <c r="B947" i="17"/>
  <c r="B948" i="17"/>
  <c r="B949" i="17"/>
  <c r="B950" i="17"/>
  <c r="B951" i="17"/>
  <c r="B952" i="17"/>
  <c r="B953" i="17"/>
  <c r="B954" i="17"/>
  <c r="B955" i="17"/>
  <c r="B956" i="17"/>
  <c r="B957" i="17"/>
  <c r="B958" i="17"/>
  <c r="B959" i="17"/>
  <c r="B960" i="17"/>
  <c r="B961" i="17"/>
  <c r="B962" i="17"/>
  <c r="B963" i="17"/>
  <c r="B964" i="17"/>
  <c r="B965" i="17"/>
  <c r="B966" i="17"/>
  <c r="B967" i="17"/>
  <c r="B968" i="17"/>
  <c r="B969" i="17"/>
  <c r="B970" i="17"/>
  <c r="B971" i="17"/>
  <c r="B972" i="17"/>
  <c r="B973" i="17"/>
  <c r="B974" i="17"/>
  <c r="B975" i="17"/>
  <c r="B976" i="17"/>
  <c r="B977" i="17"/>
  <c r="B978" i="17"/>
  <c r="B979" i="17"/>
  <c r="B980" i="17"/>
  <c r="B981" i="17"/>
  <c r="B982" i="17"/>
  <c r="B983" i="17"/>
  <c r="B984" i="17"/>
  <c r="B985" i="17"/>
  <c r="B986" i="17"/>
  <c r="B987" i="17"/>
  <c r="B988" i="17"/>
  <c r="B989" i="17"/>
  <c r="B990" i="17"/>
  <c r="B991" i="17"/>
  <c r="B992" i="17"/>
  <c r="B993" i="17"/>
  <c r="B994" i="17"/>
  <c r="B995" i="17"/>
  <c r="B996" i="17"/>
  <c r="B997" i="17"/>
  <c r="B998" i="17"/>
  <c r="B999" i="17"/>
  <c r="B1000" i="17"/>
  <c r="B1001" i="17"/>
  <c r="B1002" i="17"/>
  <c r="B1003" i="17"/>
  <c r="B1004" i="17"/>
  <c r="B1005" i="17"/>
  <c r="B1006" i="17"/>
  <c r="B1007" i="17"/>
  <c r="B1008" i="17"/>
  <c r="B1009" i="17"/>
  <c r="B1010" i="17"/>
  <c r="B1011" i="17"/>
  <c r="B1012" i="17"/>
  <c r="B1013" i="17"/>
  <c r="B1014" i="17"/>
  <c r="B1015" i="17"/>
  <c r="B1016" i="17"/>
  <c r="B1017" i="17"/>
  <c r="B1018" i="17"/>
  <c r="B1019" i="17"/>
  <c r="B1020" i="17"/>
  <c r="B1021" i="17"/>
  <c r="B1022" i="17"/>
  <c r="B1023" i="17"/>
  <c r="B1024" i="17"/>
  <c r="B1025" i="17"/>
  <c r="B1026" i="17"/>
  <c r="B1027" i="17"/>
  <c r="B1028" i="17"/>
  <c r="B1029" i="17"/>
  <c r="B1030" i="17"/>
  <c r="B1031" i="17"/>
  <c r="B8" i="17"/>
  <c r="A1025" i="17"/>
  <c r="A1026" i="17"/>
  <c r="A1027" i="17"/>
  <c r="A1028" i="17" s="1"/>
  <c r="A1029" i="17" s="1"/>
  <c r="A1030" i="17" s="1"/>
  <c r="A1031" i="17" s="1"/>
  <c r="A10" i="17"/>
  <c r="A11" i="17"/>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A115" i="17" s="1"/>
  <c r="A116" i="17" s="1"/>
  <c r="A117" i="17" s="1"/>
  <c r="A118" i="17" s="1"/>
  <c r="A119" i="17" s="1"/>
  <c r="A120" i="17" s="1"/>
  <c r="A121" i="17" s="1"/>
  <c r="A122" i="17" s="1"/>
  <c r="A123" i="17" s="1"/>
  <c r="A124" i="17" s="1"/>
  <c r="A125" i="17" s="1"/>
  <c r="A126" i="17" s="1"/>
  <c r="A127" i="17" s="1"/>
  <c r="A128" i="17" s="1"/>
  <c r="A129" i="17" s="1"/>
  <c r="A130" i="17" s="1"/>
  <c r="A131" i="17" s="1"/>
  <c r="A132" i="17" s="1"/>
  <c r="A133" i="17" s="1"/>
  <c r="A134" i="17" s="1"/>
  <c r="A135" i="17" s="1"/>
  <c r="A136" i="17" s="1"/>
  <c r="A137" i="17" s="1"/>
  <c r="A138" i="17" s="1"/>
  <c r="A139" i="17" s="1"/>
  <c r="A140" i="17" s="1"/>
  <c r="A141" i="17" s="1"/>
  <c r="A142" i="17" s="1"/>
  <c r="A143" i="17" s="1"/>
  <c r="A144" i="17" s="1"/>
  <c r="A145" i="17" s="1"/>
  <c r="A146" i="17" s="1"/>
  <c r="A147" i="17" s="1"/>
  <c r="A148" i="17" s="1"/>
  <c r="A149" i="17" s="1"/>
  <c r="A150" i="17" s="1"/>
  <c r="A151" i="17" s="1"/>
  <c r="A152" i="17" s="1"/>
  <c r="A153" i="17" s="1"/>
  <c r="A154" i="17" s="1"/>
  <c r="A155" i="17" s="1"/>
  <c r="A156" i="17" s="1"/>
  <c r="A157" i="17" s="1"/>
  <c r="A158" i="17" s="1"/>
  <c r="A159" i="17" s="1"/>
  <c r="A160" i="17" s="1"/>
  <c r="A161" i="17" s="1"/>
  <c r="A162" i="17" s="1"/>
  <c r="A163" i="17" s="1"/>
  <c r="A164" i="17" s="1"/>
  <c r="A165" i="17" s="1"/>
  <c r="A166" i="17" s="1"/>
  <c r="A167" i="17" s="1"/>
  <c r="A168" i="17" s="1"/>
  <c r="A169" i="17" s="1"/>
  <c r="A170" i="17" s="1"/>
  <c r="A171" i="17" s="1"/>
  <c r="A172" i="17" s="1"/>
  <c r="A173" i="17" s="1"/>
  <c r="A174" i="17" s="1"/>
  <c r="A175" i="17" s="1"/>
  <c r="A176" i="17" s="1"/>
  <c r="A177" i="17" s="1"/>
  <c r="A178" i="17" s="1"/>
  <c r="A179" i="17" s="1"/>
  <c r="A180" i="17" s="1"/>
  <c r="A181" i="17" s="1"/>
  <c r="A182" i="17" s="1"/>
  <c r="A183" i="17" s="1"/>
  <c r="A184" i="17" s="1"/>
  <c r="A185" i="17" s="1"/>
  <c r="A186" i="17" s="1"/>
  <c r="A187" i="17" s="1"/>
  <c r="A188" i="17" s="1"/>
  <c r="A189" i="17" s="1"/>
  <c r="A190" i="17" s="1"/>
  <c r="A191" i="17" s="1"/>
  <c r="A192" i="17" s="1"/>
  <c r="A193" i="17" s="1"/>
  <c r="A194" i="17" s="1"/>
  <c r="A195" i="17" s="1"/>
  <c r="A196" i="17" s="1"/>
  <c r="A197" i="17" s="1"/>
  <c r="A198" i="17" s="1"/>
  <c r="A199" i="17" s="1"/>
  <c r="A200" i="17" s="1"/>
  <c r="A201" i="17" s="1"/>
  <c r="A202" i="17" s="1"/>
  <c r="A203" i="17" s="1"/>
  <c r="A204" i="17" s="1"/>
  <c r="A205" i="17" s="1"/>
  <c r="A206" i="17" s="1"/>
  <c r="A207" i="17" s="1"/>
  <c r="A208" i="17" s="1"/>
  <c r="A209" i="17" s="1"/>
  <c r="A210" i="17" s="1"/>
  <c r="A211" i="17" s="1"/>
  <c r="A212" i="17" s="1"/>
  <c r="A213" i="17" s="1"/>
  <c r="A214" i="17" s="1"/>
  <c r="A215" i="17" s="1"/>
  <c r="A216" i="17" s="1"/>
  <c r="A217" i="17" s="1"/>
  <c r="A218" i="17" s="1"/>
  <c r="A219" i="17" s="1"/>
  <c r="A220" i="17" s="1"/>
  <c r="A221" i="17" s="1"/>
  <c r="A222" i="17" s="1"/>
  <c r="A223" i="17" s="1"/>
  <c r="A224" i="17" s="1"/>
  <c r="A225" i="17" s="1"/>
  <c r="A226" i="17" s="1"/>
  <c r="A227" i="17" s="1"/>
  <c r="A228" i="17" s="1"/>
  <c r="A229" i="17" s="1"/>
  <c r="A230" i="17" s="1"/>
  <c r="A231" i="17" s="1"/>
  <c r="A232" i="17" s="1"/>
  <c r="A233" i="17" s="1"/>
  <c r="A234" i="17" s="1"/>
  <c r="A235" i="17" s="1"/>
  <c r="A236" i="17" s="1"/>
  <c r="A237" i="17" s="1"/>
  <c r="A238" i="17" s="1"/>
  <c r="A239" i="17" s="1"/>
  <c r="A240" i="17" s="1"/>
  <c r="A241" i="17" s="1"/>
  <c r="A242" i="17" s="1"/>
  <c r="A243" i="17" s="1"/>
  <c r="A244" i="17" s="1"/>
  <c r="A245" i="17" s="1"/>
  <c r="A246" i="17" s="1"/>
  <c r="A247" i="17" s="1"/>
  <c r="A248" i="17" s="1"/>
  <c r="A249" i="17" s="1"/>
  <c r="A250" i="17" s="1"/>
  <c r="A251" i="17" s="1"/>
  <c r="A252" i="17" s="1"/>
  <c r="A253" i="17" s="1"/>
  <c r="A254" i="17" s="1"/>
  <c r="A255" i="17" s="1"/>
  <c r="A256" i="17" s="1"/>
  <c r="A257" i="17" s="1"/>
  <c r="A258" i="17" s="1"/>
  <c r="A259" i="17" s="1"/>
  <c r="A260" i="17" s="1"/>
  <c r="A261" i="17" s="1"/>
  <c r="A262" i="17" s="1"/>
  <c r="A263" i="17" s="1"/>
  <c r="A264" i="17" s="1"/>
  <c r="A265" i="17" s="1"/>
  <c r="A266" i="17" s="1"/>
  <c r="A267" i="17" s="1"/>
  <c r="A268" i="17" s="1"/>
  <c r="A269" i="17" s="1"/>
  <c r="A270" i="17" s="1"/>
  <c r="A271" i="17" s="1"/>
  <c r="A272" i="17" s="1"/>
  <c r="A273" i="17" s="1"/>
  <c r="A274" i="17" s="1"/>
  <c r="A275" i="17" s="1"/>
  <c r="A276" i="17" s="1"/>
  <c r="A277" i="17" s="1"/>
  <c r="A278" i="17" s="1"/>
  <c r="A279" i="17" s="1"/>
  <c r="A280" i="17" s="1"/>
  <c r="A281" i="17" s="1"/>
  <c r="A282" i="17" s="1"/>
  <c r="A283" i="17" s="1"/>
  <c r="A284" i="17" s="1"/>
  <c r="A285" i="17" s="1"/>
  <c r="A286" i="17" s="1"/>
  <c r="A287" i="17" s="1"/>
  <c r="A288" i="17" s="1"/>
  <c r="A289" i="17" s="1"/>
  <c r="A290" i="17" s="1"/>
  <c r="A291" i="17" s="1"/>
  <c r="A292" i="17" s="1"/>
  <c r="A293" i="17" s="1"/>
  <c r="A294" i="17" s="1"/>
  <c r="A295" i="17" s="1"/>
  <c r="A296" i="17" s="1"/>
  <c r="A297" i="17" s="1"/>
  <c r="A298" i="17" s="1"/>
  <c r="A299" i="17" s="1"/>
  <c r="A300" i="17" s="1"/>
  <c r="A301" i="17" s="1"/>
  <c r="A302" i="17" s="1"/>
  <c r="A303" i="17" s="1"/>
  <c r="A304" i="17" s="1"/>
  <c r="A305" i="17" s="1"/>
  <c r="A306" i="17" s="1"/>
  <c r="A307" i="17" s="1"/>
  <c r="A308" i="17" s="1"/>
  <c r="A309" i="17" s="1"/>
  <c r="A310" i="17" s="1"/>
  <c r="A311" i="17" s="1"/>
  <c r="A312" i="17" s="1"/>
  <c r="A313" i="17" s="1"/>
  <c r="A314" i="17" s="1"/>
  <c r="A315" i="17" s="1"/>
  <c r="A316" i="17" s="1"/>
  <c r="A317" i="17" s="1"/>
  <c r="A318" i="17" s="1"/>
  <c r="A319" i="17" s="1"/>
  <c r="A320" i="17" s="1"/>
  <c r="A321" i="17" s="1"/>
  <c r="A322" i="17" s="1"/>
  <c r="A323" i="17" s="1"/>
  <c r="A324" i="17" s="1"/>
  <c r="A325" i="17" s="1"/>
  <c r="A326" i="17" s="1"/>
  <c r="A327" i="17" s="1"/>
  <c r="A328" i="17" s="1"/>
  <c r="A329" i="17" s="1"/>
  <c r="A330" i="17" s="1"/>
  <c r="A331" i="17" s="1"/>
  <c r="A332" i="17" s="1"/>
  <c r="A333" i="17" s="1"/>
  <c r="A334" i="17" s="1"/>
  <c r="A335" i="17" s="1"/>
  <c r="A336" i="17" s="1"/>
  <c r="A337" i="17" s="1"/>
  <c r="A338" i="17" s="1"/>
  <c r="A339" i="17" s="1"/>
  <c r="A340" i="17" s="1"/>
  <c r="A341" i="17" s="1"/>
  <c r="A342" i="17" s="1"/>
  <c r="A343" i="17" s="1"/>
  <c r="A344" i="17" s="1"/>
  <c r="A345" i="17" s="1"/>
  <c r="A346" i="17" s="1"/>
  <c r="A347" i="17" s="1"/>
  <c r="A348" i="17" s="1"/>
  <c r="A349" i="17" s="1"/>
  <c r="A350" i="17" s="1"/>
  <c r="A351" i="17" s="1"/>
  <c r="A352" i="17" s="1"/>
  <c r="A353" i="17" s="1"/>
  <c r="A354" i="17" s="1"/>
  <c r="A355" i="17" s="1"/>
  <c r="A356" i="17" s="1"/>
  <c r="A357" i="17" s="1"/>
  <c r="A358" i="17" s="1"/>
  <c r="A359" i="17" s="1"/>
  <c r="A360" i="17" s="1"/>
  <c r="A361" i="17" s="1"/>
  <c r="A362" i="17" s="1"/>
  <c r="A363" i="17" s="1"/>
  <c r="A364" i="17" s="1"/>
  <c r="A365" i="17" s="1"/>
  <c r="A366" i="17" s="1"/>
  <c r="A367" i="17" s="1"/>
  <c r="A368" i="17" s="1"/>
  <c r="A369" i="17" s="1"/>
  <c r="A370" i="17" s="1"/>
  <c r="A371" i="17" s="1"/>
  <c r="A372" i="17" s="1"/>
  <c r="A373" i="17" s="1"/>
  <c r="A374" i="17" s="1"/>
  <c r="A375" i="17" s="1"/>
  <c r="A376" i="17" s="1"/>
  <c r="A377" i="17" s="1"/>
  <c r="A378" i="17" s="1"/>
  <c r="A379" i="17" s="1"/>
  <c r="A380" i="17" s="1"/>
  <c r="A381" i="17" s="1"/>
  <c r="A382" i="17" s="1"/>
  <c r="A383" i="17" s="1"/>
  <c r="A384" i="17" s="1"/>
  <c r="A385" i="17" s="1"/>
  <c r="A386" i="17" s="1"/>
  <c r="A387" i="17" s="1"/>
  <c r="A388" i="17" s="1"/>
  <c r="A389" i="17" s="1"/>
  <c r="A390" i="17" s="1"/>
  <c r="A391" i="17" s="1"/>
  <c r="A392" i="17" s="1"/>
  <c r="A393" i="17" s="1"/>
  <c r="A394" i="17" s="1"/>
  <c r="A395" i="17" s="1"/>
  <c r="A396" i="17" s="1"/>
  <c r="A397" i="17" s="1"/>
  <c r="A398" i="17" s="1"/>
  <c r="A399" i="17" s="1"/>
  <c r="A400" i="17" s="1"/>
  <c r="A401" i="17" s="1"/>
  <c r="A402" i="17" s="1"/>
  <c r="A403" i="17" s="1"/>
  <c r="A404" i="17" s="1"/>
  <c r="A405" i="17" s="1"/>
  <c r="A406" i="17" s="1"/>
  <c r="A407" i="17" s="1"/>
  <c r="A408" i="17" s="1"/>
  <c r="A409" i="17" s="1"/>
  <c r="A410" i="17" s="1"/>
  <c r="A411" i="17" s="1"/>
  <c r="A412" i="17" s="1"/>
  <c r="A413" i="17" s="1"/>
  <c r="A414" i="17" s="1"/>
  <c r="A415" i="17" s="1"/>
  <c r="A416" i="17" s="1"/>
  <c r="A417" i="17" s="1"/>
  <c r="A418" i="17" s="1"/>
  <c r="A419" i="17" s="1"/>
  <c r="A420" i="17" s="1"/>
  <c r="A421" i="17" s="1"/>
  <c r="A422" i="17" s="1"/>
  <c r="A423" i="17" s="1"/>
  <c r="A424" i="17" s="1"/>
  <c r="A425" i="17" s="1"/>
  <c r="A426" i="17" s="1"/>
  <c r="A427" i="17" s="1"/>
  <c r="A428" i="17" s="1"/>
  <c r="A429" i="17" s="1"/>
  <c r="A430" i="17" s="1"/>
  <c r="A431" i="17" s="1"/>
  <c r="A432" i="17" s="1"/>
  <c r="A433" i="17" s="1"/>
  <c r="A434" i="17" s="1"/>
  <c r="A435" i="17" s="1"/>
  <c r="A436" i="17" s="1"/>
  <c r="A437" i="17" s="1"/>
  <c r="A438" i="17" s="1"/>
  <c r="A439" i="17" s="1"/>
  <c r="A440" i="17" s="1"/>
  <c r="A441" i="17" s="1"/>
  <c r="A442" i="17" s="1"/>
  <c r="A443" i="17" s="1"/>
  <c r="A444" i="17" s="1"/>
  <c r="A445" i="17" s="1"/>
  <c r="A446" i="17" s="1"/>
  <c r="A447" i="17" s="1"/>
  <c r="A448" i="17" s="1"/>
  <c r="A449" i="17" s="1"/>
  <c r="A450" i="17" s="1"/>
  <c r="A451" i="17" s="1"/>
  <c r="A452" i="17" s="1"/>
  <c r="A453" i="17" s="1"/>
  <c r="A454" i="17" s="1"/>
  <c r="A455" i="17" s="1"/>
  <c r="A456" i="17" s="1"/>
  <c r="A457" i="17" s="1"/>
  <c r="A458" i="17" s="1"/>
  <c r="A459" i="17" s="1"/>
  <c r="A460" i="17" s="1"/>
  <c r="A461" i="17" s="1"/>
  <c r="A462" i="17" s="1"/>
  <c r="A463" i="17" s="1"/>
  <c r="A464" i="17" s="1"/>
  <c r="A465" i="17" s="1"/>
  <c r="A466" i="17" s="1"/>
  <c r="A467" i="17" s="1"/>
  <c r="A468" i="17" s="1"/>
  <c r="A469" i="17" s="1"/>
  <c r="A470" i="17" s="1"/>
  <c r="A471" i="17" s="1"/>
  <c r="A472" i="17" s="1"/>
  <c r="A473" i="17" s="1"/>
  <c r="A474" i="17" s="1"/>
  <c r="A475" i="17" s="1"/>
  <c r="A476" i="17" s="1"/>
  <c r="A477" i="17" s="1"/>
  <c r="A478" i="17" s="1"/>
  <c r="A479" i="17" s="1"/>
  <c r="A480" i="17" s="1"/>
  <c r="A481" i="17" s="1"/>
  <c r="A482" i="17" s="1"/>
  <c r="A483" i="17" s="1"/>
  <c r="A484" i="17" s="1"/>
  <c r="A485" i="17" s="1"/>
  <c r="A486" i="17" s="1"/>
  <c r="A487" i="17" s="1"/>
  <c r="A488" i="17" s="1"/>
  <c r="A489" i="17" s="1"/>
  <c r="A490" i="17" s="1"/>
  <c r="A491" i="17" s="1"/>
  <c r="A492" i="17" s="1"/>
  <c r="A493" i="17" s="1"/>
  <c r="A494" i="17" s="1"/>
  <c r="A495" i="17" s="1"/>
  <c r="A496" i="17" s="1"/>
  <c r="A497" i="17" s="1"/>
  <c r="A498" i="17" s="1"/>
  <c r="A499" i="17" s="1"/>
  <c r="A500" i="17" s="1"/>
  <c r="A501" i="17" s="1"/>
  <c r="A502" i="17" s="1"/>
  <c r="A503" i="17" s="1"/>
  <c r="A504" i="17" s="1"/>
  <c r="A505" i="17" s="1"/>
  <c r="A506" i="17" s="1"/>
  <c r="A507" i="17" s="1"/>
  <c r="A508" i="17" s="1"/>
  <c r="A509" i="17" s="1"/>
  <c r="A510" i="17" s="1"/>
  <c r="A511" i="17" s="1"/>
  <c r="A512" i="17" s="1"/>
  <c r="A513" i="17" s="1"/>
  <c r="A514" i="17" s="1"/>
  <c r="A515" i="17" s="1"/>
  <c r="A516" i="17" s="1"/>
  <c r="A517" i="17" s="1"/>
  <c r="A518" i="17" s="1"/>
  <c r="A519" i="17" s="1"/>
  <c r="A520" i="17" s="1"/>
  <c r="A521" i="17" s="1"/>
  <c r="A522" i="17" s="1"/>
  <c r="A523" i="17" s="1"/>
  <c r="A524" i="17" s="1"/>
  <c r="A525" i="17" s="1"/>
  <c r="A526" i="17" s="1"/>
  <c r="A527" i="17" s="1"/>
  <c r="A528" i="17" s="1"/>
  <c r="A529" i="17" s="1"/>
  <c r="A530" i="17" s="1"/>
  <c r="A531" i="17" s="1"/>
  <c r="A532" i="17" s="1"/>
  <c r="A533" i="17" s="1"/>
  <c r="A534" i="17" s="1"/>
  <c r="A535" i="17" s="1"/>
  <c r="A536" i="17" s="1"/>
  <c r="A537" i="17" s="1"/>
  <c r="A538" i="17" s="1"/>
  <c r="A539" i="17" s="1"/>
  <c r="A540" i="17" s="1"/>
  <c r="A541" i="17" s="1"/>
  <c r="A542" i="17" s="1"/>
  <c r="A543" i="17" s="1"/>
  <c r="A544" i="17" s="1"/>
  <c r="A545" i="17" s="1"/>
  <c r="A546" i="17" s="1"/>
  <c r="A547" i="17" s="1"/>
  <c r="A548" i="17" s="1"/>
  <c r="A549" i="17" s="1"/>
  <c r="A550" i="17" s="1"/>
  <c r="A551" i="17" s="1"/>
  <c r="A552" i="17" s="1"/>
  <c r="A553" i="17" s="1"/>
  <c r="A554" i="17" s="1"/>
  <c r="A555" i="17" s="1"/>
  <c r="A556" i="17" s="1"/>
  <c r="A557" i="17" s="1"/>
  <c r="A558" i="17" s="1"/>
  <c r="A559" i="17" s="1"/>
  <c r="A560" i="17" s="1"/>
  <c r="A561" i="17" s="1"/>
  <c r="A562" i="17" s="1"/>
  <c r="A563" i="17" s="1"/>
  <c r="A564" i="17" s="1"/>
  <c r="A565" i="17" s="1"/>
  <c r="A566" i="17" s="1"/>
  <c r="A567" i="17" s="1"/>
  <c r="A568" i="17" s="1"/>
  <c r="A569" i="17" s="1"/>
  <c r="A570" i="17" s="1"/>
  <c r="A571" i="17" s="1"/>
  <c r="A572" i="17" s="1"/>
  <c r="A573" i="17" s="1"/>
  <c r="A574" i="17" s="1"/>
  <c r="A575" i="17" s="1"/>
  <c r="A576" i="17" s="1"/>
  <c r="A577" i="17" s="1"/>
  <c r="A578" i="17" s="1"/>
  <c r="A579" i="17" s="1"/>
  <c r="A580" i="17" s="1"/>
  <c r="A581" i="17" s="1"/>
  <c r="A582" i="17" s="1"/>
  <c r="A583" i="17" s="1"/>
  <c r="A584" i="17" s="1"/>
  <c r="A585" i="17" s="1"/>
  <c r="A586" i="17" s="1"/>
  <c r="A587" i="17" s="1"/>
  <c r="A588" i="17" s="1"/>
  <c r="A589" i="17" s="1"/>
  <c r="A590" i="17" s="1"/>
  <c r="A591" i="17" s="1"/>
  <c r="A592" i="17" s="1"/>
  <c r="A593" i="17" s="1"/>
  <c r="A594" i="17" s="1"/>
  <c r="A595" i="17" s="1"/>
  <c r="A596" i="17" s="1"/>
  <c r="A597" i="17" s="1"/>
  <c r="A598" i="17" s="1"/>
  <c r="A599" i="17" s="1"/>
  <c r="A600" i="17" s="1"/>
  <c r="A601" i="17" s="1"/>
  <c r="A602" i="17" s="1"/>
  <c r="A603" i="17" s="1"/>
  <c r="A604" i="17" s="1"/>
  <c r="A605" i="17" s="1"/>
  <c r="A606" i="17" s="1"/>
  <c r="A607" i="17" s="1"/>
  <c r="A608" i="17" s="1"/>
  <c r="A609" i="17" s="1"/>
  <c r="A610" i="17" s="1"/>
  <c r="A611" i="17" s="1"/>
  <c r="A612" i="17" s="1"/>
  <c r="A613" i="17" s="1"/>
  <c r="A614" i="17" s="1"/>
  <c r="A615" i="17" s="1"/>
  <c r="A616" i="17" s="1"/>
  <c r="A617" i="17" s="1"/>
  <c r="A618" i="17" s="1"/>
  <c r="A619" i="17" s="1"/>
  <c r="A620" i="17" s="1"/>
  <c r="A621" i="17" s="1"/>
  <c r="A622" i="17" s="1"/>
  <c r="A623" i="17" s="1"/>
  <c r="A624" i="17" s="1"/>
  <c r="A625" i="17" s="1"/>
  <c r="A626" i="17" s="1"/>
  <c r="A627" i="17" s="1"/>
  <c r="A628" i="17" s="1"/>
  <c r="A629" i="17" s="1"/>
  <c r="A630" i="17" s="1"/>
  <c r="A631" i="17" s="1"/>
  <c r="A632" i="17" s="1"/>
  <c r="A633" i="17" s="1"/>
  <c r="A634" i="17" s="1"/>
  <c r="A635" i="17" s="1"/>
  <c r="A636" i="17" s="1"/>
  <c r="A637" i="17" s="1"/>
  <c r="A638" i="17" s="1"/>
  <c r="A639" i="17" s="1"/>
  <c r="A640" i="17" s="1"/>
  <c r="A641" i="17" s="1"/>
  <c r="A642" i="17" s="1"/>
  <c r="A643" i="17" s="1"/>
  <c r="A644" i="17" s="1"/>
  <c r="A645" i="17" s="1"/>
  <c r="A646" i="17" s="1"/>
  <c r="A647" i="17" s="1"/>
  <c r="A648" i="17" s="1"/>
  <c r="A649" i="17" s="1"/>
  <c r="A650" i="17" s="1"/>
  <c r="A651" i="17" s="1"/>
  <c r="A652" i="17" s="1"/>
  <c r="A653" i="17" s="1"/>
  <c r="A654" i="17" s="1"/>
  <c r="A655" i="17" s="1"/>
  <c r="A656" i="17" s="1"/>
  <c r="A657" i="17" s="1"/>
  <c r="A658" i="17" s="1"/>
  <c r="A659" i="17" s="1"/>
  <c r="A660" i="17" s="1"/>
  <c r="A661" i="17" s="1"/>
  <c r="A662" i="17" s="1"/>
  <c r="A663" i="17" s="1"/>
  <c r="A664" i="17" s="1"/>
  <c r="A665" i="17" s="1"/>
  <c r="A666" i="17" s="1"/>
  <c r="A667" i="17" s="1"/>
  <c r="A668" i="17" s="1"/>
  <c r="A669" i="17" s="1"/>
  <c r="A670" i="17" s="1"/>
  <c r="A671" i="17" s="1"/>
  <c r="A672" i="17" s="1"/>
  <c r="A673" i="17" s="1"/>
  <c r="A674" i="17" s="1"/>
  <c r="A675" i="17" s="1"/>
  <c r="A676" i="17" s="1"/>
  <c r="A677" i="17" s="1"/>
  <c r="A678" i="17" s="1"/>
  <c r="A679" i="17" s="1"/>
  <c r="A680" i="17" s="1"/>
  <c r="A681" i="17" s="1"/>
  <c r="A682" i="17" s="1"/>
  <c r="A683" i="17" s="1"/>
  <c r="A684" i="17" s="1"/>
  <c r="A685" i="17" s="1"/>
  <c r="A686" i="17" s="1"/>
  <c r="A687" i="17" s="1"/>
  <c r="A688" i="17" s="1"/>
  <c r="A689" i="17" s="1"/>
  <c r="A690" i="17" s="1"/>
  <c r="A691" i="17" s="1"/>
  <c r="A692" i="17" s="1"/>
  <c r="A693" i="17" s="1"/>
  <c r="A694" i="17" s="1"/>
  <c r="A695" i="17" s="1"/>
  <c r="A696" i="17" s="1"/>
  <c r="A697" i="17" s="1"/>
  <c r="A698" i="17" s="1"/>
  <c r="A699" i="17" s="1"/>
  <c r="A700" i="17" s="1"/>
  <c r="A701" i="17" s="1"/>
  <c r="A702" i="17" s="1"/>
  <c r="A703" i="17" s="1"/>
  <c r="A704" i="17" s="1"/>
  <c r="A705" i="17" s="1"/>
  <c r="A706" i="17" s="1"/>
  <c r="A707" i="17" s="1"/>
  <c r="A708" i="17" s="1"/>
  <c r="A709" i="17" s="1"/>
  <c r="A710" i="17" s="1"/>
  <c r="A711" i="17" s="1"/>
  <c r="A712" i="17" s="1"/>
  <c r="A713" i="17" s="1"/>
  <c r="A714" i="17" s="1"/>
  <c r="A715" i="17" s="1"/>
  <c r="A716" i="17" s="1"/>
  <c r="A717" i="17" s="1"/>
  <c r="A718" i="17" s="1"/>
  <c r="A719" i="17" s="1"/>
  <c r="A720" i="17" s="1"/>
  <c r="A721" i="17" s="1"/>
  <c r="A722" i="17" s="1"/>
  <c r="A723" i="17" s="1"/>
  <c r="A724" i="17" s="1"/>
  <c r="A725" i="17" s="1"/>
  <c r="A726" i="17" s="1"/>
  <c r="A727" i="17" s="1"/>
  <c r="A728" i="17" s="1"/>
  <c r="A729" i="17" s="1"/>
  <c r="A730" i="17" s="1"/>
  <c r="A731" i="17" s="1"/>
  <c r="A732" i="17" s="1"/>
  <c r="A733" i="17" s="1"/>
  <c r="A734" i="17" s="1"/>
  <c r="A735" i="17" s="1"/>
  <c r="A736" i="17" s="1"/>
  <c r="A737" i="17" s="1"/>
  <c r="A738" i="17" s="1"/>
  <c r="A739" i="17" s="1"/>
  <c r="A740" i="17" s="1"/>
  <c r="A741" i="17" s="1"/>
  <c r="A742" i="17" s="1"/>
  <c r="A743" i="17" s="1"/>
  <c r="A744" i="17" s="1"/>
  <c r="A745" i="17" s="1"/>
  <c r="A746" i="17" s="1"/>
  <c r="A747" i="17" s="1"/>
  <c r="A748" i="17" s="1"/>
  <c r="A749" i="17" s="1"/>
  <c r="A750" i="17" s="1"/>
  <c r="A751" i="17" s="1"/>
  <c r="A752" i="17" s="1"/>
  <c r="A753" i="17" s="1"/>
  <c r="A754" i="17" s="1"/>
  <c r="A755" i="17" s="1"/>
  <c r="A756" i="17" s="1"/>
  <c r="A757" i="17" s="1"/>
  <c r="A758" i="17" s="1"/>
  <c r="A759" i="17" s="1"/>
  <c r="A760" i="17" s="1"/>
  <c r="A761" i="17" s="1"/>
  <c r="A762" i="17" s="1"/>
  <c r="A763" i="17" s="1"/>
  <c r="A764" i="17" s="1"/>
  <c r="A765" i="17" s="1"/>
  <c r="A766" i="17" s="1"/>
  <c r="A767" i="17" s="1"/>
  <c r="A768" i="17" s="1"/>
  <c r="A769" i="17" s="1"/>
  <c r="A770" i="17" s="1"/>
  <c r="A771" i="17" s="1"/>
  <c r="A772" i="17" s="1"/>
  <c r="A773" i="17" s="1"/>
  <c r="A774" i="17" s="1"/>
  <c r="A775" i="17" s="1"/>
  <c r="A776" i="17" s="1"/>
  <c r="A777" i="17" s="1"/>
  <c r="A778" i="17" s="1"/>
  <c r="A779" i="17" s="1"/>
  <c r="A780" i="17" s="1"/>
  <c r="A781" i="17" s="1"/>
  <c r="A782" i="17" s="1"/>
  <c r="A783" i="17" s="1"/>
  <c r="A784" i="17" s="1"/>
  <c r="A785" i="17" s="1"/>
  <c r="A786" i="17" s="1"/>
  <c r="A787" i="17" s="1"/>
  <c r="A788" i="17" s="1"/>
  <c r="A789" i="17" s="1"/>
  <c r="A790" i="17" s="1"/>
  <c r="A791" i="17" s="1"/>
  <c r="A792" i="17" s="1"/>
  <c r="A793" i="17" s="1"/>
  <c r="A794" i="17" s="1"/>
  <c r="A795" i="17" s="1"/>
  <c r="A796" i="17" s="1"/>
  <c r="A797" i="17" s="1"/>
  <c r="A798" i="17" s="1"/>
  <c r="A799" i="17" s="1"/>
  <c r="A800" i="17" s="1"/>
  <c r="A801" i="17" s="1"/>
  <c r="A802" i="17" s="1"/>
  <c r="A803" i="17" s="1"/>
  <c r="A804" i="17" s="1"/>
  <c r="A805" i="17" s="1"/>
  <c r="A806" i="17" s="1"/>
  <c r="A807" i="17" s="1"/>
  <c r="A808" i="17" s="1"/>
  <c r="A809" i="17" s="1"/>
  <c r="A810" i="17" s="1"/>
  <c r="A811" i="17" s="1"/>
  <c r="A812" i="17" s="1"/>
  <c r="A813" i="17" s="1"/>
  <c r="A814" i="17" s="1"/>
  <c r="A815" i="17" s="1"/>
  <c r="A816" i="17" s="1"/>
  <c r="A817" i="17" s="1"/>
  <c r="A818" i="17" s="1"/>
  <c r="A819" i="17" s="1"/>
  <c r="A820" i="17" s="1"/>
  <c r="A821" i="17" s="1"/>
  <c r="A822" i="17" s="1"/>
  <c r="A823" i="17" s="1"/>
  <c r="A824" i="17" s="1"/>
  <c r="A825" i="17" s="1"/>
  <c r="A826" i="17" s="1"/>
  <c r="A827" i="17" s="1"/>
  <c r="A828" i="17" s="1"/>
  <c r="A829" i="17" s="1"/>
  <c r="A830" i="17" s="1"/>
  <c r="A831" i="17" s="1"/>
  <c r="A832" i="17" s="1"/>
  <c r="A833" i="17" s="1"/>
  <c r="A834" i="17" s="1"/>
  <c r="A835" i="17" s="1"/>
  <c r="A836" i="17" s="1"/>
  <c r="A837" i="17" s="1"/>
  <c r="A838" i="17" s="1"/>
  <c r="A839" i="17" s="1"/>
  <c r="A840" i="17" s="1"/>
  <c r="A841" i="17" s="1"/>
  <c r="A842" i="17" s="1"/>
  <c r="A843" i="17" s="1"/>
  <c r="A844" i="17" s="1"/>
  <c r="A845" i="17" s="1"/>
  <c r="A846" i="17" s="1"/>
  <c r="A847" i="17" s="1"/>
  <c r="A848" i="17" s="1"/>
  <c r="A849" i="17" s="1"/>
  <c r="A850" i="17" s="1"/>
  <c r="A851" i="17" s="1"/>
  <c r="A852" i="17" s="1"/>
  <c r="A853" i="17" s="1"/>
  <c r="A854" i="17" s="1"/>
  <c r="A855" i="17" s="1"/>
  <c r="A856" i="17" s="1"/>
  <c r="A857" i="17" s="1"/>
  <c r="A858" i="17" s="1"/>
  <c r="A859" i="17" s="1"/>
  <c r="A860" i="17" s="1"/>
  <c r="A861" i="17" s="1"/>
  <c r="A862" i="17" s="1"/>
  <c r="A863" i="17" s="1"/>
  <c r="A864" i="17" s="1"/>
  <c r="A865" i="17" s="1"/>
  <c r="A866" i="17" s="1"/>
  <c r="A867" i="17" s="1"/>
  <c r="A868" i="17" s="1"/>
  <c r="A869" i="17" s="1"/>
  <c r="A870" i="17" s="1"/>
  <c r="A871" i="17" s="1"/>
  <c r="A872" i="17" s="1"/>
  <c r="A873" i="17" s="1"/>
  <c r="A874" i="17" s="1"/>
  <c r="A875" i="17" s="1"/>
  <c r="A876" i="17" s="1"/>
  <c r="A877" i="17" s="1"/>
  <c r="A878" i="17" s="1"/>
  <c r="A879" i="17" s="1"/>
  <c r="A880" i="17" s="1"/>
  <c r="A881" i="17" s="1"/>
  <c r="A882" i="17" s="1"/>
  <c r="A883" i="17" s="1"/>
  <c r="A884" i="17" s="1"/>
  <c r="A885" i="17" s="1"/>
  <c r="A886" i="17" s="1"/>
  <c r="A887" i="17" s="1"/>
  <c r="A888" i="17" s="1"/>
  <c r="A889" i="17" s="1"/>
  <c r="A890" i="17" s="1"/>
  <c r="A891" i="17" s="1"/>
  <c r="A892" i="17" s="1"/>
  <c r="A893" i="17" s="1"/>
  <c r="A894" i="17" s="1"/>
  <c r="A895" i="17" s="1"/>
  <c r="A896" i="17" s="1"/>
  <c r="A897" i="17" s="1"/>
  <c r="A898" i="17" s="1"/>
  <c r="A899" i="17" s="1"/>
  <c r="A900" i="17" s="1"/>
  <c r="A901" i="17" s="1"/>
  <c r="A902" i="17" s="1"/>
  <c r="A903" i="17" s="1"/>
  <c r="A904" i="17" s="1"/>
  <c r="A905" i="17" s="1"/>
  <c r="A906" i="17" s="1"/>
  <c r="A907" i="17" s="1"/>
  <c r="A908" i="17" s="1"/>
  <c r="A909" i="17" s="1"/>
  <c r="A910" i="17" s="1"/>
  <c r="A911" i="17" s="1"/>
  <c r="A912" i="17" s="1"/>
  <c r="A913" i="17" s="1"/>
  <c r="A914" i="17" s="1"/>
  <c r="A915" i="17" s="1"/>
  <c r="A916" i="17" s="1"/>
  <c r="A917" i="17" s="1"/>
  <c r="A918" i="17" s="1"/>
  <c r="A919" i="17" s="1"/>
  <c r="A920" i="17" s="1"/>
  <c r="A921" i="17" s="1"/>
  <c r="A922" i="17" s="1"/>
  <c r="A923" i="17" s="1"/>
  <c r="A924" i="17" s="1"/>
  <c r="A925" i="17" s="1"/>
  <c r="A926" i="17" s="1"/>
  <c r="A927" i="17" s="1"/>
  <c r="A928" i="17" s="1"/>
  <c r="A929" i="17" s="1"/>
  <c r="A930" i="17" s="1"/>
  <c r="A931" i="17" s="1"/>
  <c r="A932" i="17" s="1"/>
  <c r="A933" i="17" s="1"/>
  <c r="A934" i="17" s="1"/>
  <c r="A935" i="17" s="1"/>
  <c r="A936" i="17" s="1"/>
  <c r="A937" i="17" s="1"/>
  <c r="A938" i="17" s="1"/>
  <c r="A939" i="17" s="1"/>
  <c r="A940" i="17" s="1"/>
  <c r="A941" i="17" s="1"/>
  <c r="A942" i="17" s="1"/>
  <c r="A943" i="17" s="1"/>
  <c r="A944" i="17" s="1"/>
  <c r="A945" i="17" s="1"/>
  <c r="A946" i="17" s="1"/>
  <c r="A947" i="17" s="1"/>
  <c r="A948" i="17" s="1"/>
  <c r="A949" i="17" s="1"/>
  <c r="A950" i="17" s="1"/>
  <c r="A951" i="17" s="1"/>
  <c r="A952" i="17" s="1"/>
  <c r="A953" i="17" s="1"/>
  <c r="A954" i="17" s="1"/>
  <c r="A955" i="17" s="1"/>
  <c r="A956" i="17" s="1"/>
  <c r="A957" i="17" s="1"/>
  <c r="A958" i="17" s="1"/>
  <c r="A959" i="17" s="1"/>
  <c r="A960" i="17" s="1"/>
  <c r="A961" i="17" s="1"/>
  <c r="A962" i="17" s="1"/>
  <c r="A963" i="17" s="1"/>
  <c r="A964" i="17" s="1"/>
  <c r="A965" i="17" s="1"/>
  <c r="A966" i="17" s="1"/>
  <c r="A967" i="17" s="1"/>
  <c r="A968" i="17" s="1"/>
  <c r="A969" i="17" s="1"/>
  <c r="A970" i="17" s="1"/>
  <c r="A971" i="17" s="1"/>
  <c r="A972" i="17" s="1"/>
  <c r="A973" i="17" s="1"/>
  <c r="A974" i="17" s="1"/>
  <c r="A975" i="17" s="1"/>
  <c r="A976" i="17" s="1"/>
  <c r="A977" i="17" s="1"/>
  <c r="A978" i="17" s="1"/>
  <c r="A979" i="17" s="1"/>
  <c r="A980" i="17" s="1"/>
  <c r="A981" i="17" s="1"/>
  <c r="A982" i="17" s="1"/>
  <c r="A983" i="17" s="1"/>
  <c r="A984" i="17" s="1"/>
  <c r="A985" i="17" s="1"/>
  <c r="A986" i="17" s="1"/>
  <c r="A987" i="17" s="1"/>
  <c r="A988" i="17" s="1"/>
  <c r="A989" i="17" s="1"/>
  <c r="A990" i="17" s="1"/>
  <c r="A991" i="17" s="1"/>
  <c r="A992" i="17" s="1"/>
  <c r="A993" i="17" s="1"/>
  <c r="A994" i="17" s="1"/>
  <c r="A995" i="17" s="1"/>
  <c r="A996" i="17" s="1"/>
  <c r="A997" i="17" s="1"/>
  <c r="A998" i="17" s="1"/>
  <c r="A999" i="17" s="1"/>
  <c r="A1000" i="17" s="1"/>
  <c r="A1001" i="17" s="1"/>
  <c r="A1002" i="17" s="1"/>
  <c r="A1003" i="17" s="1"/>
  <c r="A1004" i="17" s="1"/>
  <c r="A1005" i="17" s="1"/>
  <c r="A1006" i="17" s="1"/>
  <c r="A1007" i="17" s="1"/>
  <c r="A1008" i="17" s="1"/>
  <c r="A1009" i="17" s="1"/>
  <c r="A1010" i="17" s="1"/>
  <c r="A1011" i="17" s="1"/>
  <c r="A1012" i="17" s="1"/>
  <c r="A1013" i="17" s="1"/>
  <c r="A1014" i="17" s="1"/>
  <c r="A1015" i="17" s="1"/>
  <c r="A1016" i="17" s="1"/>
  <c r="A1017" i="17" s="1"/>
  <c r="A1018" i="17" s="1"/>
  <c r="A1019" i="17" s="1"/>
  <c r="A1020" i="17" s="1"/>
  <c r="A1021" i="17" s="1"/>
  <c r="A1022" i="17" s="1"/>
  <c r="A1023" i="17" s="1"/>
  <c r="A1024" i="17" s="1"/>
  <c r="A9" i="17"/>
  <c r="I4" i="17"/>
  <c r="A23" i="21" l="1"/>
  <c r="D22" i="21"/>
  <c r="E22" i="21" s="1"/>
  <c r="A76" i="21"/>
  <c r="D75" i="21"/>
  <c r="E75" i="21" s="1"/>
  <c r="A107" i="21"/>
  <c r="D106" i="21"/>
  <c r="E106" i="21" s="1"/>
  <c r="D41" i="21"/>
  <c r="E41" i="21" s="1"/>
  <c r="A42" i="21"/>
  <c r="C10" i="19"/>
  <c r="E9" i="19"/>
  <c r="Y22" i="2"/>
  <c r="X22" i="2"/>
  <c r="Y8" i="2"/>
  <c r="X8" i="2"/>
  <c r="B9" i="2"/>
  <c r="C9" i="2" s="1"/>
  <c r="B23" i="2"/>
  <c r="C23" i="2" s="1"/>
  <c r="A76" i="18"/>
  <c r="B75" i="18"/>
  <c r="B12" i="18"/>
  <c r="A13" i="18"/>
  <c r="D105" i="17"/>
  <c r="C107" i="17"/>
  <c r="D107" i="17" s="1"/>
  <c r="C1003" i="17"/>
  <c r="C973" i="17"/>
  <c r="C939" i="17"/>
  <c r="C907" i="17"/>
  <c r="C875" i="17"/>
  <c r="C843" i="17"/>
  <c r="C810" i="17"/>
  <c r="C779" i="17"/>
  <c r="C748" i="17"/>
  <c r="C716" i="17"/>
  <c r="C682" i="17"/>
  <c r="C651" i="17"/>
  <c r="C620" i="17"/>
  <c r="C587" i="17"/>
  <c r="C555" i="17"/>
  <c r="C523" i="17"/>
  <c r="C493" i="17"/>
  <c r="C459" i="17"/>
  <c r="C428" i="17"/>
  <c r="C397" i="17"/>
  <c r="C362" i="17"/>
  <c r="C331" i="17"/>
  <c r="C299" i="17"/>
  <c r="C268" i="17"/>
  <c r="C236" i="17"/>
  <c r="C202" i="17"/>
  <c r="C171" i="17"/>
  <c r="C139" i="17"/>
  <c r="A24" i="21" l="1"/>
  <c r="D23" i="21"/>
  <c r="E23" i="21" s="1"/>
  <c r="A108" i="21"/>
  <c r="D107" i="21"/>
  <c r="E107" i="21" s="1"/>
  <c r="A77" i="21"/>
  <c r="D76" i="21"/>
  <c r="E76" i="21" s="1"/>
  <c r="A43" i="21"/>
  <c r="D42" i="21"/>
  <c r="E42" i="21" s="1"/>
  <c r="C11" i="19"/>
  <c r="E10" i="19"/>
  <c r="Y9" i="2"/>
  <c r="X9" i="2"/>
  <c r="Y23" i="2"/>
  <c r="X23" i="2"/>
  <c r="B10" i="2"/>
  <c r="C10" i="2" s="1"/>
  <c r="B24" i="2"/>
  <c r="C24" i="2" s="1"/>
  <c r="B76" i="18"/>
  <c r="A77" i="18"/>
  <c r="A14" i="18"/>
  <c r="B13" i="18"/>
  <c r="C108" i="17"/>
  <c r="D108" i="17" s="1"/>
  <c r="C1004" i="17"/>
  <c r="C974" i="17"/>
  <c r="C940" i="17"/>
  <c r="C908" i="17"/>
  <c r="C876" i="17"/>
  <c r="C844" i="17"/>
  <c r="C811" i="17"/>
  <c r="C780" i="17"/>
  <c r="C749" i="17"/>
  <c r="C717" i="17"/>
  <c r="C683" i="17"/>
  <c r="C652" i="17"/>
  <c r="C621" i="17"/>
  <c r="C588" i="17"/>
  <c r="C556" i="17"/>
  <c r="C524" i="17"/>
  <c r="C494" i="17"/>
  <c r="C460" i="17"/>
  <c r="C429" i="17"/>
  <c r="C398" i="17"/>
  <c r="C363" i="17"/>
  <c r="C332" i="17"/>
  <c r="C300" i="17"/>
  <c r="C269" i="17"/>
  <c r="C237" i="17"/>
  <c r="C203" i="17"/>
  <c r="C172" i="17"/>
  <c r="C140" i="17"/>
  <c r="A25" i="21" l="1"/>
  <c r="D24" i="21"/>
  <c r="E24" i="21" s="1"/>
  <c r="D77" i="21"/>
  <c r="E77" i="21" s="1"/>
  <c r="A78" i="21"/>
  <c r="D108" i="21"/>
  <c r="E108" i="21" s="1"/>
  <c r="A109" i="21"/>
  <c r="A44" i="21"/>
  <c r="D43" i="21"/>
  <c r="E43" i="21" s="1"/>
  <c r="C12" i="19"/>
  <c r="E11" i="19"/>
  <c r="Y10" i="2"/>
  <c r="X10" i="2"/>
  <c r="Y24" i="2"/>
  <c r="X24" i="2"/>
  <c r="B11" i="2"/>
  <c r="C11" i="2" s="1"/>
  <c r="B25" i="2"/>
  <c r="C25" i="2" s="1"/>
  <c r="B77" i="18"/>
  <c r="A78" i="18"/>
  <c r="A15" i="18"/>
  <c r="B14" i="18"/>
  <c r="C109" i="17"/>
  <c r="D109" i="17" s="1"/>
  <c r="C1005" i="17"/>
  <c r="C975" i="17"/>
  <c r="C941" i="17"/>
  <c r="C909" i="17"/>
  <c r="C877" i="17"/>
  <c r="C845" i="17"/>
  <c r="C812" i="17"/>
  <c r="C781" i="17"/>
  <c r="C750" i="17"/>
  <c r="C718" i="17"/>
  <c r="C684" i="17"/>
  <c r="C653" i="17"/>
  <c r="C622" i="17"/>
  <c r="C589" i="17"/>
  <c r="C557" i="17"/>
  <c r="C525" i="17"/>
  <c r="C495" i="17"/>
  <c r="C461" i="17"/>
  <c r="C430" i="17"/>
  <c r="C399" i="17"/>
  <c r="C364" i="17"/>
  <c r="C333" i="17"/>
  <c r="C301" i="17"/>
  <c r="C270" i="17"/>
  <c r="C238" i="17"/>
  <c r="C204" i="17"/>
  <c r="C173" i="17"/>
  <c r="C141" i="17"/>
  <c r="A26" i="21" l="1"/>
  <c r="D25" i="21"/>
  <c r="E25" i="21" s="1"/>
  <c r="D109" i="21"/>
  <c r="E109" i="21" s="1"/>
  <c r="A110" i="21"/>
  <c r="A79" i="21"/>
  <c r="D78" i="21"/>
  <c r="E78" i="21" s="1"/>
  <c r="A45" i="21"/>
  <c r="D44" i="21"/>
  <c r="E44" i="21" s="1"/>
  <c r="C13" i="19"/>
  <c r="E12" i="19"/>
  <c r="Y25" i="2"/>
  <c r="X25" i="2"/>
  <c r="Y11" i="2"/>
  <c r="X11" i="2"/>
  <c r="B12" i="2"/>
  <c r="B26" i="2"/>
  <c r="C26" i="2" s="1"/>
  <c r="A79" i="18"/>
  <c r="B78" i="18"/>
  <c r="B15" i="18"/>
  <c r="A16" i="18"/>
  <c r="C110" i="17"/>
  <c r="D110" i="17" s="1"/>
  <c r="C1006" i="17"/>
  <c r="C976" i="17"/>
  <c r="C942" i="17"/>
  <c r="C910" i="17"/>
  <c r="C878" i="17"/>
  <c r="C846" i="17"/>
  <c r="C813" i="17"/>
  <c r="C782" i="17"/>
  <c r="C751" i="17"/>
  <c r="C719" i="17"/>
  <c r="C685" i="17"/>
  <c r="C654" i="17"/>
  <c r="C623" i="17"/>
  <c r="C590" i="17"/>
  <c r="C558" i="17"/>
  <c r="C526" i="17"/>
  <c r="C496" i="17"/>
  <c r="C462" i="17"/>
  <c r="C431" i="17"/>
  <c r="C400" i="17"/>
  <c r="C365" i="17"/>
  <c r="C334" i="17"/>
  <c r="C302" i="17"/>
  <c r="C271" i="17"/>
  <c r="C239" i="17"/>
  <c r="C205" i="17"/>
  <c r="C174" i="17"/>
  <c r="C142" i="17"/>
  <c r="A27" i="21" l="1"/>
  <c r="D26" i="21"/>
  <c r="E26" i="21" s="1"/>
  <c r="A80" i="21"/>
  <c r="D79" i="21"/>
  <c r="E79" i="21" s="1"/>
  <c r="A111" i="21"/>
  <c r="D110" i="21"/>
  <c r="E110" i="21" s="1"/>
  <c r="A46" i="21"/>
  <c r="D45" i="21"/>
  <c r="E45" i="21" s="1"/>
  <c r="C14" i="19"/>
  <c r="E13" i="19"/>
  <c r="Y26" i="2"/>
  <c r="X26" i="2"/>
  <c r="C12" i="2"/>
  <c r="B13" i="2"/>
  <c r="C13" i="2" s="1"/>
  <c r="B27" i="2"/>
  <c r="C27" i="2" s="1"/>
  <c r="A80" i="18"/>
  <c r="B79" i="18"/>
  <c r="B16" i="18"/>
  <c r="A17" i="18"/>
  <c r="C111" i="17"/>
  <c r="D111" i="17" s="1"/>
  <c r="C1007" i="17"/>
  <c r="C977" i="17"/>
  <c r="C943" i="17"/>
  <c r="C911" i="17"/>
  <c r="C879" i="17"/>
  <c r="C847" i="17"/>
  <c r="C814" i="17"/>
  <c r="C783" i="17"/>
  <c r="C752" i="17"/>
  <c r="C720" i="17"/>
  <c r="C686" i="17"/>
  <c r="C655" i="17"/>
  <c r="C624" i="17"/>
  <c r="C591" i="17"/>
  <c r="C559" i="17"/>
  <c r="C527" i="17"/>
  <c r="C497" i="17"/>
  <c r="C463" i="17"/>
  <c r="C432" i="17"/>
  <c r="C401" i="17"/>
  <c r="C366" i="17"/>
  <c r="C335" i="17"/>
  <c r="C303" i="17"/>
  <c r="C272" i="17"/>
  <c r="C240" i="17"/>
  <c r="C206" i="17"/>
  <c r="C175" i="17"/>
  <c r="C143" i="17"/>
  <c r="A28" i="21" l="1"/>
  <c r="D27" i="21"/>
  <c r="E27" i="21" s="1"/>
  <c r="A112" i="21"/>
  <c r="D111" i="21"/>
  <c r="E111" i="21" s="1"/>
  <c r="A81" i="21"/>
  <c r="D80" i="21"/>
  <c r="E80" i="21" s="1"/>
  <c r="D46" i="21"/>
  <c r="E46" i="21" s="1"/>
  <c r="A47" i="21"/>
  <c r="C15" i="19"/>
  <c r="E14" i="19"/>
  <c r="X13" i="2"/>
  <c r="Y13" i="2"/>
  <c r="Y12" i="2"/>
  <c r="X12" i="2"/>
  <c r="Y27" i="2"/>
  <c r="X27" i="2"/>
  <c r="B14" i="2"/>
  <c r="C14" i="2" s="1"/>
  <c r="B28" i="2"/>
  <c r="B80" i="18"/>
  <c r="A81" i="18"/>
  <c r="B17" i="18"/>
  <c r="A18" i="18"/>
  <c r="C112" i="17"/>
  <c r="D112" i="17" s="1"/>
  <c r="C1008" i="17"/>
  <c r="C978" i="17"/>
  <c r="C944" i="17"/>
  <c r="C912" i="17"/>
  <c r="C880" i="17"/>
  <c r="C848" i="17"/>
  <c r="C815" i="17"/>
  <c r="C784" i="17"/>
  <c r="C753" i="17"/>
  <c r="C721" i="17"/>
  <c r="C687" i="17"/>
  <c r="C656" i="17"/>
  <c r="C625" i="17"/>
  <c r="C592" i="17"/>
  <c r="C560" i="17"/>
  <c r="C528" i="17"/>
  <c r="C498" i="17"/>
  <c r="C464" i="17"/>
  <c r="C433" i="17"/>
  <c r="C402" i="17"/>
  <c r="C367" i="17"/>
  <c r="C336" i="17"/>
  <c r="C304" i="17"/>
  <c r="C273" i="17"/>
  <c r="C241" i="17"/>
  <c r="C207" i="17"/>
  <c r="C176" i="17"/>
  <c r="C144" i="17"/>
  <c r="A29" i="21" l="1"/>
  <c r="D28" i="21"/>
  <c r="E28" i="21" s="1"/>
  <c r="D81" i="21"/>
  <c r="E81" i="21" s="1"/>
  <c r="A82" i="21"/>
  <c r="D112" i="21"/>
  <c r="E112" i="21" s="1"/>
  <c r="A113" i="21"/>
  <c r="D47" i="21"/>
  <c r="E47" i="21" s="1"/>
  <c r="A48" i="21"/>
  <c r="C16" i="19"/>
  <c r="E15" i="19"/>
  <c r="Y14" i="2"/>
  <c r="X14" i="2"/>
  <c r="B29" i="2"/>
  <c r="C28" i="2"/>
  <c r="B15" i="2"/>
  <c r="C15" i="2" s="1"/>
  <c r="A82" i="18"/>
  <c r="B81" i="18"/>
  <c r="B18" i="18"/>
  <c r="A19" i="18"/>
  <c r="C113" i="17"/>
  <c r="D113" i="17" s="1"/>
  <c r="C1009" i="17"/>
  <c r="C979" i="17"/>
  <c r="C945" i="17"/>
  <c r="C913" i="17"/>
  <c r="C881" i="17"/>
  <c r="C849" i="17"/>
  <c r="C816" i="17"/>
  <c r="C785" i="17"/>
  <c r="C754" i="17"/>
  <c r="C722" i="17"/>
  <c r="C688" i="17"/>
  <c r="C657" i="17"/>
  <c r="C626" i="17"/>
  <c r="C593" i="17"/>
  <c r="C561" i="17"/>
  <c r="C529" i="17"/>
  <c r="C499" i="17"/>
  <c r="C465" i="17"/>
  <c r="C434" i="17"/>
  <c r="C403" i="17"/>
  <c r="C368" i="17"/>
  <c r="C337" i="17"/>
  <c r="C305" i="17"/>
  <c r="C274" i="17"/>
  <c r="C242" i="17"/>
  <c r="C208" i="17"/>
  <c r="C177" i="17"/>
  <c r="C145" i="17"/>
  <c r="A30" i="21" l="1"/>
  <c r="D29" i="21"/>
  <c r="E29" i="21" s="1"/>
  <c r="D113" i="21"/>
  <c r="E113" i="21" s="1"/>
  <c r="A114" i="21"/>
  <c r="A83" i="21"/>
  <c r="D82" i="21"/>
  <c r="E82" i="21" s="1"/>
  <c r="A49" i="21"/>
  <c r="D48" i="21"/>
  <c r="E48" i="21" s="1"/>
  <c r="C17" i="19"/>
  <c r="E17" i="19" s="1"/>
  <c r="E16" i="19"/>
  <c r="Y28" i="2"/>
  <c r="X28" i="2"/>
  <c r="B30" i="2"/>
  <c r="C29" i="2"/>
  <c r="Y15" i="2"/>
  <c r="X15" i="2"/>
  <c r="B16" i="2"/>
  <c r="B82" i="18"/>
  <c r="A83" i="18"/>
  <c r="A20" i="18"/>
  <c r="B19" i="18"/>
  <c r="C114" i="17"/>
  <c r="D114" i="17" s="1"/>
  <c r="C1010" i="17"/>
  <c r="C980" i="17"/>
  <c r="C946" i="17"/>
  <c r="C914" i="17"/>
  <c r="C882" i="17"/>
  <c r="C850" i="17"/>
  <c r="C817" i="17"/>
  <c r="C786" i="17"/>
  <c r="C755" i="17"/>
  <c r="C723" i="17"/>
  <c r="C689" i="17"/>
  <c r="C658" i="17"/>
  <c r="C627" i="17"/>
  <c r="C594" i="17"/>
  <c r="C562" i="17"/>
  <c r="C530" i="17"/>
  <c r="C500" i="17"/>
  <c r="C466" i="17"/>
  <c r="C435" i="17"/>
  <c r="C404" i="17"/>
  <c r="C369" i="17"/>
  <c r="C338" i="17"/>
  <c r="C306" i="17"/>
  <c r="C275" i="17"/>
  <c r="C243" i="17"/>
  <c r="C209" i="17"/>
  <c r="C178" i="17"/>
  <c r="C146" i="17"/>
  <c r="A31" i="21" l="1"/>
  <c r="D30" i="21"/>
  <c r="E30" i="21" s="1"/>
  <c r="A84" i="21"/>
  <c r="D83" i="21"/>
  <c r="E83" i="21" s="1"/>
  <c r="A115" i="21"/>
  <c r="D114" i="21"/>
  <c r="E114" i="21" s="1"/>
  <c r="A50" i="21"/>
  <c r="D49" i="21"/>
  <c r="E49" i="21" s="1"/>
  <c r="C16" i="2"/>
  <c r="X29" i="2"/>
  <c r="Y29" i="2"/>
  <c r="B31" i="2"/>
  <c r="C30" i="2"/>
  <c r="B17" i="2"/>
  <c r="C17" i="2" s="1"/>
  <c r="B35" i="2"/>
  <c r="C35" i="2" s="1"/>
  <c r="A84" i="18"/>
  <c r="B83" i="18"/>
  <c r="B20" i="18"/>
  <c r="A21" i="18"/>
  <c r="C115" i="17"/>
  <c r="D115" i="17" s="1"/>
  <c r="C1011" i="17"/>
  <c r="C981" i="17"/>
  <c r="C947" i="17"/>
  <c r="C915" i="17"/>
  <c r="C883" i="17"/>
  <c r="C851" i="17"/>
  <c r="C818" i="17"/>
  <c r="C787" i="17"/>
  <c r="C756" i="17"/>
  <c r="C724" i="17"/>
  <c r="C690" i="17"/>
  <c r="C659" i="17"/>
  <c r="C628" i="17"/>
  <c r="C595" i="17"/>
  <c r="C563" i="17"/>
  <c r="C531" i="17"/>
  <c r="C501" i="17"/>
  <c r="C467" i="17"/>
  <c r="C436" i="17"/>
  <c r="C405" i="17"/>
  <c r="C370" i="17"/>
  <c r="C339" i="17"/>
  <c r="C307" i="17"/>
  <c r="C276" i="17"/>
  <c r="C244" i="17"/>
  <c r="C210" i="17"/>
  <c r="C179" i="17"/>
  <c r="C147" i="17"/>
  <c r="A32" i="21" l="1"/>
  <c r="D31" i="21"/>
  <c r="E31" i="21" s="1"/>
  <c r="A116" i="21"/>
  <c r="D115" i="21"/>
  <c r="E115" i="21" s="1"/>
  <c r="A85" i="21"/>
  <c r="D84" i="21"/>
  <c r="E84" i="21" s="1"/>
  <c r="D50" i="21"/>
  <c r="E50" i="21" s="1"/>
  <c r="A51" i="21"/>
  <c r="X30" i="2"/>
  <c r="Y30" i="2"/>
  <c r="Y17" i="2"/>
  <c r="X17" i="2"/>
  <c r="C31" i="2"/>
  <c r="B32" i="2"/>
  <c r="Y35" i="2"/>
  <c r="X35" i="2"/>
  <c r="X16" i="2"/>
  <c r="Y16" i="2"/>
  <c r="B36" i="2"/>
  <c r="C36" i="2" s="1"/>
  <c r="A85" i="18"/>
  <c r="B84" i="18"/>
  <c r="B21" i="18"/>
  <c r="A22" i="18"/>
  <c r="C116" i="17"/>
  <c r="D116" i="17" s="1"/>
  <c r="C1012" i="17"/>
  <c r="C982" i="17"/>
  <c r="C948" i="17"/>
  <c r="C916" i="17"/>
  <c r="C884" i="17"/>
  <c r="C852" i="17"/>
  <c r="C819" i="17"/>
  <c r="C788" i="17"/>
  <c r="C757" i="17"/>
  <c r="C725" i="17"/>
  <c r="C691" i="17"/>
  <c r="C660" i="17"/>
  <c r="C629" i="17"/>
  <c r="C596" i="17"/>
  <c r="C564" i="17"/>
  <c r="C532" i="17"/>
  <c r="C502" i="17"/>
  <c r="C468" i="17"/>
  <c r="C437" i="17"/>
  <c r="C406" i="17"/>
  <c r="C371" i="17"/>
  <c r="C340" i="17"/>
  <c r="C308" i="17"/>
  <c r="C277" i="17"/>
  <c r="C245" i="17"/>
  <c r="C211" i="17"/>
  <c r="C180" i="17"/>
  <c r="C148" i="17"/>
  <c r="A33" i="21" l="1"/>
  <c r="D33" i="21" s="1"/>
  <c r="E33" i="21" s="1"/>
  <c r="D32" i="21"/>
  <c r="E32" i="21" s="1"/>
  <c r="D85" i="21"/>
  <c r="E85" i="21" s="1"/>
  <c r="A86" i="21"/>
  <c r="D116" i="21"/>
  <c r="E116" i="21" s="1"/>
  <c r="A117" i="21"/>
  <c r="A52" i="21"/>
  <c r="D51" i="21"/>
  <c r="E51" i="21" s="1"/>
  <c r="Y31" i="2"/>
  <c r="X31" i="2"/>
  <c r="Y36" i="2"/>
  <c r="X36" i="2"/>
  <c r="C32" i="2"/>
  <c r="B33" i="2"/>
  <c r="C33" i="2" s="1"/>
  <c r="B37" i="2"/>
  <c r="C37" i="2" s="1"/>
  <c r="A86" i="18"/>
  <c r="B85" i="18"/>
  <c r="B22" i="18"/>
  <c r="A23" i="18"/>
  <c r="C117" i="17"/>
  <c r="D117" i="17" s="1"/>
  <c r="C1013" i="17"/>
  <c r="C983" i="17"/>
  <c r="C949" i="17"/>
  <c r="C917" i="17"/>
  <c r="C885" i="17"/>
  <c r="C853" i="17"/>
  <c r="C820" i="17"/>
  <c r="C789" i="17"/>
  <c r="C758" i="17"/>
  <c r="C726" i="17"/>
  <c r="C692" i="17"/>
  <c r="C661" i="17"/>
  <c r="C630" i="17"/>
  <c r="C597" i="17"/>
  <c r="C565" i="17"/>
  <c r="C533" i="17"/>
  <c r="C503" i="17"/>
  <c r="C469" i="17"/>
  <c r="C438" i="17"/>
  <c r="C407" i="17"/>
  <c r="C372" i="17"/>
  <c r="C341" i="17"/>
  <c r="C309" i="17"/>
  <c r="C278" i="17"/>
  <c r="C246" i="17"/>
  <c r="C212" i="17"/>
  <c r="C181" i="17"/>
  <c r="C149" i="17"/>
  <c r="D117" i="21" l="1"/>
  <c r="E117" i="21" s="1"/>
  <c r="A118" i="21"/>
  <c r="A87" i="21"/>
  <c r="D86" i="21"/>
  <c r="E86" i="21" s="1"/>
  <c r="D52" i="21"/>
  <c r="E52" i="21" s="1"/>
  <c r="A53" i="21"/>
  <c r="Y37" i="2"/>
  <c r="X37" i="2"/>
  <c r="Y32" i="2"/>
  <c r="X32" i="2"/>
  <c r="Y33" i="2"/>
  <c r="X33" i="2"/>
  <c r="B38" i="2"/>
  <c r="C38" i="2" s="1"/>
  <c r="B86" i="18"/>
  <c r="A87" i="18"/>
  <c r="B23" i="18"/>
  <c r="A24" i="18"/>
  <c r="C118" i="17"/>
  <c r="D118" i="17" s="1"/>
  <c r="C1014" i="17"/>
  <c r="C984" i="17"/>
  <c r="C950" i="17"/>
  <c r="C918" i="17"/>
  <c r="C886" i="17"/>
  <c r="C854" i="17"/>
  <c r="C821" i="17"/>
  <c r="C790" i="17"/>
  <c r="C759" i="17"/>
  <c r="C727" i="17"/>
  <c r="C693" i="17"/>
  <c r="C662" i="17"/>
  <c r="C631" i="17"/>
  <c r="C598" i="17"/>
  <c r="C566" i="17"/>
  <c r="C534" i="17"/>
  <c r="C504" i="17"/>
  <c r="C470" i="17"/>
  <c r="C439" i="17"/>
  <c r="C408" i="17"/>
  <c r="C373" i="17"/>
  <c r="C342" i="17"/>
  <c r="C310" i="17"/>
  <c r="C279" i="17"/>
  <c r="C247" i="17"/>
  <c r="C213" i="17"/>
  <c r="C182" i="17"/>
  <c r="C150" i="17"/>
  <c r="A88" i="21" l="1"/>
  <c r="D87" i="21"/>
  <c r="E87" i="21" s="1"/>
  <c r="A119" i="21"/>
  <c r="D118" i="21"/>
  <c r="E118" i="21" s="1"/>
  <c r="D53" i="21"/>
  <c r="E53" i="21" s="1"/>
  <c r="A54" i="21"/>
  <c r="Y38" i="2"/>
  <c r="X38" i="2"/>
  <c r="B39" i="2"/>
  <c r="C39" i="2" s="1"/>
  <c r="A88" i="18"/>
  <c r="B87" i="18"/>
  <c r="B24" i="18"/>
  <c r="A25" i="18"/>
  <c r="C119" i="17"/>
  <c r="D119" i="17" s="1"/>
  <c r="C1015" i="17"/>
  <c r="C985" i="17"/>
  <c r="C951" i="17"/>
  <c r="C919" i="17"/>
  <c r="C887" i="17"/>
  <c r="C855" i="17"/>
  <c r="C822" i="17"/>
  <c r="C791" i="17"/>
  <c r="C760" i="17"/>
  <c r="C728" i="17"/>
  <c r="C694" i="17"/>
  <c r="C663" i="17"/>
  <c r="C632" i="17"/>
  <c r="C599" i="17"/>
  <c r="C567" i="17"/>
  <c r="C535" i="17"/>
  <c r="C505" i="17"/>
  <c r="C471" i="17"/>
  <c r="C440" i="17"/>
  <c r="C409" i="17"/>
  <c r="C374" i="17"/>
  <c r="C343" i="17"/>
  <c r="C311" i="17"/>
  <c r="C280" i="17"/>
  <c r="C248" i="17"/>
  <c r="C214" i="17"/>
  <c r="C183" i="17"/>
  <c r="C151" i="17"/>
  <c r="A120" i="21" l="1"/>
  <c r="D119" i="21"/>
  <c r="E119" i="21" s="1"/>
  <c r="A89" i="21"/>
  <c r="D88" i="21"/>
  <c r="E88" i="21" s="1"/>
  <c r="A55" i="21"/>
  <c r="D54" i="21"/>
  <c r="E54" i="21" s="1"/>
  <c r="X39" i="2"/>
  <c r="Y39" i="2"/>
  <c r="B40" i="2"/>
  <c r="C40" i="2" s="1"/>
  <c r="A89" i="18"/>
  <c r="B88" i="18"/>
  <c r="A26" i="18"/>
  <c r="B25" i="18"/>
  <c r="C120" i="17"/>
  <c r="D120" i="17" s="1"/>
  <c r="C1016" i="17"/>
  <c r="C986" i="17"/>
  <c r="C952" i="17"/>
  <c r="C920" i="17"/>
  <c r="C888" i="17"/>
  <c r="C856" i="17"/>
  <c r="C823" i="17"/>
  <c r="C792" i="17"/>
  <c r="C761" i="17"/>
  <c r="C729" i="17"/>
  <c r="C695" i="17"/>
  <c r="C664" i="17"/>
  <c r="C633" i="17"/>
  <c r="C600" i="17"/>
  <c r="C568" i="17"/>
  <c r="C536" i="17"/>
  <c r="C506" i="17"/>
  <c r="C472" i="17"/>
  <c r="C441" i="17"/>
  <c r="C410" i="17"/>
  <c r="C375" i="17"/>
  <c r="C344" i="17"/>
  <c r="C312" i="17"/>
  <c r="C281" i="17"/>
  <c r="C249" i="17"/>
  <c r="C215" i="17"/>
  <c r="C184" i="17"/>
  <c r="C152" i="17"/>
  <c r="D89" i="21" l="1"/>
  <c r="E89" i="21" s="1"/>
  <c r="A90" i="21"/>
  <c r="D120" i="21"/>
  <c r="E120" i="21" s="1"/>
  <c r="A121" i="21"/>
  <c r="A56" i="21"/>
  <c r="D55" i="21"/>
  <c r="E55" i="21" s="1"/>
  <c r="X40" i="2"/>
  <c r="Y40" i="2"/>
  <c r="B41" i="2"/>
  <c r="C41" i="2" s="1"/>
  <c r="B89" i="18"/>
  <c r="A90" i="18"/>
  <c r="B26" i="18"/>
  <c r="A27" i="18"/>
  <c r="C121" i="17"/>
  <c r="D121" i="17" s="1"/>
  <c r="C1017" i="17"/>
  <c r="C987" i="17"/>
  <c r="C953" i="17"/>
  <c r="C921" i="17"/>
  <c r="C889" i="17"/>
  <c r="C857" i="17"/>
  <c r="C824" i="17"/>
  <c r="C793" i="17"/>
  <c r="C762" i="17"/>
  <c r="C730" i="17"/>
  <c r="C696" i="17"/>
  <c r="C665" i="17"/>
  <c r="C634" i="17"/>
  <c r="C601" i="17"/>
  <c r="C569" i="17"/>
  <c r="C537" i="17"/>
  <c r="C507" i="17"/>
  <c r="C473" i="17"/>
  <c r="C442" i="17"/>
  <c r="C411" i="17"/>
  <c r="C376" i="17"/>
  <c r="C345" i="17"/>
  <c r="C313" i="17"/>
  <c r="C282" i="17"/>
  <c r="C250" i="17"/>
  <c r="C216" i="17"/>
  <c r="C185" i="17"/>
  <c r="C153" i="17"/>
  <c r="D121" i="21" l="1"/>
  <c r="E121" i="21" s="1"/>
  <c r="A122" i="21"/>
  <c r="A91" i="21"/>
  <c r="D90" i="21"/>
  <c r="E90" i="21" s="1"/>
  <c r="D56" i="21"/>
  <c r="E56" i="21" s="1"/>
  <c r="A57" i="21"/>
  <c r="Y41" i="2"/>
  <c r="X41" i="2"/>
  <c r="B42" i="2"/>
  <c r="C42" i="2" s="1"/>
  <c r="A91" i="18"/>
  <c r="B90" i="18"/>
  <c r="A28" i="18"/>
  <c r="B27" i="18"/>
  <c r="C122" i="17"/>
  <c r="D122" i="17" s="1"/>
  <c r="C1018" i="17"/>
  <c r="C988" i="17"/>
  <c r="C954" i="17"/>
  <c r="C922" i="17"/>
  <c r="C890" i="17"/>
  <c r="C858" i="17"/>
  <c r="C825" i="17"/>
  <c r="C794" i="17"/>
  <c r="C763" i="17"/>
  <c r="C731" i="17"/>
  <c r="C697" i="17"/>
  <c r="C666" i="17"/>
  <c r="C635" i="17"/>
  <c r="C602" i="17"/>
  <c r="C570" i="17"/>
  <c r="C538" i="17"/>
  <c r="C508" i="17"/>
  <c r="C474" i="17"/>
  <c r="C443" i="17"/>
  <c r="C412" i="17"/>
  <c r="C377" i="17"/>
  <c r="C346" i="17"/>
  <c r="C314" i="17"/>
  <c r="C283" i="17"/>
  <c r="C251" i="17"/>
  <c r="C217" i="17"/>
  <c r="C186" i="17"/>
  <c r="C154" i="17"/>
  <c r="A92" i="21" l="1"/>
  <c r="D91" i="21"/>
  <c r="E91" i="21" s="1"/>
  <c r="A123" i="21"/>
  <c r="D122" i="21"/>
  <c r="E122" i="21" s="1"/>
  <c r="A58" i="21"/>
  <c r="D57" i="21"/>
  <c r="E57" i="21" s="1"/>
  <c r="X42" i="2"/>
  <c r="Y42" i="2"/>
  <c r="B43" i="2"/>
  <c r="C43" i="2" s="1"/>
  <c r="A92" i="18"/>
  <c r="B91" i="18"/>
  <c r="B28" i="18"/>
  <c r="A29" i="18"/>
  <c r="C123" i="17"/>
  <c r="D123" i="17" s="1"/>
  <c r="C1019" i="17"/>
  <c r="C989" i="17"/>
  <c r="C955" i="17"/>
  <c r="C923" i="17"/>
  <c r="C891" i="17"/>
  <c r="C859" i="17"/>
  <c r="C826" i="17"/>
  <c r="C795" i="17"/>
  <c r="C764" i="17"/>
  <c r="C732" i="17"/>
  <c r="C698" i="17"/>
  <c r="C667" i="17"/>
  <c r="C636" i="17"/>
  <c r="C603" i="17"/>
  <c r="C571" i="17"/>
  <c r="C539" i="17"/>
  <c r="C509" i="17"/>
  <c r="C475" i="17"/>
  <c r="C444" i="17"/>
  <c r="C413" i="17"/>
  <c r="C378" i="17"/>
  <c r="C347" i="17"/>
  <c r="C315" i="17"/>
  <c r="C284" i="17"/>
  <c r="C252" i="17"/>
  <c r="C218" i="17"/>
  <c r="C187" i="17"/>
  <c r="C155" i="17"/>
  <c r="A124" i="21" l="1"/>
  <c r="D123" i="21"/>
  <c r="E123" i="21" s="1"/>
  <c r="A93" i="21"/>
  <c r="D92" i="21"/>
  <c r="E92" i="21" s="1"/>
  <c r="D58" i="21"/>
  <c r="E58" i="21" s="1"/>
  <c r="A59" i="21"/>
  <c r="Y43" i="2"/>
  <c r="X43" i="2"/>
  <c r="B44" i="2"/>
  <c r="C44" i="2" s="1"/>
  <c r="A93" i="18"/>
  <c r="B92" i="18"/>
  <c r="B29" i="18"/>
  <c r="A30" i="18"/>
  <c r="C124" i="17"/>
  <c r="D124" i="17" s="1"/>
  <c r="C1020" i="17"/>
  <c r="C990" i="17"/>
  <c r="C956" i="17"/>
  <c r="C924" i="17"/>
  <c r="C892" i="17"/>
  <c r="C860" i="17"/>
  <c r="C827" i="17"/>
  <c r="C796" i="17"/>
  <c r="C765" i="17"/>
  <c r="C733" i="17"/>
  <c r="C699" i="17"/>
  <c r="C668" i="17"/>
  <c r="C637" i="17"/>
  <c r="C604" i="17"/>
  <c r="C572" i="17"/>
  <c r="C540" i="17"/>
  <c r="C510" i="17"/>
  <c r="C476" i="17"/>
  <c r="C445" i="17"/>
  <c r="C414" i="17"/>
  <c r="C379" i="17"/>
  <c r="C348" i="17"/>
  <c r="C316" i="17"/>
  <c r="C285" i="17"/>
  <c r="C253" i="17"/>
  <c r="C219" i="17"/>
  <c r="C188" i="17"/>
  <c r="C156" i="17"/>
  <c r="D93" i="21" l="1"/>
  <c r="E93" i="21" s="1"/>
  <c r="A94" i="21"/>
  <c r="D124" i="21"/>
  <c r="E124" i="21" s="1"/>
  <c r="A125" i="21"/>
  <c r="D59" i="21"/>
  <c r="E59" i="21" s="1"/>
  <c r="A60" i="21"/>
  <c r="Y44" i="2"/>
  <c r="X44" i="2"/>
  <c r="B45" i="2"/>
  <c r="C45" i="2" s="1"/>
  <c r="A94" i="18"/>
  <c r="B93" i="18"/>
  <c r="B30" i="18"/>
  <c r="A31" i="18"/>
  <c r="C125" i="17"/>
  <c r="D125" i="17" s="1"/>
  <c r="C1021" i="17"/>
  <c r="C991" i="17"/>
  <c r="C957" i="17"/>
  <c r="C925" i="17"/>
  <c r="C893" i="17"/>
  <c r="C861" i="17"/>
  <c r="C828" i="17"/>
  <c r="C797" i="17"/>
  <c r="C766" i="17"/>
  <c r="C734" i="17"/>
  <c r="C700" i="17"/>
  <c r="C669" i="17"/>
  <c r="C638" i="17"/>
  <c r="C605" i="17"/>
  <c r="C573" i="17"/>
  <c r="C541" i="17"/>
  <c r="C511" i="17"/>
  <c r="C477" i="17"/>
  <c r="C446" i="17"/>
  <c r="C415" i="17"/>
  <c r="C380" i="17"/>
  <c r="C349" i="17"/>
  <c r="C317" i="17"/>
  <c r="C286" i="17"/>
  <c r="C254" i="17"/>
  <c r="C220" i="17"/>
  <c r="C189" i="17"/>
  <c r="C157" i="17"/>
  <c r="D125" i="21" l="1"/>
  <c r="E125" i="21" s="1"/>
  <c r="A126" i="21"/>
  <c r="A95" i="21"/>
  <c r="D94" i="21"/>
  <c r="E94" i="21" s="1"/>
  <c r="A61" i="21"/>
  <c r="D60" i="21"/>
  <c r="E60" i="21" s="1"/>
  <c r="Y45" i="2"/>
  <c r="X45" i="2"/>
  <c r="B46" i="2"/>
  <c r="C46" i="2" s="1"/>
  <c r="A95" i="18"/>
  <c r="B94" i="18"/>
  <c r="A32" i="18"/>
  <c r="B31" i="18"/>
  <c r="C126" i="17"/>
  <c r="D126" i="17" s="1"/>
  <c r="C1022" i="17"/>
  <c r="C992" i="17"/>
  <c r="C958" i="17"/>
  <c r="C926" i="17"/>
  <c r="C894" i="17"/>
  <c r="C862" i="17"/>
  <c r="C829" i="17"/>
  <c r="C798" i="17"/>
  <c r="C767" i="17"/>
  <c r="C735" i="17"/>
  <c r="C701" i="17"/>
  <c r="C670" i="17"/>
  <c r="C639" i="17"/>
  <c r="C606" i="17"/>
  <c r="C574" i="17"/>
  <c r="C542" i="17"/>
  <c r="C512" i="17"/>
  <c r="C478" i="17"/>
  <c r="C447" i="17"/>
  <c r="C416" i="17"/>
  <c r="C381" i="17"/>
  <c r="C350" i="17"/>
  <c r="C318" i="17"/>
  <c r="C287" i="17"/>
  <c r="C255" i="17"/>
  <c r="C221" i="17"/>
  <c r="C190" i="17"/>
  <c r="C158" i="17"/>
  <c r="A96" i="21" l="1"/>
  <c r="D95" i="21"/>
  <c r="E95" i="21" s="1"/>
  <c r="A127" i="21"/>
  <c r="D126" i="21"/>
  <c r="E126" i="21" s="1"/>
  <c r="A62" i="21"/>
  <c r="D61" i="21"/>
  <c r="E61" i="21" s="1"/>
  <c r="Y46" i="2"/>
  <c r="X46" i="2"/>
  <c r="B47" i="2"/>
  <c r="C47" i="2" s="1"/>
  <c r="B95" i="18"/>
  <c r="A96" i="18"/>
  <c r="B32" i="18"/>
  <c r="A33" i="18"/>
  <c r="C127" i="17"/>
  <c r="D127" i="17" s="1"/>
  <c r="C1023" i="17"/>
  <c r="C993" i="17"/>
  <c r="C959" i="17"/>
  <c r="C927" i="17"/>
  <c r="C895" i="17"/>
  <c r="C863" i="17"/>
  <c r="C830" i="17"/>
  <c r="C799" i="17"/>
  <c r="C768" i="17"/>
  <c r="C736" i="17"/>
  <c r="C702" i="17"/>
  <c r="C671" i="17"/>
  <c r="C640" i="17"/>
  <c r="C607" i="17"/>
  <c r="C575" i="17"/>
  <c r="C543" i="17"/>
  <c r="C513" i="17"/>
  <c r="C479" i="17"/>
  <c r="C448" i="17"/>
  <c r="C417" i="17"/>
  <c r="C382" i="17"/>
  <c r="C351" i="17"/>
  <c r="C319" i="17"/>
  <c r="C288" i="17"/>
  <c r="C256" i="17"/>
  <c r="C222" i="17"/>
  <c r="C191" i="17"/>
  <c r="C159" i="17"/>
  <c r="A128" i="21" l="1"/>
  <c r="D127" i="21"/>
  <c r="E127" i="21" s="1"/>
  <c r="A97" i="21"/>
  <c r="D97" i="21" s="1"/>
  <c r="E97" i="21" s="1"/>
  <c r="D96" i="21"/>
  <c r="E96" i="21" s="1"/>
  <c r="D62" i="21"/>
  <c r="E62" i="21" s="1"/>
  <c r="A63" i="21"/>
  <c r="Y47" i="2"/>
  <c r="X47" i="2"/>
  <c r="B48" i="2"/>
  <c r="C48" i="2" s="1"/>
  <c r="A97" i="18"/>
  <c r="B96" i="18"/>
  <c r="A34" i="18"/>
  <c r="B33" i="18"/>
  <c r="C128" i="17"/>
  <c r="D128" i="17" s="1"/>
  <c r="C1024" i="17"/>
  <c r="C994" i="17"/>
  <c r="C960" i="17"/>
  <c r="C928" i="17"/>
  <c r="C896" i="17"/>
  <c r="C864" i="17"/>
  <c r="C831" i="17"/>
  <c r="C800" i="17"/>
  <c r="C769" i="17"/>
  <c r="C737" i="17"/>
  <c r="C703" i="17"/>
  <c r="C672" i="17"/>
  <c r="C641" i="17"/>
  <c r="C608" i="17"/>
  <c r="C576" i="17"/>
  <c r="C544" i="17"/>
  <c r="C514" i="17"/>
  <c r="C480" i="17"/>
  <c r="C449" i="17"/>
  <c r="C418" i="17"/>
  <c r="C383" i="17"/>
  <c r="C352" i="17"/>
  <c r="C320" i="17"/>
  <c r="C289" i="17"/>
  <c r="C257" i="17"/>
  <c r="C223" i="17"/>
  <c r="C192" i="17"/>
  <c r="C160" i="17"/>
  <c r="D128" i="21" l="1"/>
  <c r="E128" i="21" s="1"/>
  <c r="A129" i="21"/>
  <c r="D129" i="21" s="1"/>
  <c r="E129" i="21" s="1"/>
  <c r="A64" i="21"/>
  <c r="D63" i="21"/>
  <c r="E63" i="21" s="1"/>
  <c r="Y48" i="2"/>
  <c r="X48" i="2"/>
  <c r="B49" i="2"/>
  <c r="C49" i="2" s="1"/>
  <c r="A98" i="18"/>
  <c r="B97" i="18"/>
  <c r="A35" i="18"/>
  <c r="B34" i="18"/>
  <c r="C129" i="17"/>
  <c r="D129" i="17" s="1"/>
  <c r="C1025" i="17"/>
  <c r="C995" i="17"/>
  <c r="C961" i="17"/>
  <c r="C929" i="17"/>
  <c r="C897" i="17"/>
  <c r="C865" i="17"/>
  <c r="C832" i="17"/>
  <c r="C801" i="17"/>
  <c r="C770" i="17"/>
  <c r="C738" i="17"/>
  <c r="C704" i="17"/>
  <c r="C673" i="17"/>
  <c r="C642" i="17"/>
  <c r="C609" i="17"/>
  <c r="C577" i="17"/>
  <c r="C545" i="17"/>
  <c r="C515" i="17"/>
  <c r="C481" i="17"/>
  <c r="C450" i="17"/>
  <c r="C419" i="17"/>
  <c r="C384" i="17"/>
  <c r="C353" i="17"/>
  <c r="C321" i="17"/>
  <c r="C290" i="17"/>
  <c r="C258" i="17"/>
  <c r="C224" i="17"/>
  <c r="C193" i="17"/>
  <c r="C161" i="17"/>
  <c r="A65" i="21" l="1"/>
  <c r="D65" i="21" s="1"/>
  <c r="E65" i="21" s="1"/>
  <c r="D64" i="21"/>
  <c r="E64" i="21" s="1"/>
  <c r="Y49" i="2"/>
  <c r="X49" i="2"/>
  <c r="B98" i="18"/>
  <c r="A99" i="18"/>
  <c r="A36" i="18"/>
  <c r="B35" i="18"/>
  <c r="C130" i="17"/>
  <c r="D130" i="17" s="1"/>
  <c r="C1026" i="17"/>
  <c r="C996" i="17"/>
  <c r="C962" i="17"/>
  <c r="C930" i="17"/>
  <c r="C898" i="17"/>
  <c r="C866" i="17"/>
  <c r="C833" i="17"/>
  <c r="C802" i="17"/>
  <c r="C771" i="17"/>
  <c r="C739" i="17"/>
  <c r="C705" i="17"/>
  <c r="C674" i="17"/>
  <c r="C643" i="17"/>
  <c r="C610" i="17"/>
  <c r="C578" i="17"/>
  <c r="C546" i="17"/>
  <c r="C516" i="17"/>
  <c r="C482" i="17"/>
  <c r="C451" i="17"/>
  <c r="C420" i="17"/>
  <c r="C385" i="17"/>
  <c r="C354" i="17"/>
  <c r="C322" i="17"/>
  <c r="C291" i="17"/>
  <c r="C259" i="17"/>
  <c r="C225" i="17"/>
  <c r="C194" i="17"/>
  <c r="C162" i="17"/>
  <c r="A100" i="18" l="1"/>
  <c r="B99" i="18"/>
  <c r="A37" i="18"/>
  <c r="B36" i="18"/>
  <c r="C131" i="17"/>
  <c r="D131" i="17" s="1"/>
  <c r="C1027" i="17"/>
  <c r="C997" i="17"/>
  <c r="C963" i="17"/>
  <c r="C931" i="17"/>
  <c r="C899" i="17"/>
  <c r="C867" i="17"/>
  <c r="C834" i="17"/>
  <c r="C803" i="17"/>
  <c r="C772" i="17"/>
  <c r="C740" i="17"/>
  <c r="C706" i="17"/>
  <c r="C675" i="17"/>
  <c r="C644" i="17"/>
  <c r="C611" i="17"/>
  <c r="C579" i="17"/>
  <c r="C547" i="17"/>
  <c r="C517" i="17"/>
  <c r="C483" i="17"/>
  <c r="C452" i="17"/>
  <c r="C421" i="17"/>
  <c r="C386" i="17"/>
  <c r="C355" i="17"/>
  <c r="C323" i="17"/>
  <c r="C292" i="17"/>
  <c r="C260" i="17"/>
  <c r="C226" i="17"/>
  <c r="C195" i="17"/>
  <c r="C163" i="17"/>
  <c r="A101" i="18" l="1"/>
  <c r="B100" i="18"/>
  <c r="A38" i="18"/>
  <c r="B37" i="18"/>
  <c r="C132" i="17"/>
  <c r="D132" i="17" s="1"/>
  <c r="C1028" i="17"/>
  <c r="C998" i="17"/>
  <c r="C964" i="17"/>
  <c r="C932" i="17"/>
  <c r="C900" i="17"/>
  <c r="C868" i="17"/>
  <c r="C835" i="17"/>
  <c r="C804" i="17"/>
  <c r="C773" i="17"/>
  <c r="C741" i="17"/>
  <c r="C707" i="17"/>
  <c r="C676" i="17"/>
  <c r="C645" i="17"/>
  <c r="C612" i="17"/>
  <c r="C580" i="17"/>
  <c r="C548" i="17"/>
  <c r="C518" i="17"/>
  <c r="C484" i="17"/>
  <c r="C453" i="17"/>
  <c r="C422" i="17"/>
  <c r="C387" i="17"/>
  <c r="C356" i="17"/>
  <c r="C324" i="17"/>
  <c r="C293" i="17"/>
  <c r="C261" i="17"/>
  <c r="C227" i="17"/>
  <c r="C196" i="17"/>
  <c r="C164" i="17"/>
  <c r="A102" i="18" l="1"/>
  <c r="B101" i="18"/>
  <c r="B38" i="18"/>
  <c r="A39" i="18"/>
  <c r="C133" i="17"/>
  <c r="D133" i="17" s="1"/>
  <c r="C1029" i="17"/>
  <c r="C999" i="17"/>
  <c r="C965" i="17"/>
  <c r="C933" i="17"/>
  <c r="C901" i="17"/>
  <c r="C869" i="17"/>
  <c r="C836" i="17"/>
  <c r="C805" i="17"/>
  <c r="C774" i="17"/>
  <c r="C742" i="17"/>
  <c r="C708" i="17"/>
  <c r="C677" i="17"/>
  <c r="C646" i="17"/>
  <c r="C613" i="17"/>
  <c r="C581" i="17"/>
  <c r="C549" i="17"/>
  <c r="C519" i="17"/>
  <c r="C485" i="17"/>
  <c r="C454" i="17"/>
  <c r="C423" i="17"/>
  <c r="C388" i="17"/>
  <c r="C357" i="17"/>
  <c r="C325" i="17"/>
  <c r="C294" i="17"/>
  <c r="C262" i="17"/>
  <c r="C228" i="17"/>
  <c r="C197" i="17"/>
  <c r="C165" i="17"/>
  <c r="A103" i="18" l="1"/>
  <c r="B102" i="18"/>
  <c r="A40" i="18"/>
  <c r="B39" i="18"/>
  <c r="C134" i="17"/>
  <c r="D134" i="17" s="1"/>
  <c r="C1030" i="17"/>
  <c r="C966" i="17"/>
  <c r="C934" i="17"/>
  <c r="C902" i="17"/>
  <c r="C870" i="17"/>
  <c r="C837" i="17"/>
  <c r="C806" i="17"/>
  <c r="C775" i="17"/>
  <c r="C743" i="17"/>
  <c r="C709" i="17"/>
  <c r="C678" i="17"/>
  <c r="C647" i="17"/>
  <c r="C614" i="17"/>
  <c r="C582" i="17"/>
  <c r="C550" i="17"/>
  <c r="C486" i="17"/>
  <c r="C455" i="17"/>
  <c r="C389" i="17"/>
  <c r="C358" i="17"/>
  <c r="C326" i="17"/>
  <c r="C295" i="17"/>
  <c r="C263" i="17"/>
  <c r="C229" i="17"/>
  <c r="C198" i="17"/>
  <c r="C166" i="17"/>
  <c r="A104" i="18" l="1"/>
  <c r="B103" i="18"/>
  <c r="A41" i="18"/>
  <c r="B40" i="18"/>
  <c r="C135" i="17"/>
  <c r="D135" i="17" s="1"/>
  <c r="C1031" i="17"/>
  <c r="C967" i="17"/>
  <c r="C935" i="17"/>
  <c r="C903" i="17"/>
  <c r="C871" i="17"/>
  <c r="C838" i="17"/>
  <c r="C807" i="17"/>
  <c r="C710" i="17"/>
  <c r="C679" i="17"/>
  <c r="C615" i="17"/>
  <c r="C583" i="17"/>
  <c r="C551" i="17"/>
  <c r="C487" i="17"/>
  <c r="C390" i="17"/>
  <c r="C359" i="17"/>
  <c r="C327" i="17"/>
  <c r="C230" i="17"/>
  <c r="C199" i="17"/>
  <c r="C167" i="17"/>
  <c r="A105" i="18" l="1"/>
  <c r="B104" i="18"/>
  <c r="A42" i="18"/>
  <c r="B41" i="18"/>
  <c r="C839" i="17"/>
  <c r="C711" i="17"/>
  <c r="C391" i="17"/>
  <c r="C231" i="17"/>
  <c r="A106" i="18" l="1"/>
  <c r="B105" i="18"/>
  <c r="B42" i="18"/>
  <c r="A43" i="18"/>
  <c r="A107" i="18" l="1"/>
  <c r="B106" i="18"/>
  <c r="A44" i="18"/>
  <c r="B43" i="18"/>
  <c r="B107" i="18" l="1"/>
  <c r="A108" i="18"/>
  <c r="A45" i="18"/>
  <c r="B44" i="18"/>
  <c r="A109" i="18" l="1"/>
  <c r="B108" i="18"/>
  <c r="B45" i="18"/>
  <c r="A46" i="18"/>
  <c r="A110" i="18" l="1"/>
  <c r="B109" i="18"/>
  <c r="A47" i="18"/>
  <c r="B46" i="18"/>
  <c r="B110" i="18" l="1"/>
  <c r="A111" i="18"/>
  <c r="A48" i="18"/>
  <c r="B47" i="18"/>
  <c r="A112" i="18" l="1"/>
  <c r="B111" i="18"/>
  <c r="A49" i="18"/>
  <c r="B48" i="18"/>
  <c r="A113" i="18" l="1"/>
  <c r="B112" i="18"/>
  <c r="B49" i="18"/>
  <c r="A50" i="18"/>
  <c r="A114" i="18" l="1"/>
  <c r="B113" i="18"/>
  <c r="B50" i="18"/>
  <c r="A51" i="18"/>
  <c r="A115" i="18" l="1"/>
  <c r="B114" i="18"/>
  <c r="A52" i="18"/>
  <c r="B51" i="18"/>
  <c r="A116" i="18" l="1"/>
  <c r="B115" i="18"/>
  <c r="B52" i="18"/>
  <c r="A53" i="18"/>
  <c r="A117" i="18" l="1"/>
  <c r="B116" i="18"/>
  <c r="B53" i="18"/>
  <c r="A54" i="18"/>
  <c r="A118" i="18" l="1"/>
  <c r="B117" i="18"/>
  <c r="A55" i="18"/>
  <c r="B54" i="18"/>
  <c r="A119" i="18" l="1"/>
  <c r="B118" i="18"/>
  <c r="A56" i="18"/>
  <c r="B55" i="18"/>
  <c r="A120" i="18" l="1"/>
  <c r="B119" i="18"/>
  <c r="A57" i="18"/>
  <c r="B56" i="18"/>
  <c r="A121" i="18" l="1"/>
  <c r="B120" i="18"/>
  <c r="A58" i="18"/>
  <c r="B57" i="18"/>
  <c r="A122" i="18" l="1"/>
  <c r="B121" i="18"/>
  <c r="B58" i="18"/>
  <c r="A59" i="18"/>
  <c r="B122" i="18" l="1"/>
  <c r="A123" i="18"/>
  <c r="B59" i="18"/>
  <c r="A60" i="18"/>
  <c r="A124" i="18" l="1"/>
  <c r="B123" i="18"/>
  <c r="A61" i="18"/>
  <c r="B60" i="18"/>
  <c r="A125" i="18" l="1"/>
  <c r="B124" i="18"/>
  <c r="A62" i="18"/>
  <c r="B61" i="18"/>
  <c r="B125" i="18" l="1"/>
  <c r="A126" i="18"/>
  <c r="B62" i="18"/>
  <c r="A63" i="18"/>
  <c r="A127" i="18" l="1"/>
  <c r="B126" i="18"/>
  <c r="A64" i="18"/>
  <c r="B63" i="18"/>
  <c r="A128" i="18" l="1"/>
  <c r="B127" i="18"/>
  <c r="A65" i="18"/>
  <c r="B64" i="18"/>
  <c r="A129" i="18" l="1"/>
  <c r="B128" i="18"/>
  <c r="A66" i="18"/>
  <c r="B65" i="18"/>
  <c r="A130" i="18" l="1"/>
  <c r="B129" i="18"/>
  <c r="B66" i="18"/>
  <c r="A67" i="18"/>
  <c r="A131" i="18" l="1"/>
  <c r="B130" i="18"/>
  <c r="B67" i="18"/>
  <c r="A68" i="18"/>
  <c r="A132" i="18" l="1"/>
  <c r="B131" i="18"/>
  <c r="B68" i="18"/>
  <c r="A69" i="18"/>
  <c r="A133" i="18" l="1"/>
  <c r="B132" i="18"/>
  <c r="A70" i="18"/>
  <c r="B69" i="18"/>
  <c r="A134" i="18" l="1"/>
  <c r="B133" i="18"/>
  <c r="A71" i="18"/>
  <c r="B71" i="18" s="1"/>
  <c r="B70" i="18"/>
  <c r="A135" i="18" l="1"/>
  <c r="B135" i="18" s="1"/>
  <c r="B134" i="18"/>
</calcChain>
</file>

<file path=xl/comments1.xml><?xml version="1.0" encoding="utf-8"?>
<comments xmlns="http://schemas.openxmlformats.org/spreadsheetml/2006/main">
  <authors>
    <author>ivor</author>
  </authors>
  <commentList>
    <comment ref="M93" authorId="0" shapeId="0">
      <text>
        <r>
          <rPr>
            <b/>
            <sz val="9"/>
            <color indexed="81"/>
            <rFont val="Tahoma"/>
            <family val="2"/>
          </rPr>
          <t>ivor:</t>
        </r>
        <r>
          <rPr>
            <sz val="9"/>
            <color indexed="81"/>
            <rFont val="Tahoma"/>
            <family val="2"/>
          </rPr>
          <t xml:space="preserve">
Was:
=(10.5+195*H43)*H44</t>
        </r>
      </text>
    </comment>
    <comment ref="S93" authorId="0" shapeId="0">
      <text>
        <r>
          <rPr>
            <b/>
            <sz val="9"/>
            <color indexed="81"/>
            <rFont val="Tahoma"/>
            <family val="2"/>
          </rPr>
          <t>ivor:</t>
        </r>
        <r>
          <rPr>
            <sz val="9"/>
            <color indexed="81"/>
            <rFont val="Tahoma"/>
            <family val="2"/>
          </rPr>
          <t xml:space="preserve">
Was:
=(10.5+195*H43)*H44</t>
        </r>
      </text>
    </comment>
    <comment ref="M96" authorId="0" shapeId="0">
      <text>
        <r>
          <rPr>
            <b/>
            <sz val="9"/>
            <color indexed="81"/>
            <rFont val="Tahoma"/>
            <family val="2"/>
          </rPr>
          <t>ivor:</t>
        </r>
        <r>
          <rPr>
            <sz val="9"/>
            <color indexed="81"/>
            <rFont val="Tahoma"/>
            <family val="2"/>
          </rPr>
          <t xml:space="preserve">
This used to be 850ns but changed it to 2.6us to accommodate the hub THU setting of 3.2us. The hub timer starts earlier than TCR, hence the difference
The formulat used to be:
=8.5*H44</t>
        </r>
      </text>
    </comment>
    <comment ref="S96" authorId="0" shapeId="0">
      <text>
        <r>
          <rPr>
            <b/>
            <sz val="9"/>
            <color indexed="81"/>
            <rFont val="Tahoma"/>
            <family val="2"/>
          </rPr>
          <t>ivor:</t>
        </r>
        <r>
          <rPr>
            <sz val="9"/>
            <color indexed="81"/>
            <rFont val="Tahoma"/>
            <family val="2"/>
          </rPr>
          <t xml:space="preserve">
This used to be 850ns but changed it to 2.6us to accommodate the hub THU setting of 3.2us. The hub timer starts earlier than TCR, hence the difference
The formulat used to be:
=8.5*H44</t>
        </r>
      </text>
    </comment>
  </commentList>
</comments>
</file>

<file path=xl/sharedStrings.xml><?xml version="1.0" encoding="utf-8"?>
<sst xmlns="http://schemas.openxmlformats.org/spreadsheetml/2006/main" count="16026" uniqueCount="1578">
  <si>
    <t>Registers</t>
  </si>
  <si>
    <t>Read/Write</t>
  </si>
  <si>
    <t>Read</t>
  </si>
  <si>
    <t>Default</t>
  </si>
  <si>
    <t>D0</t>
  </si>
  <si>
    <t>D1</t>
  </si>
  <si>
    <t>D13</t>
  </si>
  <si>
    <t>D12</t>
  </si>
  <si>
    <t>D11</t>
  </si>
  <si>
    <t>D10</t>
  </si>
  <si>
    <t>D9</t>
  </si>
  <si>
    <t>D8</t>
  </si>
  <si>
    <t>D7</t>
  </si>
  <si>
    <t>D6</t>
  </si>
  <si>
    <t>D5</t>
  </si>
  <si>
    <t>D4</t>
  </si>
  <si>
    <t>D3</t>
  </si>
  <si>
    <t>D2</t>
  </si>
  <si>
    <t>D14</t>
  </si>
  <si>
    <t>D15</t>
  </si>
  <si>
    <t>Register deifnitions</t>
  </si>
  <si>
    <t>Add</t>
  </si>
  <si>
    <t>reg_err_inj_control</t>
  </si>
  <si>
    <t>reg_err_inj_data</t>
  </si>
  <si>
    <t>reg_status</t>
  </si>
  <si>
    <t>reg_intr_mask</t>
  </si>
  <si>
    <t>Write</t>
  </si>
  <si>
    <t xml:space="preserve">Notes: </t>
  </si>
  <si>
    <t>Each subaddress message can contain 32 bytes of data.</t>
  </si>
  <si>
    <t>There can be 30 sub addresses (when terminal bit not used)</t>
  </si>
  <si>
    <t>Total RAM words</t>
  </si>
  <si>
    <t>Addr</t>
  </si>
  <si>
    <t>Description</t>
  </si>
  <si>
    <t>Hex</t>
  </si>
  <si>
    <t>Subaddr 1</t>
  </si>
  <si>
    <t>Subaddr 2</t>
  </si>
  <si>
    <t>Subaddr 3</t>
  </si>
  <si>
    <t>start</t>
  </si>
  <si>
    <t>End</t>
  </si>
  <si>
    <t>Test Data</t>
  </si>
  <si>
    <t>CmdProc0</t>
  </si>
  <si>
    <t>CmdProc1</t>
  </si>
  <si>
    <t>CmdProc2</t>
  </si>
  <si>
    <t>CmdProc3</t>
  </si>
  <si>
    <t>CmdProc4</t>
  </si>
  <si>
    <t>CmdProc5</t>
  </si>
  <si>
    <t>CmdProc6</t>
  </si>
  <si>
    <t>CmdProc7</t>
  </si>
  <si>
    <t>CmdProc8</t>
  </si>
  <si>
    <t>CmdProc9</t>
  </si>
  <si>
    <t>CmdProc10</t>
  </si>
  <si>
    <t>CmdProc11</t>
  </si>
  <si>
    <t>CmdProc12</t>
  </si>
  <si>
    <t>CmdProc13</t>
  </si>
  <si>
    <t>CmdProc14</t>
  </si>
  <si>
    <t>CmdProc15</t>
  </si>
  <si>
    <t>CmdProc16</t>
  </si>
  <si>
    <t>CmdProc17</t>
  </si>
  <si>
    <t>CmdProc18</t>
  </si>
  <si>
    <t>CmdProc19</t>
  </si>
  <si>
    <t>CmdProc20</t>
  </si>
  <si>
    <t>CmdProc21</t>
  </si>
  <si>
    <t>CmdProc22</t>
  </si>
  <si>
    <t>CmdProc23</t>
  </si>
  <si>
    <t>CmdProc24</t>
  </si>
  <si>
    <t>CmdProc25</t>
  </si>
  <si>
    <t>CmdProc26</t>
  </si>
  <si>
    <t>CmdProc27</t>
  </si>
  <si>
    <t>CmdProc28</t>
  </si>
  <si>
    <t>CmdProc29</t>
  </si>
  <si>
    <t>CmdProc30</t>
  </si>
  <si>
    <t>CmdProc31</t>
  </si>
  <si>
    <t>MODEDAT0</t>
  </si>
  <si>
    <t>MODEDAT1</t>
  </si>
  <si>
    <t>MODEDAT2</t>
  </si>
  <si>
    <t>MODEDAT3</t>
  </si>
  <si>
    <t>MODEDAT4</t>
  </si>
  <si>
    <t>MODEDAT5</t>
  </si>
  <si>
    <t>MODEDAT6</t>
  </si>
  <si>
    <t>MODEDAT7</t>
  </si>
  <si>
    <t>MODEDAT8</t>
  </si>
  <si>
    <t>MODEDAT9</t>
  </si>
  <si>
    <t>MODEDAT10</t>
  </si>
  <si>
    <t>MODEDAT11</t>
  </si>
  <si>
    <t>MODEDAT12</t>
  </si>
  <si>
    <t>MODEDAT13</t>
  </si>
  <si>
    <t>MODEDAT14</t>
  </si>
  <si>
    <t>MODEDAT15</t>
  </si>
  <si>
    <t>MODEDAT16</t>
  </si>
  <si>
    <t>MODEDAT17</t>
  </si>
  <si>
    <t>MODEDAT18</t>
  </si>
  <si>
    <t>MODEDAT19</t>
  </si>
  <si>
    <t>MODEDAT20</t>
  </si>
  <si>
    <t>MODEDAT21</t>
  </si>
  <si>
    <t>MODEDAT22</t>
  </si>
  <si>
    <t>MODEDAT23</t>
  </si>
  <si>
    <t>MODEDAT24</t>
  </si>
  <si>
    <t>MODEDAT25</t>
  </si>
  <si>
    <t>MODEDAT26</t>
  </si>
  <si>
    <t>MODEDAT27</t>
  </si>
  <si>
    <t>MODEDAT28</t>
  </si>
  <si>
    <t>MODEDAT29</t>
  </si>
  <si>
    <t>MODEDAT30</t>
  </si>
  <si>
    <t>MODEDAT31</t>
  </si>
  <si>
    <t>B83F</t>
  </si>
  <si>
    <t>BC5F</t>
  </si>
  <si>
    <t>1B87E</t>
  </si>
  <si>
    <t>C87E</t>
  </si>
  <si>
    <t>RT-RT (1)</t>
  </si>
  <si>
    <t>RT-RT (2)</t>
  </si>
  <si>
    <t>RT RX</t>
  </si>
  <si>
    <t>RT TX</t>
  </si>
  <si>
    <t>MODE no data</t>
  </si>
  <si>
    <t>Transmit status</t>
  </si>
  <si>
    <t>Synchronise</t>
  </si>
  <si>
    <t>MODE Tx data</t>
  </si>
  <si>
    <t>Transmit Vector Word</t>
  </si>
  <si>
    <t>MODE Rx Data</t>
  </si>
  <si>
    <t>Selected Tx Shutdown</t>
  </si>
  <si>
    <t>BC02</t>
  </si>
  <si>
    <t>BC01</t>
  </si>
  <si>
    <t>BC10</t>
  </si>
  <si>
    <t>BC14</t>
  </si>
  <si>
    <t>RT2RT</t>
  </si>
  <si>
    <t>SendMessage</t>
  </si>
  <si>
    <t>MIL1553 Registers</t>
  </si>
  <si>
    <t>Start</t>
  </si>
  <si>
    <t>CmdProcRAM</t>
  </si>
  <si>
    <t>SubAddr1</t>
  </si>
  <si>
    <t>MODE Data</t>
  </si>
  <si>
    <t>SubAddr2</t>
  </si>
  <si>
    <t>SubAddr3</t>
  </si>
  <si>
    <t>SubAddr4</t>
  </si>
  <si>
    <t>SubAddr5</t>
  </si>
  <si>
    <t>SubAddr6</t>
  </si>
  <si>
    <t>SubAddr7</t>
  </si>
  <si>
    <t>SubAddr8</t>
  </si>
  <si>
    <t>SubAddr9</t>
  </si>
  <si>
    <t>SubAddr10</t>
  </si>
  <si>
    <t>SubAddr11</t>
  </si>
  <si>
    <t>SubAddr12</t>
  </si>
  <si>
    <t>SubAddr13</t>
  </si>
  <si>
    <t>SubAddr14</t>
  </si>
  <si>
    <t>SubAddr15</t>
  </si>
  <si>
    <t>SubAddr16</t>
  </si>
  <si>
    <t>SubAddr17</t>
  </si>
  <si>
    <t>SubAddr18</t>
  </si>
  <si>
    <t>SubAddr19</t>
  </si>
  <si>
    <t>SubAddr20</t>
  </si>
  <si>
    <t>SubAddr21</t>
  </si>
  <si>
    <t>SubAddr22</t>
  </si>
  <si>
    <t>SubAddr23</t>
  </si>
  <si>
    <t>SubAddr24</t>
  </si>
  <si>
    <t>SubAddr25</t>
  </si>
  <si>
    <t>SubAddr26</t>
  </si>
  <si>
    <t>SubAddr27</t>
  </si>
  <si>
    <t>SubAddr28</t>
  </si>
  <si>
    <t>SubAddr29</t>
  </si>
  <si>
    <t>SubAddr30</t>
  </si>
  <si>
    <t>Tx RAM</t>
  </si>
  <si>
    <t>Rx RAM</t>
  </si>
  <si>
    <t>Not used</t>
  </si>
  <si>
    <t>reg_tmr_1us</t>
  </si>
  <si>
    <t>reg_tmr_GAP</t>
  </si>
  <si>
    <t>reg_tmr_NRP</t>
  </si>
  <si>
    <t>Clock frequency</t>
  </si>
  <si>
    <t>Hz</t>
  </si>
  <si>
    <t>1/f</t>
  </si>
  <si>
    <t>Clock period</t>
  </si>
  <si>
    <t>tmr_NRP</t>
  </si>
  <si>
    <t>4us</t>
  </si>
  <si>
    <t>tmr_GAP</t>
  </si>
  <si>
    <t>tmr_1us</t>
  </si>
  <si>
    <t>1us</t>
  </si>
  <si>
    <t>Dec</t>
  </si>
  <si>
    <t>reg_tmr_REP</t>
  </si>
  <si>
    <t>14us</t>
  </si>
  <si>
    <t>tmr_REP</t>
  </si>
  <si>
    <t>Broadcast</t>
  </si>
  <si>
    <t>BC2RT</t>
  </si>
  <si>
    <t>Rx</t>
  </si>
  <si>
    <t>Word1</t>
  </si>
  <si>
    <t>Word2</t>
  </si>
  <si>
    <t>MODE no DAT</t>
  </si>
  <si>
    <t>Sync</t>
  </si>
  <si>
    <t>MODE RX DAT</t>
  </si>
  <si>
    <t>reg_legal_subaddr1</t>
  </si>
  <si>
    <t>reg_legal_subaddr2</t>
  </si>
  <si>
    <t>reg_legal_mode1</t>
  </si>
  <si>
    <t>reg_legal_mode2</t>
  </si>
  <si>
    <t>reg_tmr_SAF</t>
  </si>
  <si>
    <t>800us</t>
  </si>
  <si>
    <t>tmr_SAF (1us)</t>
  </si>
  <si>
    <t>BrdcstEn</t>
  </si>
  <si>
    <t>NewBCRTRX</t>
  </si>
  <si>
    <t>NewBCRTTX</t>
  </si>
  <si>
    <t>NewRT2RTRX</t>
  </si>
  <si>
    <t>NewRT2RTTX</t>
  </si>
  <si>
    <t>NewMode</t>
  </si>
  <si>
    <t>NewModeDatRx</t>
  </si>
  <si>
    <t>NewModeDatTx</t>
  </si>
  <si>
    <t>DBC</t>
  </si>
  <si>
    <t>DBC_accepted</t>
  </si>
  <si>
    <t>DBC En</t>
  </si>
  <si>
    <t>Synchronize</t>
  </si>
  <si>
    <t>reg_clear_bits</t>
  </si>
  <si>
    <t>InitiateBIT</t>
  </si>
  <si>
    <t>Transmit Status word</t>
  </si>
  <si>
    <t>Initiate BIT</t>
  </si>
  <si>
    <t>Tx2_Off</t>
  </si>
  <si>
    <t>Inhibit T/F</t>
  </si>
  <si>
    <t>reg_tx_control1</t>
  </si>
  <si>
    <t>reg_cmd_proc_start1</t>
  </si>
  <si>
    <t>reg_cmd_proc_length1</t>
  </si>
  <si>
    <t>TxAvail1</t>
  </si>
  <si>
    <t>TxAvail2</t>
  </si>
  <si>
    <t>Tx1_Off</t>
  </si>
  <si>
    <t>reg_rx_cmd</t>
  </si>
  <si>
    <t>OtherTxOff</t>
  </si>
  <si>
    <t>RtAddr4</t>
  </si>
  <si>
    <t>RtAddr3</t>
  </si>
  <si>
    <t>RTAddr2</t>
  </si>
  <si>
    <t>RtAddr1</t>
  </si>
  <si>
    <t>RtAddr0</t>
  </si>
  <si>
    <t>MessageError</t>
  </si>
  <si>
    <t>Instrument</t>
  </si>
  <si>
    <t>ServiceReq</t>
  </si>
  <si>
    <t>Reserved</t>
  </si>
  <si>
    <t>Brdcst Rxes</t>
  </si>
  <si>
    <t>Busy</t>
  </si>
  <si>
    <t>SubSysFlag</t>
  </si>
  <si>
    <t>DBC Acpt</t>
  </si>
  <si>
    <t>TerminalFlag</t>
  </si>
  <si>
    <t>reg_status_rxed1</t>
  </si>
  <si>
    <t>reg_mode_cmd_rxed1</t>
  </si>
  <si>
    <t>reg_mode_data_rxed1</t>
  </si>
  <si>
    <t>Common registers</t>
  </si>
  <si>
    <t>Bus1 Registers</t>
  </si>
  <si>
    <t>Bus2 Registers</t>
  </si>
  <si>
    <t>0000</t>
  </si>
  <si>
    <t>0063</t>
  </si>
  <si>
    <t>reg_23</t>
  </si>
  <si>
    <t>reg_24</t>
  </si>
  <si>
    <t>reg_25</t>
  </si>
  <si>
    <t>reg_26</t>
  </si>
  <si>
    <t>reg_27</t>
  </si>
  <si>
    <t>reg_39</t>
  </si>
  <si>
    <t>reg_40</t>
  </si>
  <si>
    <t>reg_41</t>
  </si>
  <si>
    <t>reg_42</t>
  </si>
  <si>
    <t>reg_43</t>
  </si>
  <si>
    <t>reg_44</t>
  </si>
  <si>
    <t>reg_45</t>
  </si>
  <si>
    <t>reg_28</t>
  </si>
  <si>
    <t>reg_29</t>
  </si>
  <si>
    <t>018F</t>
  </si>
  <si>
    <t>0577</t>
  </si>
  <si>
    <t>031F</t>
  </si>
  <si>
    <t>FFFF</t>
  </si>
  <si>
    <t>01FF</t>
  </si>
  <si>
    <t>003F</t>
  </si>
  <si>
    <t>reg_status_rxed2</t>
  </si>
  <si>
    <t>reg_mode_cmd_rxed2</t>
  </si>
  <si>
    <t>reg_mode_data_rxed2</t>
  </si>
  <si>
    <t>reg_rx_cmd2</t>
  </si>
  <si>
    <t>reg_tx_control2</t>
  </si>
  <si>
    <t>reg_cmd_proc_start2</t>
  </si>
  <si>
    <t>reg_cmd_proc_length2</t>
  </si>
  <si>
    <t>Reset Assignment</t>
  </si>
  <si>
    <t>RD command</t>
  </si>
  <si>
    <t>Wr Command</t>
  </si>
  <si>
    <t>reg_gID</t>
  </si>
  <si>
    <t>reg_fw_version</t>
  </si>
  <si>
    <t>Timestamp3 MSB</t>
  </si>
  <si>
    <t>0x000</t>
  </si>
  <si>
    <t>D63</t>
  </si>
  <si>
    <t>D62</t>
  </si>
  <si>
    <t>D61</t>
  </si>
  <si>
    <t>D60</t>
  </si>
  <si>
    <t>D59</t>
  </si>
  <si>
    <t>D58</t>
  </si>
  <si>
    <t>D57</t>
  </si>
  <si>
    <t>D56</t>
  </si>
  <si>
    <t>D55</t>
  </si>
  <si>
    <t>D54</t>
  </si>
  <si>
    <t>D53</t>
  </si>
  <si>
    <t>D52</t>
  </si>
  <si>
    <t>D51</t>
  </si>
  <si>
    <t>D50</t>
  </si>
  <si>
    <t>D49</t>
  </si>
  <si>
    <t>D48</t>
  </si>
  <si>
    <t>Timestamp2</t>
  </si>
  <si>
    <t>D47</t>
  </si>
  <si>
    <t>D46</t>
  </si>
  <si>
    <t>D45</t>
  </si>
  <si>
    <t>D44</t>
  </si>
  <si>
    <t>D43</t>
  </si>
  <si>
    <t>D42</t>
  </si>
  <si>
    <t>D41</t>
  </si>
  <si>
    <t>D40</t>
  </si>
  <si>
    <t>D39</t>
  </si>
  <si>
    <t>D38</t>
  </si>
  <si>
    <t>D37</t>
  </si>
  <si>
    <t>D36</t>
  </si>
  <si>
    <t>D35</t>
  </si>
  <si>
    <t>D34</t>
  </si>
  <si>
    <t>D33</t>
  </si>
  <si>
    <t>D32</t>
  </si>
  <si>
    <t>Timestamp1</t>
  </si>
  <si>
    <t>D31</t>
  </si>
  <si>
    <t>D30</t>
  </si>
  <si>
    <t>D29</t>
  </si>
  <si>
    <t>D28</t>
  </si>
  <si>
    <t>D27</t>
  </si>
  <si>
    <t>D26</t>
  </si>
  <si>
    <t>D25</t>
  </si>
  <si>
    <t>D24</t>
  </si>
  <si>
    <t>D23</t>
  </si>
  <si>
    <t>D22</t>
  </si>
  <si>
    <t>D21</t>
  </si>
  <si>
    <t>D20</t>
  </si>
  <si>
    <t>D19</t>
  </si>
  <si>
    <t>D18</t>
  </si>
  <si>
    <t>D17</t>
  </si>
  <si>
    <t>D16</t>
  </si>
  <si>
    <t>Timestamp0 LSB</t>
  </si>
  <si>
    <t>RT Addr</t>
  </si>
  <si>
    <t>Transmit/Receive</t>
  </si>
  <si>
    <t>SubAddr/Mode</t>
  </si>
  <si>
    <t>DatawordCount/Mode Code</t>
  </si>
  <si>
    <t>Valid 1 byte transmit</t>
  </si>
  <si>
    <t>Valid 1 byte receive</t>
  </si>
  <si>
    <t>Valid mode command, synchronise</t>
  </si>
  <si>
    <t>Valid RT2RT, RT1 to receive and RT2 to send (1)</t>
  </si>
  <si>
    <t>Valid RT2RT, RT1 to receive and RT2 to send (2)</t>
  </si>
  <si>
    <t>StatusRxed</t>
  </si>
  <si>
    <t>reg_bus1_status</t>
  </si>
  <si>
    <t>reg_bus1_mask</t>
  </si>
  <si>
    <t>reg_bus2_status</t>
  </si>
  <si>
    <t>reg_bus2_mask</t>
  </si>
  <si>
    <t>GAP</t>
  </si>
  <si>
    <t>REP</t>
  </si>
  <si>
    <t>NRP</t>
  </si>
  <si>
    <t>SAF</t>
  </si>
  <si>
    <t>StatusRxedFlag</t>
  </si>
  <si>
    <t>TxnRx</t>
  </si>
  <si>
    <t>Mode</t>
  </si>
  <si>
    <t>ModeMSB</t>
  </si>
  <si>
    <t>Dynamic Bus Control</t>
  </si>
  <si>
    <t>Transmit status word</t>
  </si>
  <si>
    <t>Initiate Self test</t>
  </si>
  <si>
    <t>Transmitter shutdown</t>
  </si>
  <si>
    <t>Override transmitter shutdown</t>
  </si>
  <si>
    <t>Inhibit Terminal flag</t>
  </si>
  <si>
    <t>Override inhibit terminal flag</t>
  </si>
  <si>
    <t>Reset Remote Terminal</t>
  </si>
  <si>
    <t>Selected transmitter shutdown</t>
  </si>
  <si>
    <t>Override selected transmitter shutdown</t>
  </si>
  <si>
    <t xml:space="preserve">Transmit service vector </t>
  </si>
  <si>
    <t>Transmit last command</t>
  </si>
  <si>
    <t>Transmit BIT</t>
  </si>
  <si>
    <t>Addressed RT Response</t>
  </si>
  <si>
    <t>Broadcast response</t>
  </si>
  <si>
    <t>Tests cases</t>
  </si>
  <si>
    <t>Bin</t>
  </si>
  <si>
    <t>Command Type</t>
  </si>
  <si>
    <t>Tx</t>
  </si>
  <si>
    <t>Mode/SubAddr</t>
  </si>
  <si>
    <t>Len/Cmd</t>
  </si>
  <si>
    <t>ModeValid</t>
  </si>
  <si>
    <t>Mode/Data</t>
  </si>
  <si>
    <t>MODE CMD</t>
  </si>
  <si>
    <t>Selected Transmitter Shutdown</t>
  </si>
  <si>
    <t>Override Selected Transmitter Shutdown</t>
  </si>
  <si>
    <t>Invalid</t>
  </si>
  <si>
    <t>Transmit Status Word</t>
  </si>
  <si>
    <t>Initiate Self Test</t>
  </si>
  <si>
    <t>Transmitter Shutdown</t>
  </si>
  <si>
    <t>Override Transmitter Shutdown</t>
  </si>
  <si>
    <t>Inhibit Terminal Flag</t>
  </si>
  <si>
    <t>Override Inhibit Terminal Flag</t>
  </si>
  <si>
    <t>Transmit Last Command</t>
  </si>
  <si>
    <t>Transmit BIT word</t>
  </si>
  <si>
    <t>Concat</t>
  </si>
  <si>
    <t>RT ADDR =</t>
  </si>
  <si>
    <t>Brdcst</t>
  </si>
  <si>
    <t>0010100</t>
  </si>
  <si>
    <t>0000000000000000</t>
  </si>
  <si>
    <t>0</t>
  </si>
  <si>
    <t>RT ADDR = 00000 RX MODE - Invalid</t>
  </si>
  <si>
    <t>00000</t>
  </si>
  <si>
    <t xml:space="preserve"> RX</t>
  </si>
  <si>
    <t xml:space="preserve"> MODE - </t>
  </si>
  <si>
    <t>INVALID</t>
  </si>
  <si>
    <t>0000000</t>
  </si>
  <si>
    <t>0001</t>
  </si>
  <si>
    <t>0000000000000001</t>
  </si>
  <si>
    <t>1</t>
  </si>
  <si>
    <t>RT ADDR = 00000 TX MODE - Invalid</t>
  </si>
  <si>
    <t xml:space="preserve"> TX</t>
  </si>
  <si>
    <t>00001</t>
  </si>
  <si>
    <t>VALID</t>
  </si>
  <si>
    <t>0000001</t>
  </si>
  <si>
    <t>0002</t>
  </si>
  <si>
    <t>0000000000000010</t>
  </si>
  <si>
    <t>00010</t>
  </si>
  <si>
    <t>0000010</t>
  </si>
  <si>
    <t>0003</t>
  </si>
  <si>
    <t>0000000000000011</t>
  </si>
  <si>
    <t>00011</t>
  </si>
  <si>
    <t>0000011</t>
  </si>
  <si>
    <t>0004</t>
  </si>
  <si>
    <t>0000000000000100</t>
  </si>
  <si>
    <t>00100</t>
  </si>
  <si>
    <t>0000100</t>
  </si>
  <si>
    <t>0005</t>
  </si>
  <si>
    <t>0000000000000101</t>
  </si>
  <si>
    <t>00101</t>
  </si>
  <si>
    <t>0000101</t>
  </si>
  <si>
    <t>0006</t>
  </si>
  <si>
    <t>0000000000000110</t>
  </si>
  <si>
    <t>00110</t>
  </si>
  <si>
    <t>0000110</t>
  </si>
  <si>
    <t>0007</t>
  </si>
  <si>
    <t>0000000000000111</t>
  </si>
  <si>
    <t>00111</t>
  </si>
  <si>
    <t>0000111</t>
  </si>
  <si>
    <t>0008</t>
  </si>
  <si>
    <t>0000000000001000</t>
  </si>
  <si>
    <t>01000</t>
  </si>
  <si>
    <t>0001000</t>
  </si>
  <si>
    <t>0009</t>
  </si>
  <si>
    <t>0000000000001001</t>
  </si>
  <si>
    <t>01001</t>
  </si>
  <si>
    <t>0001001</t>
  </si>
  <si>
    <t>000A</t>
  </si>
  <si>
    <t>0000000000001010</t>
  </si>
  <si>
    <t>01010</t>
  </si>
  <si>
    <t>0001010</t>
  </si>
  <si>
    <t>000B</t>
  </si>
  <si>
    <t>0000000000001011</t>
  </si>
  <si>
    <t>01011</t>
  </si>
  <si>
    <t>0001011</t>
  </si>
  <si>
    <t>000C</t>
  </si>
  <si>
    <t>0000000000001100</t>
  </si>
  <si>
    <t>01100</t>
  </si>
  <si>
    <t>0001100</t>
  </si>
  <si>
    <t>000D</t>
  </si>
  <si>
    <t>0000000000001101</t>
  </si>
  <si>
    <t>01101</t>
  </si>
  <si>
    <t>0001101</t>
  </si>
  <si>
    <t>000E</t>
  </si>
  <si>
    <t>0000000000001110</t>
  </si>
  <si>
    <t>01110</t>
  </si>
  <si>
    <t>0001110</t>
  </si>
  <si>
    <t>000F</t>
  </si>
  <si>
    <t>0000000000001111</t>
  </si>
  <si>
    <t>01111</t>
  </si>
  <si>
    <t>0001111</t>
  </si>
  <si>
    <t>0010</t>
  </si>
  <si>
    <t>0000000000010000</t>
  </si>
  <si>
    <t>10000</t>
  </si>
  <si>
    <t>0010000</t>
  </si>
  <si>
    <t>0011</t>
  </si>
  <si>
    <t>0000000000010001</t>
  </si>
  <si>
    <t>RT ADDR = 00000 TX MODE - Synchronise</t>
  </si>
  <si>
    <t>10001</t>
  </si>
  <si>
    <t>0010001</t>
  </si>
  <si>
    <t>0012</t>
  </si>
  <si>
    <t>0000000000010010</t>
  </si>
  <si>
    <t>10010</t>
  </si>
  <si>
    <t>0010010</t>
  </si>
  <si>
    <t>0013</t>
  </si>
  <si>
    <t>0000000000010011</t>
  </si>
  <si>
    <t>10011</t>
  </si>
  <si>
    <t>0010011</t>
  </si>
  <si>
    <t>0014</t>
  </si>
  <si>
    <t>0000000000010100</t>
  </si>
  <si>
    <t>RT ADDR = 00000 TX MODE - Selected Transmitter Shutdown</t>
  </si>
  <si>
    <t>10100</t>
  </si>
  <si>
    <t>0015</t>
  </si>
  <si>
    <t>0000000000010101</t>
  </si>
  <si>
    <t>RT ADDR = 00000 TX MODE - Override Selected Transmitter Shutdown</t>
  </si>
  <si>
    <t>10101</t>
  </si>
  <si>
    <t>0010101</t>
  </si>
  <si>
    <t>0016</t>
  </si>
  <si>
    <t>0000000000010110</t>
  </si>
  <si>
    <t>10110</t>
  </si>
  <si>
    <t>0010110</t>
  </si>
  <si>
    <t>0017</t>
  </si>
  <si>
    <t>0000000000010111</t>
  </si>
  <si>
    <t>10111</t>
  </si>
  <si>
    <t>0010111</t>
  </si>
  <si>
    <t>0018</t>
  </si>
  <si>
    <t>0000000000011000</t>
  </si>
  <si>
    <t>11000</t>
  </si>
  <si>
    <t>0011000</t>
  </si>
  <si>
    <t>0019</t>
  </si>
  <si>
    <t>0000000000011001</t>
  </si>
  <si>
    <t>11001</t>
  </si>
  <si>
    <t>0011001</t>
  </si>
  <si>
    <t>001A</t>
  </si>
  <si>
    <t>0000000000011010</t>
  </si>
  <si>
    <t>11010</t>
  </si>
  <si>
    <t>0011010</t>
  </si>
  <si>
    <t>001B</t>
  </si>
  <si>
    <t>0000000000011011</t>
  </si>
  <si>
    <t>11011</t>
  </si>
  <si>
    <t>0011011</t>
  </si>
  <si>
    <t>001C</t>
  </si>
  <si>
    <t>0000000000011100</t>
  </si>
  <si>
    <t>11100</t>
  </si>
  <si>
    <t>0011100</t>
  </si>
  <si>
    <t>001D</t>
  </si>
  <si>
    <t>0000000000011101</t>
  </si>
  <si>
    <t>11101</t>
  </si>
  <si>
    <t>0011101</t>
  </si>
  <si>
    <t>001E</t>
  </si>
  <si>
    <t>0000000000011110</t>
  </si>
  <si>
    <t>11110</t>
  </si>
  <si>
    <t>0011110</t>
  </si>
  <si>
    <t>001F</t>
  </si>
  <si>
    <t>0000000000011111</t>
  </si>
  <si>
    <t>11111</t>
  </si>
  <si>
    <t>0011111</t>
  </si>
  <si>
    <t>03E0</t>
  </si>
  <si>
    <t>0000001111100000</t>
  </si>
  <si>
    <t>03E1</t>
  </si>
  <si>
    <t>0000001111100001</t>
  </si>
  <si>
    <t>03E2</t>
  </si>
  <si>
    <t>0000001111100010</t>
  </si>
  <si>
    <t>03E3</t>
  </si>
  <si>
    <t>0000001111100011</t>
  </si>
  <si>
    <t>03E4</t>
  </si>
  <si>
    <t>0000001111100100</t>
  </si>
  <si>
    <t>03E5</t>
  </si>
  <si>
    <t>0000001111100101</t>
  </si>
  <si>
    <t>03E6</t>
  </si>
  <si>
    <t>0000001111100110</t>
  </si>
  <si>
    <t>03E7</t>
  </si>
  <si>
    <t>0000001111100111</t>
  </si>
  <si>
    <t>03E8</t>
  </si>
  <si>
    <t>0000001111101000</t>
  </si>
  <si>
    <t>03E9</t>
  </si>
  <si>
    <t>0000001111101001</t>
  </si>
  <si>
    <t>03EA</t>
  </si>
  <si>
    <t>0000001111101010</t>
  </si>
  <si>
    <t>03EB</t>
  </si>
  <si>
    <t>0000001111101011</t>
  </si>
  <si>
    <t>03EC</t>
  </si>
  <si>
    <t>0000001111101100</t>
  </si>
  <si>
    <t>03ED</t>
  </si>
  <si>
    <t>0000001111101101</t>
  </si>
  <si>
    <t>03EE</t>
  </si>
  <si>
    <t>0000001111101110</t>
  </si>
  <si>
    <t>03EF</t>
  </si>
  <si>
    <t>0000001111101111</t>
  </si>
  <si>
    <t>03F0</t>
  </si>
  <si>
    <t>0000001111110000</t>
  </si>
  <si>
    <t>03F1</t>
  </si>
  <si>
    <t>0000001111110001</t>
  </si>
  <si>
    <t>03F2</t>
  </si>
  <si>
    <t>0000001111110010</t>
  </si>
  <si>
    <t>03F3</t>
  </si>
  <si>
    <t>0000001111110011</t>
  </si>
  <si>
    <t>03F4</t>
  </si>
  <si>
    <t>0000001111110100</t>
  </si>
  <si>
    <t>03F5</t>
  </si>
  <si>
    <t>0000001111110101</t>
  </si>
  <si>
    <t>03F6</t>
  </si>
  <si>
    <t>0000001111110110</t>
  </si>
  <si>
    <t>03F7</t>
  </si>
  <si>
    <t>0000001111110111</t>
  </si>
  <si>
    <t>03F8</t>
  </si>
  <si>
    <t>0000001111111000</t>
  </si>
  <si>
    <t>03F9</t>
  </si>
  <si>
    <t>0000001111111001</t>
  </si>
  <si>
    <t>03FA</t>
  </si>
  <si>
    <t>0000001111111010</t>
  </si>
  <si>
    <t>03FB</t>
  </si>
  <si>
    <t>0000001111111011</t>
  </si>
  <si>
    <t>03FC</t>
  </si>
  <si>
    <t>0000001111111100</t>
  </si>
  <si>
    <t>03FD</t>
  </si>
  <si>
    <t>0000001111111101</t>
  </si>
  <si>
    <t>03FE</t>
  </si>
  <si>
    <t>0000001111111110</t>
  </si>
  <si>
    <t>03FF</t>
  </si>
  <si>
    <t>0000001111111111</t>
  </si>
  <si>
    <t>0400</t>
  </si>
  <si>
    <t>0000010000000000</t>
  </si>
  <si>
    <t>RT ADDR = 00000 TX MODE - Dynamic Bus Control</t>
  </si>
  <si>
    <t>0100000</t>
  </si>
  <si>
    <t>0401</t>
  </si>
  <si>
    <t>0000010000000001</t>
  </si>
  <si>
    <t>RT ADDR = 00000 TX MODE - Synchronize</t>
  </si>
  <si>
    <t>0100001</t>
  </si>
  <si>
    <t>0402</t>
  </si>
  <si>
    <t>0000010000000010</t>
  </si>
  <si>
    <t>RT ADDR = 00000 TX MODE - Transmit Status Word</t>
  </si>
  <si>
    <t>0100010</t>
  </si>
  <si>
    <t>0403</t>
  </si>
  <si>
    <t>0000010000000011</t>
  </si>
  <si>
    <t>RT ADDR = 00000 TX MODE - Initiate Self Test</t>
  </si>
  <si>
    <t>0100011</t>
  </si>
  <si>
    <t>0404</t>
  </si>
  <si>
    <t>0000010000000100</t>
  </si>
  <si>
    <t>RT ADDR = 00000 TX MODE - Transmitter Shutdown</t>
  </si>
  <si>
    <t>0100100</t>
  </si>
  <si>
    <t>0405</t>
  </si>
  <si>
    <t>0000010000000101</t>
  </si>
  <si>
    <t>RT ADDR = 00000 TX MODE - Override Transmitter Shutdown</t>
  </si>
  <si>
    <t>0100101</t>
  </si>
  <si>
    <t>0406</t>
  </si>
  <si>
    <t>0000010000000110</t>
  </si>
  <si>
    <t>RT ADDR = 00000 TX MODE - Inhibit Terminal Flag</t>
  </si>
  <si>
    <t>0100110</t>
  </si>
  <si>
    <t>0407</t>
  </si>
  <si>
    <t>0000010000000111</t>
  </si>
  <si>
    <t>RT ADDR = 00000 TX MODE - Override Inhibit Terminal Flag</t>
  </si>
  <si>
    <t>0100111</t>
  </si>
  <si>
    <t>0408</t>
  </si>
  <si>
    <t>0000010000001000</t>
  </si>
  <si>
    <t>RT ADDR = 00000 TX MODE - Reset Remote Terminal</t>
  </si>
  <si>
    <t>0101000</t>
  </si>
  <si>
    <t>0409</t>
  </si>
  <si>
    <t>0000010000001001</t>
  </si>
  <si>
    <t>0101001</t>
  </si>
  <si>
    <t>040A</t>
  </si>
  <si>
    <t>0000010000001010</t>
  </si>
  <si>
    <t>0101010</t>
  </si>
  <si>
    <t>040B</t>
  </si>
  <si>
    <t>0000010000001011</t>
  </si>
  <si>
    <t>0101011</t>
  </si>
  <si>
    <t>040C</t>
  </si>
  <si>
    <t>0000010000001100</t>
  </si>
  <si>
    <t>0101100</t>
  </si>
  <si>
    <t>040D</t>
  </si>
  <si>
    <t>0000010000001101</t>
  </si>
  <si>
    <t>0101101</t>
  </si>
  <si>
    <t>040E</t>
  </si>
  <si>
    <t>0000010000001110</t>
  </si>
  <si>
    <t>0101110</t>
  </si>
  <si>
    <t>040F</t>
  </si>
  <si>
    <t>0000010000001111</t>
  </si>
  <si>
    <t>0101111</t>
  </si>
  <si>
    <t>0410</t>
  </si>
  <si>
    <t>0000010000010000</t>
  </si>
  <si>
    <t>RT ADDR = 00000 TX MODE - Transmit Vector Word</t>
  </si>
  <si>
    <t>0110000</t>
  </si>
  <si>
    <t>0411</t>
  </si>
  <si>
    <t>0000010000010001</t>
  </si>
  <si>
    <t>0110001</t>
  </si>
  <si>
    <t>0412</t>
  </si>
  <si>
    <t>0000010000010010</t>
  </si>
  <si>
    <t>RT ADDR = 00000 TX MODE - Transmit Last Command</t>
  </si>
  <si>
    <t>0110010</t>
  </si>
  <si>
    <t>0413</t>
  </si>
  <si>
    <t>0000010000010011</t>
  </si>
  <si>
    <t>RT ADDR = 00000 TX MODE - Transmit BIT word</t>
  </si>
  <si>
    <t>0110011</t>
  </si>
  <si>
    <t>0414</t>
  </si>
  <si>
    <t>0000010000010100</t>
  </si>
  <si>
    <t>0110100</t>
  </si>
  <si>
    <t>0415</t>
  </si>
  <si>
    <t>0000010000010101</t>
  </si>
  <si>
    <t>0110101</t>
  </si>
  <si>
    <t>0416</t>
  </si>
  <si>
    <t>0000010000010110</t>
  </si>
  <si>
    <t>0110110</t>
  </si>
  <si>
    <t>0417</t>
  </si>
  <si>
    <t>0000010000010111</t>
  </si>
  <si>
    <t>0110111</t>
  </si>
  <si>
    <t>0418</t>
  </si>
  <si>
    <t>0000010000011000</t>
  </si>
  <si>
    <t>0111000</t>
  </si>
  <si>
    <t>0419</t>
  </si>
  <si>
    <t>0000010000011001</t>
  </si>
  <si>
    <t>0111001</t>
  </si>
  <si>
    <t>041A</t>
  </si>
  <si>
    <t>0000010000011010</t>
  </si>
  <si>
    <t>0111010</t>
  </si>
  <si>
    <t>041B</t>
  </si>
  <si>
    <t>0000010000011011</t>
  </si>
  <si>
    <t>0111011</t>
  </si>
  <si>
    <t>041C</t>
  </si>
  <si>
    <t>0000010000011100</t>
  </si>
  <si>
    <t>0111100</t>
  </si>
  <si>
    <t>041D</t>
  </si>
  <si>
    <t>0000010000011101</t>
  </si>
  <si>
    <t>0111101</t>
  </si>
  <si>
    <t>041E</t>
  </si>
  <si>
    <t>0000010000011110</t>
  </si>
  <si>
    <t>0111110</t>
  </si>
  <si>
    <t>041F</t>
  </si>
  <si>
    <t>0000010000011111</t>
  </si>
  <si>
    <t>0111111</t>
  </si>
  <si>
    <t>07E0</t>
  </si>
  <si>
    <t>0000011111100000</t>
  </si>
  <si>
    <t>07E1</t>
  </si>
  <si>
    <t>0000011111100001</t>
  </si>
  <si>
    <t>07E2</t>
  </si>
  <si>
    <t>0000011111100010</t>
  </si>
  <si>
    <t>07E3</t>
  </si>
  <si>
    <t>0000011111100011</t>
  </si>
  <si>
    <t>07E4</t>
  </si>
  <si>
    <t>0000011111100100</t>
  </si>
  <si>
    <t>07E5</t>
  </si>
  <si>
    <t>0000011111100101</t>
  </si>
  <si>
    <t>07E6</t>
  </si>
  <si>
    <t>0000011111100110</t>
  </si>
  <si>
    <t>07E7</t>
  </si>
  <si>
    <t>0000011111100111</t>
  </si>
  <si>
    <t>07E8</t>
  </si>
  <si>
    <t>0000011111101000</t>
  </si>
  <si>
    <t>07E9</t>
  </si>
  <si>
    <t>0000011111101001</t>
  </si>
  <si>
    <t>07EA</t>
  </si>
  <si>
    <t>0000011111101010</t>
  </si>
  <si>
    <t>07EB</t>
  </si>
  <si>
    <t>0000011111101011</t>
  </si>
  <si>
    <t>07EC</t>
  </si>
  <si>
    <t>0000011111101100</t>
  </si>
  <si>
    <t>07ED</t>
  </si>
  <si>
    <t>0000011111101101</t>
  </si>
  <si>
    <t>07EE</t>
  </si>
  <si>
    <t>0000011111101110</t>
  </si>
  <si>
    <t>07EF</t>
  </si>
  <si>
    <t>0000011111101111</t>
  </si>
  <si>
    <t>07F0</t>
  </si>
  <si>
    <t>0000011111110000</t>
  </si>
  <si>
    <t>07F1</t>
  </si>
  <si>
    <t>0000011111110001</t>
  </si>
  <si>
    <t>07F2</t>
  </si>
  <si>
    <t>0000011111110010</t>
  </si>
  <si>
    <t>07F3</t>
  </si>
  <si>
    <t>0000011111110011</t>
  </si>
  <si>
    <t>07F4</t>
  </si>
  <si>
    <t>0000011111110100</t>
  </si>
  <si>
    <t>07F5</t>
  </si>
  <si>
    <t>0000011111110101</t>
  </si>
  <si>
    <t>07F6</t>
  </si>
  <si>
    <t>0000011111110110</t>
  </si>
  <si>
    <t>07F7</t>
  </si>
  <si>
    <t>0000011111110111</t>
  </si>
  <si>
    <t>07F8</t>
  </si>
  <si>
    <t>0000011111111000</t>
  </si>
  <si>
    <t>07F9</t>
  </si>
  <si>
    <t>0000011111111001</t>
  </si>
  <si>
    <t>07FA</t>
  </si>
  <si>
    <t>0000011111111010</t>
  </si>
  <si>
    <t>07FB</t>
  </si>
  <si>
    <t>0000011111111011</t>
  </si>
  <si>
    <t>07FC</t>
  </si>
  <si>
    <t>0000011111111100</t>
  </si>
  <si>
    <t>07FD</t>
  </si>
  <si>
    <t>0000011111111101</t>
  </si>
  <si>
    <t>07FE</t>
  </si>
  <si>
    <t>0000011111111110</t>
  </si>
  <si>
    <t>07FF</t>
  </si>
  <si>
    <t>0000011111111111</t>
  </si>
  <si>
    <t>8800</t>
  </si>
  <si>
    <t>1000100000000000</t>
  </si>
  <si>
    <t>RT ADDR = 10001 TX MODE - Invalid</t>
  </si>
  <si>
    <t>8801</t>
  </si>
  <si>
    <t>1000100000000001</t>
  </si>
  <si>
    <t>8802</t>
  </si>
  <si>
    <t>1000100000000010</t>
  </si>
  <si>
    <t>8803</t>
  </si>
  <si>
    <t>1000100000000011</t>
  </si>
  <si>
    <t>8804</t>
  </si>
  <si>
    <t>1000100000000100</t>
  </si>
  <si>
    <t>8805</t>
  </si>
  <si>
    <t>1000100000000101</t>
  </si>
  <si>
    <t>8806</t>
  </si>
  <si>
    <t>1000100000000110</t>
  </si>
  <si>
    <t>8807</t>
  </si>
  <si>
    <t>1000100000000111</t>
  </si>
  <si>
    <t>8808</t>
  </si>
  <si>
    <t>1000100000001000</t>
  </si>
  <si>
    <t>8809</t>
  </si>
  <si>
    <t>1000100000001001</t>
  </si>
  <si>
    <t>880A</t>
  </si>
  <si>
    <t>1000100000001010</t>
  </si>
  <si>
    <t>880B</t>
  </si>
  <si>
    <t>1000100000001011</t>
  </si>
  <si>
    <t>880C</t>
  </si>
  <si>
    <t>1000100000001100</t>
  </si>
  <si>
    <t>880D</t>
  </si>
  <si>
    <t>1000100000001101</t>
  </si>
  <si>
    <t>880E</t>
  </si>
  <si>
    <t>1000100000001110</t>
  </si>
  <si>
    <t>880F</t>
  </si>
  <si>
    <t>1000100000001111</t>
  </si>
  <si>
    <t>8810</t>
  </si>
  <si>
    <t>1000100000010000</t>
  </si>
  <si>
    <t>8811</t>
  </si>
  <si>
    <t>1000100000010001</t>
  </si>
  <si>
    <t>RT ADDR = 10001 TX MODE - Synchronise</t>
  </si>
  <si>
    <t>8812</t>
  </si>
  <si>
    <t>1000100000010010</t>
  </si>
  <si>
    <t>8813</t>
  </si>
  <si>
    <t>1000100000010011</t>
  </si>
  <si>
    <t>8814</t>
  </si>
  <si>
    <t>1000100000010100</t>
  </si>
  <si>
    <t>RT ADDR = 10001 TX MODE - Selected Transmitter Shutdown</t>
  </si>
  <si>
    <t>8815</t>
  </si>
  <si>
    <t>1000100000010101</t>
  </si>
  <si>
    <t>RT ADDR = 10001 TX MODE - Override Selected Transmitter Shutdown</t>
  </si>
  <si>
    <t>8816</t>
  </si>
  <si>
    <t>1000100000010110</t>
  </si>
  <si>
    <t>8817</t>
  </si>
  <si>
    <t>1000100000010111</t>
  </si>
  <si>
    <t>8818</t>
  </si>
  <si>
    <t>1000100000011000</t>
  </si>
  <si>
    <t>8819</t>
  </si>
  <si>
    <t>1000100000011001</t>
  </si>
  <si>
    <t>881A</t>
  </si>
  <si>
    <t>1000100000011010</t>
  </si>
  <si>
    <t>881B</t>
  </si>
  <si>
    <t>1000100000011011</t>
  </si>
  <si>
    <t>881C</t>
  </si>
  <si>
    <t>1000100000011100</t>
  </si>
  <si>
    <t>881D</t>
  </si>
  <si>
    <t>1000100000011101</t>
  </si>
  <si>
    <t>881E</t>
  </si>
  <si>
    <t>1000100000011110</t>
  </si>
  <si>
    <t>881F</t>
  </si>
  <si>
    <t>1000100000011111</t>
  </si>
  <si>
    <t>8BE0</t>
  </si>
  <si>
    <t>1000101111100000</t>
  </si>
  <si>
    <t>8BE1</t>
  </si>
  <si>
    <t>1000101111100001</t>
  </si>
  <si>
    <t>8BE2</t>
  </si>
  <si>
    <t>1000101111100010</t>
  </si>
  <si>
    <t>8BE3</t>
  </si>
  <si>
    <t>1000101111100011</t>
  </si>
  <si>
    <t>8BE4</t>
  </si>
  <si>
    <t>1000101111100100</t>
  </si>
  <si>
    <t>8BE5</t>
  </si>
  <si>
    <t>1000101111100101</t>
  </si>
  <si>
    <t>8BE6</t>
  </si>
  <si>
    <t>1000101111100110</t>
  </si>
  <si>
    <t>8BE7</t>
  </si>
  <si>
    <t>1000101111100111</t>
  </si>
  <si>
    <t>8BE8</t>
  </si>
  <si>
    <t>1000101111101000</t>
  </si>
  <si>
    <t>8BE9</t>
  </si>
  <si>
    <t>1000101111101001</t>
  </si>
  <si>
    <t>8BEA</t>
  </si>
  <si>
    <t>1000101111101010</t>
  </si>
  <si>
    <t>8BEB</t>
  </si>
  <si>
    <t>1000101111101011</t>
  </si>
  <si>
    <t>8BEC</t>
  </si>
  <si>
    <t>1000101111101100</t>
  </si>
  <si>
    <t>8BED</t>
  </si>
  <si>
    <t>1000101111101101</t>
  </si>
  <si>
    <t>8BEE</t>
  </si>
  <si>
    <t>1000101111101110</t>
  </si>
  <si>
    <t>8BEF</t>
  </si>
  <si>
    <t>1000101111101111</t>
  </si>
  <si>
    <t>8BF0</t>
  </si>
  <si>
    <t>1000101111110000</t>
  </si>
  <si>
    <t>8BF1</t>
  </si>
  <si>
    <t>1000101111110001</t>
  </si>
  <si>
    <t>8BF2</t>
  </si>
  <si>
    <t>1000101111110010</t>
  </si>
  <si>
    <t>8BF3</t>
  </si>
  <si>
    <t>1000101111110011</t>
  </si>
  <si>
    <t>8BF4</t>
  </si>
  <si>
    <t>1000101111110100</t>
  </si>
  <si>
    <t>8BF5</t>
  </si>
  <si>
    <t>1000101111110101</t>
  </si>
  <si>
    <t>8BF6</t>
  </si>
  <si>
    <t>1000101111110110</t>
  </si>
  <si>
    <t>8BF7</t>
  </si>
  <si>
    <t>1000101111110111</t>
  </si>
  <si>
    <t>8BF8</t>
  </si>
  <si>
    <t>1000101111111000</t>
  </si>
  <si>
    <t>8BF9</t>
  </si>
  <si>
    <t>1000101111111001</t>
  </si>
  <si>
    <t>8BFA</t>
  </si>
  <si>
    <t>1000101111111010</t>
  </si>
  <si>
    <t>8BFB</t>
  </si>
  <si>
    <t>1000101111111011</t>
  </si>
  <si>
    <t>8BFC</t>
  </si>
  <si>
    <t>1000101111111100</t>
  </si>
  <si>
    <t>8BFD</t>
  </si>
  <si>
    <t>1000101111111101</t>
  </si>
  <si>
    <t>8BFE</t>
  </si>
  <si>
    <t>1000101111111110</t>
  </si>
  <si>
    <t>8BFF</t>
  </si>
  <si>
    <t>1000101111111111</t>
  </si>
  <si>
    <t>8C00</t>
  </si>
  <si>
    <t>1000110000000000</t>
  </si>
  <si>
    <t>RT ADDR = 10001 TX MODE - Dynamic Bus Control</t>
  </si>
  <si>
    <t>8C01</t>
  </si>
  <si>
    <t>1000110000000001</t>
  </si>
  <si>
    <t>RT ADDR = 10001 TX MODE - Synchronize</t>
  </si>
  <si>
    <t>8C02</t>
  </si>
  <si>
    <t>1000110000000010</t>
  </si>
  <si>
    <t>RT ADDR = 10001 TX MODE - Transmit Status Word</t>
  </si>
  <si>
    <t>8C03</t>
  </si>
  <si>
    <t>1000110000000011</t>
  </si>
  <si>
    <t>RT ADDR = 10001 TX MODE - Initiate Self Test</t>
  </si>
  <si>
    <t>8C04</t>
  </si>
  <si>
    <t>1000110000000100</t>
  </si>
  <si>
    <t>RT ADDR = 10001 TX MODE - Transmitter Shutdown</t>
  </si>
  <si>
    <t>8C05</t>
  </si>
  <si>
    <t>1000110000000101</t>
  </si>
  <si>
    <t>RT ADDR = 10001 TX MODE - Override Transmitter Shutdown</t>
  </si>
  <si>
    <t>8C06</t>
  </si>
  <si>
    <t>1000110000000110</t>
  </si>
  <si>
    <t>RT ADDR = 10001 TX MODE - Inhibit Terminal Flag</t>
  </si>
  <si>
    <t>8C07</t>
  </si>
  <si>
    <t>1000110000000111</t>
  </si>
  <si>
    <t>RT ADDR = 10001 TX MODE - Override Inhibit Terminal Flag</t>
  </si>
  <si>
    <t>8C08</t>
  </si>
  <si>
    <t>1000110000001000</t>
  </si>
  <si>
    <t>RT ADDR = 10001 TX MODE - Reset Remote Terminal</t>
  </si>
  <si>
    <t>8C09</t>
  </si>
  <si>
    <t>1000110000001001</t>
  </si>
  <si>
    <t>8C0A</t>
  </si>
  <si>
    <t>1000110000001010</t>
  </si>
  <si>
    <t>8C0B</t>
  </si>
  <si>
    <t>1000110000001011</t>
  </si>
  <si>
    <t>8C0C</t>
  </si>
  <si>
    <t>1000110000001100</t>
  </si>
  <si>
    <t>8C0D</t>
  </si>
  <si>
    <t>1000110000001101</t>
  </si>
  <si>
    <t>8C0E</t>
  </si>
  <si>
    <t>1000110000001110</t>
  </si>
  <si>
    <t>8C0F</t>
  </si>
  <si>
    <t>1000110000001111</t>
  </si>
  <si>
    <t>8C10</t>
  </si>
  <si>
    <t>1000110000010000</t>
  </si>
  <si>
    <t>RT ADDR = 10001 TX MODE - Transmit Vector Word</t>
  </si>
  <si>
    <t>8C11</t>
  </si>
  <si>
    <t>1000110000010001</t>
  </si>
  <si>
    <t>8C12</t>
  </si>
  <si>
    <t>1000110000010010</t>
  </si>
  <si>
    <t>RT ADDR = 10001 TX MODE - Transmit Last Command</t>
  </si>
  <si>
    <t>8C13</t>
  </si>
  <si>
    <t>1000110000010011</t>
  </si>
  <si>
    <t>RT ADDR = 10001 TX MODE - Transmit BIT word</t>
  </si>
  <si>
    <t>8C14</t>
  </si>
  <si>
    <t>1000110000010100</t>
  </si>
  <si>
    <t>8C15</t>
  </si>
  <si>
    <t>1000110000010101</t>
  </si>
  <si>
    <t>8C16</t>
  </si>
  <si>
    <t>1000110000010110</t>
  </si>
  <si>
    <t>8C17</t>
  </si>
  <si>
    <t>1000110000010111</t>
  </si>
  <si>
    <t>8C18</t>
  </si>
  <si>
    <t>1000110000011000</t>
  </si>
  <si>
    <t>8C19</t>
  </si>
  <si>
    <t>1000110000011001</t>
  </si>
  <si>
    <t>8C1A</t>
  </si>
  <si>
    <t>1000110000011010</t>
  </si>
  <si>
    <t>8C1B</t>
  </si>
  <si>
    <t>1000110000011011</t>
  </si>
  <si>
    <t>8C1C</t>
  </si>
  <si>
    <t>1000110000011100</t>
  </si>
  <si>
    <t>8C1D</t>
  </si>
  <si>
    <t>1000110000011101</t>
  </si>
  <si>
    <t>8C1E</t>
  </si>
  <si>
    <t>1000110000011110</t>
  </si>
  <si>
    <t>8C1F</t>
  </si>
  <si>
    <t>1000110000011111</t>
  </si>
  <si>
    <t>8FE0</t>
  </si>
  <si>
    <t>1000111111100000</t>
  </si>
  <si>
    <t>8FE1</t>
  </si>
  <si>
    <t>1000111111100001</t>
  </si>
  <si>
    <t>8FE2</t>
  </si>
  <si>
    <t>1000111111100010</t>
  </si>
  <si>
    <t>8FE3</t>
  </si>
  <si>
    <t>1000111111100011</t>
  </si>
  <si>
    <t>8FE4</t>
  </si>
  <si>
    <t>1000111111100100</t>
  </si>
  <si>
    <t>8FE5</t>
  </si>
  <si>
    <t>1000111111100101</t>
  </si>
  <si>
    <t>8FE6</t>
  </si>
  <si>
    <t>1000111111100110</t>
  </si>
  <si>
    <t>8FE7</t>
  </si>
  <si>
    <t>1000111111100111</t>
  </si>
  <si>
    <t>8FE8</t>
  </si>
  <si>
    <t>1000111111101000</t>
  </si>
  <si>
    <t>8FE9</t>
  </si>
  <si>
    <t>1000111111101001</t>
  </si>
  <si>
    <t>8FEA</t>
  </si>
  <si>
    <t>1000111111101010</t>
  </si>
  <si>
    <t>8FEB</t>
  </si>
  <si>
    <t>1000111111101011</t>
  </si>
  <si>
    <t>8FEC</t>
  </si>
  <si>
    <t>1000111111101100</t>
  </si>
  <si>
    <t>8FED</t>
  </si>
  <si>
    <t>1000111111101101</t>
  </si>
  <si>
    <t>8FEE</t>
  </si>
  <si>
    <t>1000111111101110</t>
  </si>
  <si>
    <t>8FEF</t>
  </si>
  <si>
    <t>1000111111101111</t>
  </si>
  <si>
    <t>8FF0</t>
  </si>
  <si>
    <t>1000111111110000</t>
  </si>
  <si>
    <t>8FF1</t>
  </si>
  <si>
    <t>1000111111110001</t>
  </si>
  <si>
    <t>8FF2</t>
  </si>
  <si>
    <t>1000111111110010</t>
  </si>
  <si>
    <t>8FF3</t>
  </si>
  <si>
    <t>1000111111110011</t>
  </si>
  <si>
    <t>8FF4</t>
  </si>
  <si>
    <t>1000111111110100</t>
  </si>
  <si>
    <t>8FF5</t>
  </si>
  <si>
    <t>1000111111110101</t>
  </si>
  <si>
    <t>8FF6</t>
  </si>
  <si>
    <t>1000111111110110</t>
  </si>
  <si>
    <t>8FF7</t>
  </si>
  <si>
    <t>1000111111110111</t>
  </si>
  <si>
    <t>8FF8</t>
  </si>
  <si>
    <t>1000111111111000</t>
  </si>
  <si>
    <t>8FF9</t>
  </si>
  <si>
    <t>1000111111111001</t>
  </si>
  <si>
    <t>8FFA</t>
  </si>
  <si>
    <t>1000111111111010</t>
  </si>
  <si>
    <t>8FFB</t>
  </si>
  <si>
    <t>1000111111111011</t>
  </si>
  <si>
    <t>8FFC</t>
  </si>
  <si>
    <t>1000111111111100</t>
  </si>
  <si>
    <t>8FFD</t>
  </si>
  <si>
    <t>1000111111111101</t>
  </si>
  <si>
    <t>8FFE</t>
  </si>
  <si>
    <t>1000111111111110</t>
  </si>
  <si>
    <t>8FFF</t>
  </si>
  <si>
    <t>1000111111111111</t>
  </si>
  <si>
    <t>9000</t>
  </si>
  <si>
    <t>1001000000000000</t>
  </si>
  <si>
    <t>RT ADDR = 10010 TX MODE - Invalid</t>
  </si>
  <si>
    <t>9001</t>
  </si>
  <si>
    <t>1001000000000001</t>
  </si>
  <si>
    <t>9002</t>
  </si>
  <si>
    <t>1001000000000010</t>
  </si>
  <si>
    <t>9003</t>
  </si>
  <si>
    <t>1001000000000011</t>
  </si>
  <si>
    <t>9004</t>
  </si>
  <si>
    <t>1001000000000100</t>
  </si>
  <si>
    <t>9005</t>
  </si>
  <si>
    <t>1001000000000101</t>
  </si>
  <si>
    <t>9006</t>
  </si>
  <si>
    <t>1001000000000110</t>
  </si>
  <si>
    <t>9007</t>
  </si>
  <si>
    <t>1001000000000111</t>
  </si>
  <si>
    <t>9008</t>
  </si>
  <si>
    <t>1001000000001000</t>
  </si>
  <si>
    <t>9009</t>
  </si>
  <si>
    <t>1001000000001001</t>
  </si>
  <si>
    <t>900A</t>
  </si>
  <si>
    <t>1001000000001010</t>
  </si>
  <si>
    <t>900B</t>
  </si>
  <si>
    <t>1001000000001011</t>
  </si>
  <si>
    <t>900C</t>
  </si>
  <si>
    <t>1001000000001100</t>
  </si>
  <si>
    <t>900D</t>
  </si>
  <si>
    <t>1001000000001101</t>
  </si>
  <si>
    <t>900E</t>
  </si>
  <si>
    <t>1001000000001110</t>
  </si>
  <si>
    <t>900F</t>
  </si>
  <si>
    <t>1001000000001111</t>
  </si>
  <si>
    <t>9010</t>
  </si>
  <si>
    <t>1001000000010000</t>
  </si>
  <si>
    <t>9011</t>
  </si>
  <si>
    <t>1001000000010001</t>
  </si>
  <si>
    <t>RT ADDR = 10010 TX MODE - Synchronise</t>
  </si>
  <si>
    <t>9012</t>
  </si>
  <si>
    <t>1001000000010010</t>
  </si>
  <si>
    <t>9013</t>
  </si>
  <si>
    <t>1001000000010011</t>
  </si>
  <si>
    <t>9014</t>
  </si>
  <si>
    <t>1001000000010100</t>
  </si>
  <si>
    <t>RT ADDR = 10010 TX MODE - Selected Transmitter Shutdown</t>
  </si>
  <si>
    <t>9015</t>
  </si>
  <si>
    <t>1001000000010101</t>
  </si>
  <si>
    <t>RT ADDR = 10010 TX MODE - Override Selected Transmitter Shutdown</t>
  </si>
  <si>
    <t>9016</t>
  </si>
  <si>
    <t>1001000000010110</t>
  </si>
  <si>
    <t>9017</t>
  </si>
  <si>
    <t>1001000000010111</t>
  </si>
  <si>
    <t>9018</t>
  </si>
  <si>
    <t>1001000000011000</t>
  </si>
  <si>
    <t>9019</t>
  </si>
  <si>
    <t>1001000000011001</t>
  </si>
  <si>
    <t>901A</t>
  </si>
  <si>
    <t>1001000000011010</t>
  </si>
  <si>
    <t>901B</t>
  </si>
  <si>
    <t>1001000000011011</t>
  </si>
  <si>
    <t>901C</t>
  </si>
  <si>
    <t>1001000000011100</t>
  </si>
  <si>
    <t>901D</t>
  </si>
  <si>
    <t>1001000000011101</t>
  </si>
  <si>
    <t>901E</t>
  </si>
  <si>
    <t>1001000000011110</t>
  </si>
  <si>
    <t>901F</t>
  </si>
  <si>
    <t>1001000000011111</t>
  </si>
  <si>
    <t>93E0</t>
  </si>
  <si>
    <t>1001001111100000</t>
  </si>
  <si>
    <t>93E1</t>
  </si>
  <si>
    <t>1001001111100001</t>
  </si>
  <si>
    <t>93E2</t>
  </si>
  <si>
    <t>1001001111100010</t>
  </si>
  <si>
    <t>93E3</t>
  </si>
  <si>
    <t>1001001111100011</t>
  </si>
  <si>
    <t>93E4</t>
  </si>
  <si>
    <t>1001001111100100</t>
  </si>
  <si>
    <t>93E5</t>
  </si>
  <si>
    <t>1001001111100101</t>
  </si>
  <si>
    <t>93E6</t>
  </si>
  <si>
    <t>1001001111100110</t>
  </si>
  <si>
    <t>93E7</t>
  </si>
  <si>
    <t>1001001111100111</t>
  </si>
  <si>
    <t>93E8</t>
  </si>
  <si>
    <t>1001001111101000</t>
  </si>
  <si>
    <t>93E9</t>
  </si>
  <si>
    <t>1001001111101001</t>
  </si>
  <si>
    <t>93EA</t>
  </si>
  <si>
    <t>1001001111101010</t>
  </si>
  <si>
    <t>93EB</t>
  </si>
  <si>
    <t>1001001111101011</t>
  </si>
  <si>
    <t>93EC</t>
  </si>
  <si>
    <t>1001001111101100</t>
  </si>
  <si>
    <t>93ED</t>
  </si>
  <si>
    <t>1001001111101101</t>
  </si>
  <si>
    <t>93EE</t>
  </si>
  <si>
    <t>1001001111101110</t>
  </si>
  <si>
    <t>93EF</t>
  </si>
  <si>
    <t>1001001111101111</t>
  </si>
  <si>
    <t>93F0</t>
  </si>
  <si>
    <t>1001001111110000</t>
  </si>
  <si>
    <t>93F1</t>
  </si>
  <si>
    <t>1001001111110001</t>
  </si>
  <si>
    <t>93F2</t>
  </si>
  <si>
    <t>1001001111110010</t>
  </si>
  <si>
    <t>93F3</t>
  </si>
  <si>
    <t>1001001111110011</t>
  </si>
  <si>
    <t>93F4</t>
  </si>
  <si>
    <t>1001001111110100</t>
  </si>
  <si>
    <t>93F5</t>
  </si>
  <si>
    <t>1001001111110101</t>
  </si>
  <si>
    <t>93F6</t>
  </si>
  <si>
    <t>1001001111110110</t>
  </si>
  <si>
    <t>93F7</t>
  </si>
  <si>
    <t>1001001111110111</t>
  </si>
  <si>
    <t>93F8</t>
  </si>
  <si>
    <t>1001001111111000</t>
  </si>
  <si>
    <t>93F9</t>
  </si>
  <si>
    <t>1001001111111001</t>
  </si>
  <si>
    <t>93FA</t>
  </si>
  <si>
    <t>1001001111111010</t>
  </si>
  <si>
    <t>93FB</t>
  </si>
  <si>
    <t>1001001111111011</t>
  </si>
  <si>
    <t>93FC</t>
  </si>
  <si>
    <t>1001001111111100</t>
  </si>
  <si>
    <t>93FD</t>
  </si>
  <si>
    <t>1001001111111101</t>
  </si>
  <si>
    <t>93FE</t>
  </si>
  <si>
    <t>1001001111111110</t>
  </si>
  <si>
    <t>93FF</t>
  </si>
  <si>
    <t>1001001111111111</t>
  </si>
  <si>
    <t>9400</t>
  </si>
  <si>
    <t>1001010000000000</t>
  </si>
  <si>
    <t>RT ADDR = 10010 TX MODE - Dynamic Bus Control</t>
  </si>
  <si>
    <t>9401</t>
  </si>
  <si>
    <t>1001010000000001</t>
  </si>
  <si>
    <t>RT ADDR = 10010 TX MODE - Synchronize</t>
  </si>
  <si>
    <t>9402</t>
  </si>
  <si>
    <t>1001010000000010</t>
  </si>
  <si>
    <t>RT ADDR = 10010 TX MODE - Transmit Status Word</t>
  </si>
  <si>
    <t>9403</t>
  </si>
  <si>
    <t>1001010000000011</t>
  </si>
  <si>
    <t>RT ADDR = 10010 TX MODE - Initiate Self Test</t>
  </si>
  <si>
    <t>9404</t>
  </si>
  <si>
    <t>1001010000000100</t>
  </si>
  <si>
    <t>RT ADDR = 10010 TX MODE - Transmitter Shutdown</t>
  </si>
  <si>
    <t>9405</t>
  </si>
  <si>
    <t>1001010000000101</t>
  </si>
  <si>
    <t>RT ADDR = 10010 TX MODE - Override Transmitter Shutdown</t>
  </si>
  <si>
    <t>9406</t>
  </si>
  <si>
    <t>1001010000000110</t>
  </si>
  <si>
    <t>RT ADDR = 10010 TX MODE - Inhibit Terminal Flag</t>
  </si>
  <si>
    <t>9407</t>
  </si>
  <si>
    <t>1001010000000111</t>
  </si>
  <si>
    <t>RT ADDR = 10010 TX MODE - Override Inhibit Terminal Flag</t>
  </si>
  <si>
    <t>9408</t>
  </si>
  <si>
    <t>1001010000001000</t>
  </si>
  <si>
    <t>RT ADDR = 10010 TX MODE - Reset Remote Terminal</t>
  </si>
  <si>
    <t>9409</t>
  </si>
  <si>
    <t>1001010000001001</t>
  </si>
  <si>
    <t>940A</t>
  </si>
  <si>
    <t>1001010000001010</t>
  </si>
  <si>
    <t>940B</t>
  </si>
  <si>
    <t>1001010000001011</t>
  </si>
  <si>
    <t>940C</t>
  </si>
  <si>
    <t>1001010000001100</t>
  </si>
  <si>
    <t>940D</t>
  </si>
  <si>
    <t>1001010000001101</t>
  </si>
  <si>
    <t>940E</t>
  </si>
  <si>
    <t>1001010000001110</t>
  </si>
  <si>
    <t>940F</t>
  </si>
  <si>
    <t>1001010000001111</t>
  </si>
  <si>
    <t>9410</t>
  </si>
  <si>
    <t>1001010000010000</t>
  </si>
  <si>
    <t>RT ADDR = 10010 TX MODE - Transmit Vector Word</t>
  </si>
  <si>
    <t>9411</t>
  </si>
  <si>
    <t>1001010000010001</t>
  </si>
  <si>
    <t>9412</t>
  </si>
  <si>
    <t>1001010000010010</t>
  </si>
  <si>
    <t>RT ADDR = 10010 TX MODE - Transmit Last Command</t>
  </si>
  <si>
    <t>9413</t>
  </si>
  <si>
    <t>1001010000010011</t>
  </si>
  <si>
    <t>RT ADDR = 10010 TX MODE - Transmit BIT word</t>
  </si>
  <si>
    <t>9414</t>
  </si>
  <si>
    <t>1001010000010100</t>
  </si>
  <si>
    <t>9415</t>
  </si>
  <si>
    <t>1001010000010101</t>
  </si>
  <si>
    <t>9416</t>
  </si>
  <si>
    <t>1001010000010110</t>
  </si>
  <si>
    <t>9417</t>
  </si>
  <si>
    <t>1001010000010111</t>
  </si>
  <si>
    <t>9418</t>
  </si>
  <si>
    <t>1001010000011000</t>
  </si>
  <si>
    <t>9419</t>
  </si>
  <si>
    <t>1001010000011001</t>
  </si>
  <si>
    <t>941A</t>
  </si>
  <si>
    <t>1001010000011010</t>
  </si>
  <si>
    <t>941B</t>
  </si>
  <si>
    <t>1001010000011011</t>
  </si>
  <si>
    <t>941C</t>
  </si>
  <si>
    <t>1001010000011100</t>
  </si>
  <si>
    <t>941D</t>
  </si>
  <si>
    <t>1001010000011101</t>
  </si>
  <si>
    <t>941E</t>
  </si>
  <si>
    <t>1001010000011110</t>
  </si>
  <si>
    <t>941F</t>
  </si>
  <si>
    <t>1001010000011111</t>
  </si>
  <si>
    <t>97E0</t>
  </si>
  <si>
    <t>1001011111100000</t>
  </si>
  <si>
    <t>97E1</t>
  </si>
  <si>
    <t>1001011111100001</t>
  </si>
  <si>
    <t>97E2</t>
  </si>
  <si>
    <t>1001011111100010</t>
  </si>
  <si>
    <t>97E3</t>
  </si>
  <si>
    <t>1001011111100011</t>
  </si>
  <si>
    <t>97E4</t>
  </si>
  <si>
    <t>1001011111100100</t>
  </si>
  <si>
    <t>97E5</t>
  </si>
  <si>
    <t>1001011111100101</t>
  </si>
  <si>
    <t>97E6</t>
  </si>
  <si>
    <t>1001011111100110</t>
  </si>
  <si>
    <t>97E7</t>
  </si>
  <si>
    <t>1001011111100111</t>
  </si>
  <si>
    <t>97E8</t>
  </si>
  <si>
    <t>1001011111101000</t>
  </si>
  <si>
    <t>97E9</t>
  </si>
  <si>
    <t>1001011111101001</t>
  </si>
  <si>
    <t>97EA</t>
  </si>
  <si>
    <t>1001011111101010</t>
  </si>
  <si>
    <t>97EB</t>
  </si>
  <si>
    <t>1001011111101011</t>
  </si>
  <si>
    <t>97EC</t>
  </si>
  <si>
    <t>1001011111101100</t>
  </si>
  <si>
    <t>97ED</t>
  </si>
  <si>
    <t>1001011111101101</t>
  </si>
  <si>
    <t>97EE</t>
  </si>
  <si>
    <t>1001011111101110</t>
  </si>
  <si>
    <t>97EF</t>
  </si>
  <si>
    <t>1001011111101111</t>
  </si>
  <si>
    <t>97F0</t>
  </si>
  <si>
    <t>1001011111110000</t>
  </si>
  <si>
    <t>97F1</t>
  </si>
  <si>
    <t>1001011111110001</t>
  </si>
  <si>
    <t>97F2</t>
  </si>
  <si>
    <t>1001011111110010</t>
  </si>
  <si>
    <t>97F3</t>
  </si>
  <si>
    <t>1001011111110011</t>
  </si>
  <si>
    <t>97F4</t>
  </si>
  <si>
    <t>1001011111110100</t>
  </si>
  <si>
    <t>97F5</t>
  </si>
  <si>
    <t>1001011111110101</t>
  </si>
  <si>
    <t>97F6</t>
  </si>
  <si>
    <t>1001011111110110</t>
  </si>
  <si>
    <t>97F7</t>
  </si>
  <si>
    <t>1001011111110111</t>
  </si>
  <si>
    <t>97F8</t>
  </si>
  <si>
    <t>1001011111111000</t>
  </si>
  <si>
    <t>97F9</t>
  </si>
  <si>
    <t>1001011111111001</t>
  </si>
  <si>
    <t>97FA</t>
  </si>
  <si>
    <t>1001011111111010</t>
  </si>
  <si>
    <t>97FB</t>
  </si>
  <si>
    <t>1001011111111011</t>
  </si>
  <si>
    <t>97FC</t>
  </si>
  <si>
    <t>1001011111111100</t>
  </si>
  <si>
    <t>97FD</t>
  </si>
  <si>
    <t>1001011111111101</t>
  </si>
  <si>
    <t>97FE</t>
  </si>
  <si>
    <t>1001011111111110</t>
  </si>
  <si>
    <t>97FF</t>
  </si>
  <si>
    <t>1001011111111111</t>
  </si>
  <si>
    <t>9800</t>
  </si>
  <si>
    <t>1001100000000000</t>
  </si>
  <si>
    <t>RT ADDR = 10011 TX MODE - Invalid</t>
  </si>
  <si>
    <t>9801</t>
  </si>
  <si>
    <t>1001100000000001</t>
  </si>
  <si>
    <t>9802</t>
  </si>
  <si>
    <t>1001100000000010</t>
  </si>
  <si>
    <t>9803</t>
  </si>
  <si>
    <t>1001100000000011</t>
  </si>
  <si>
    <t>9804</t>
  </si>
  <si>
    <t>1001100000000100</t>
  </si>
  <si>
    <t>9805</t>
  </si>
  <si>
    <t>1001100000000101</t>
  </si>
  <si>
    <t>9806</t>
  </si>
  <si>
    <t>1001100000000110</t>
  </si>
  <si>
    <t>9807</t>
  </si>
  <si>
    <t>1001100000000111</t>
  </si>
  <si>
    <t>9808</t>
  </si>
  <si>
    <t>1001100000001000</t>
  </si>
  <si>
    <t>9809</t>
  </si>
  <si>
    <t>1001100000001001</t>
  </si>
  <si>
    <t>980A</t>
  </si>
  <si>
    <t>1001100000001010</t>
  </si>
  <si>
    <t>980B</t>
  </si>
  <si>
    <t>1001100000001011</t>
  </si>
  <si>
    <t>980C</t>
  </si>
  <si>
    <t>1001100000001100</t>
  </si>
  <si>
    <t>980D</t>
  </si>
  <si>
    <t>1001100000001101</t>
  </si>
  <si>
    <t>980E</t>
  </si>
  <si>
    <t>1001100000001110</t>
  </si>
  <si>
    <t>980F</t>
  </si>
  <si>
    <t>1001100000001111</t>
  </si>
  <si>
    <t>9810</t>
  </si>
  <si>
    <t>1001100000010000</t>
  </si>
  <si>
    <t>9811</t>
  </si>
  <si>
    <t>1001100000010001</t>
  </si>
  <si>
    <t>RT ADDR = 10011 TX MODE - Synchronise</t>
  </si>
  <si>
    <t>9812</t>
  </si>
  <si>
    <t>1001100000010010</t>
  </si>
  <si>
    <t>9813</t>
  </si>
  <si>
    <t>1001100000010011</t>
  </si>
  <si>
    <t>9814</t>
  </si>
  <si>
    <t>1001100000010100</t>
  </si>
  <si>
    <t>RT ADDR = 10011 TX MODE - Selected Transmitter Shutdown</t>
  </si>
  <si>
    <t>9815</t>
  </si>
  <si>
    <t>1001100000010101</t>
  </si>
  <si>
    <t>RT ADDR = 10011 TX MODE - Override Selected Transmitter Shutdown</t>
  </si>
  <si>
    <t>9816</t>
  </si>
  <si>
    <t>1001100000010110</t>
  </si>
  <si>
    <t>9817</t>
  </si>
  <si>
    <t>1001100000010111</t>
  </si>
  <si>
    <t>9818</t>
  </si>
  <si>
    <t>1001100000011000</t>
  </si>
  <si>
    <t>9819</t>
  </si>
  <si>
    <t>1001100000011001</t>
  </si>
  <si>
    <t>981A</t>
  </si>
  <si>
    <t>1001100000011010</t>
  </si>
  <si>
    <t>981B</t>
  </si>
  <si>
    <t>1001100000011011</t>
  </si>
  <si>
    <t>981C</t>
  </si>
  <si>
    <t>1001100000011100</t>
  </si>
  <si>
    <t>981D</t>
  </si>
  <si>
    <t>1001100000011101</t>
  </si>
  <si>
    <t>981E</t>
  </si>
  <si>
    <t>1001100000011110</t>
  </si>
  <si>
    <t>981F</t>
  </si>
  <si>
    <t>1001100000011111</t>
  </si>
  <si>
    <t>9BE0</t>
  </si>
  <si>
    <t>1001101111100000</t>
  </si>
  <si>
    <t>9BE1</t>
  </si>
  <si>
    <t>1001101111100001</t>
  </si>
  <si>
    <t>9BE2</t>
  </si>
  <si>
    <t>1001101111100010</t>
  </si>
  <si>
    <t>9BE3</t>
  </si>
  <si>
    <t>1001101111100011</t>
  </si>
  <si>
    <t>9BE4</t>
  </si>
  <si>
    <t>1001101111100100</t>
  </si>
  <si>
    <t>9BE5</t>
  </si>
  <si>
    <t>1001101111100101</t>
  </si>
  <si>
    <t>9BE6</t>
  </si>
  <si>
    <t>1001101111100110</t>
  </si>
  <si>
    <t>9BE7</t>
  </si>
  <si>
    <t>1001101111100111</t>
  </si>
  <si>
    <t>9BE8</t>
  </si>
  <si>
    <t>1001101111101000</t>
  </si>
  <si>
    <t>9BE9</t>
  </si>
  <si>
    <t>1001101111101001</t>
  </si>
  <si>
    <t>9BEA</t>
  </si>
  <si>
    <t>1001101111101010</t>
  </si>
  <si>
    <t>9BEB</t>
  </si>
  <si>
    <t>1001101111101011</t>
  </si>
  <si>
    <t>9BEC</t>
  </si>
  <si>
    <t>1001101111101100</t>
  </si>
  <si>
    <t>9BED</t>
  </si>
  <si>
    <t>1001101111101101</t>
  </si>
  <si>
    <t>9BEE</t>
  </si>
  <si>
    <t>1001101111101110</t>
  </si>
  <si>
    <t>9BEF</t>
  </si>
  <si>
    <t>1001101111101111</t>
  </si>
  <si>
    <t>9BF0</t>
  </si>
  <si>
    <t>1001101111110000</t>
  </si>
  <si>
    <t>9BF1</t>
  </si>
  <si>
    <t>1001101111110001</t>
  </si>
  <si>
    <t>9BF2</t>
  </si>
  <si>
    <t>1001101111110010</t>
  </si>
  <si>
    <t>9BF3</t>
  </si>
  <si>
    <t>1001101111110011</t>
  </si>
  <si>
    <t>9BF4</t>
  </si>
  <si>
    <t>1001101111110100</t>
  </si>
  <si>
    <t>9BF5</t>
  </si>
  <si>
    <t>1001101111110101</t>
  </si>
  <si>
    <t>9BF6</t>
  </si>
  <si>
    <t>1001101111110110</t>
  </si>
  <si>
    <t>9BF7</t>
  </si>
  <si>
    <t>1001101111110111</t>
  </si>
  <si>
    <t>9BF8</t>
  </si>
  <si>
    <t>1001101111111000</t>
  </si>
  <si>
    <t>9BF9</t>
  </si>
  <si>
    <t>1001101111111001</t>
  </si>
  <si>
    <t>9BFA</t>
  </si>
  <si>
    <t>1001101111111010</t>
  </si>
  <si>
    <t>9BFB</t>
  </si>
  <si>
    <t>1001101111111011</t>
  </si>
  <si>
    <t>9BFC</t>
  </si>
  <si>
    <t>1001101111111100</t>
  </si>
  <si>
    <t>9BFD</t>
  </si>
  <si>
    <t>1001101111111101</t>
  </si>
  <si>
    <t>9BFE</t>
  </si>
  <si>
    <t>1001101111111110</t>
  </si>
  <si>
    <t>9BFF</t>
  </si>
  <si>
    <t>1001101111111111</t>
  </si>
  <si>
    <t>9C00</t>
  </si>
  <si>
    <t>1001110000000000</t>
  </si>
  <si>
    <t>RT ADDR = 10011 TX MODE - Dynamic Bus Control</t>
  </si>
  <si>
    <t>9C01</t>
  </si>
  <si>
    <t>1001110000000001</t>
  </si>
  <si>
    <t>RT ADDR = 10011 TX MODE - Synchronize</t>
  </si>
  <si>
    <t>9C02</t>
  </si>
  <si>
    <t>1001110000000010</t>
  </si>
  <si>
    <t>RT ADDR = 10011 TX MODE - Transmit Status Word</t>
  </si>
  <si>
    <t>9C03</t>
  </si>
  <si>
    <t>1001110000000011</t>
  </si>
  <si>
    <t>RT ADDR = 10011 TX MODE - Initiate Self Test</t>
  </si>
  <si>
    <t>9C04</t>
  </si>
  <si>
    <t>1001110000000100</t>
  </si>
  <si>
    <t>RT ADDR = 10011 TX MODE - Transmitter Shutdown</t>
  </si>
  <si>
    <t>9C05</t>
  </si>
  <si>
    <t>1001110000000101</t>
  </si>
  <si>
    <t>RT ADDR = 10011 TX MODE - Override Transmitter Shutdown</t>
  </si>
  <si>
    <t>9C06</t>
  </si>
  <si>
    <t>1001110000000110</t>
  </si>
  <si>
    <t>RT ADDR = 10011 TX MODE - Inhibit Terminal Flag</t>
  </si>
  <si>
    <t>9C07</t>
  </si>
  <si>
    <t>1001110000000111</t>
  </si>
  <si>
    <t>RT ADDR = 10011 TX MODE - Override Inhibit Terminal Flag</t>
  </si>
  <si>
    <t>9C08</t>
  </si>
  <si>
    <t>1001110000001000</t>
  </si>
  <si>
    <t>RT ADDR = 10011 TX MODE - Reset Remote Terminal</t>
  </si>
  <si>
    <t>9C09</t>
  </si>
  <si>
    <t>1001110000001001</t>
  </si>
  <si>
    <t>9C0A</t>
  </si>
  <si>
    <t>1001110000001010</t>
  </si>
  <si>
    <t>9C0B</t>
  </si>
  <si>
    <t>1001110000001011</t>
  </si>
  <si>
    <t>9C0C</t>
  </si>
  <si>
    <t>1001110000001100</t>
  </si>
  <si>
    <t>9C0D</t>
  </si>
  <si>
    <t>1001110000001101</t>
  </si>
  <si>
    <t>9C0E</t>
  </si>
  <si>
    <t>1001110000001110</t>
  </si>
  <si>
    <t>9C0F</t>
  </si>
  <si>
    <t>1001110000001111</t>
  </si>
  <si>
    <t>9C10</t>
  </si>
  <si>
    <t>1001110000010000</t>
  </si>
  <si>
    <t>RT ADDR = 10011 TX MODE - Transmit Vector Word</t>
  </si>
  <si>
    <t>9C11</t>
  </si>
  <si>
    <t>1001110000010001</t>
  </si>
  <si>
    <t>9C12</t>
  </si>
  <si>
    <t>1001110000010010</t>
  </si>
  <si>
    <t>RT ADDR = 10011 TX MODE - Transmit Last Command</t>
  </si>
  <si>
    <t>9C13</t>
  </si>
  <si>
    <t>1001110000010011</t>
  </si>
  <si>
    <t>RT ADDR = 10011 TX MODE - Transmit BIT word</t>
  </si>
  <si>
    <t>9C14</t>
  </si>
  <si>
    <t>1001110000010100</t>
  </si>
  <si>
    <t>9C15</t>
  </si>
  <si>
    <t>1001110000010101</t>
  </si>
  <si>
    <t>9C16</t>
  </si>
  <si>
    <t>1001110000010110</t>
  </si>
  <si>
    <t>9C17</t>
  </si>
  <si>
    <t>1001110000010111</t>
  </si>
  <si>
    <t>9C18</t>
  </si>
  <si>
    <t>1001110000011000</t>
  </si>
  <si>
    <t>9C19</t>
  </si>
  <si>
    <t>1001110000011001</t>
  </si>
  <si>
    <t>9C1A</t>
  </si>
  <si>
    <t>1001110000011010</t>
  </si>
  <si>
    <t>9C1B</t>
  </si>
  <si>
    <t>1001110000011011</t>
  </si>
  <si>
    <t>9C1C</t>
  </si>
  <si>
    <t>1001110000011100</t>
  </si>
  <si>
    <t>9C1D</t>
  </si>
  <si>
    <t>1001110000011101</t>
  </si>
  <si>
    <t>9C1E</t>
  </si>
  <si>
    <t>1001110000011110</t>
  </si>
  <si>
    <t>9C1F</t>
  </si>
  <si>
    <t>1001110000011111</t>
  </si>
  <si>
    <t>9FE0</t>
  </si>
  <si>
    <t>1001111111100000</t>
  </si>
  <si>
    <t>9FE1</t>
  </si>
  <si>
    <t>1001111111100001</t>
  </si>
  <si>
    <t>9FE2</t>
  </si>
  <si>
    <t>1001111111100010</t>
  </si>
  <si>
    <t>9FE3</t>
  </si>
  <si>
    <t>1001111111100011</t>
  </si>
  <si>
    <t>9FE4</t>
  </si>
  <si>
    <t>1001111111100100</t>
  </si>
  <si>
    <t>9FE5</t>
  </si>
  <si>
    <t>1001111111100101</t>
  </si>
  <si>
    <t>9FE6</t>
  </si>
  <si>
    <t>1001111111100110</t>
  </si>
  <si>
    <t>9FE7</t>
  </si>
  <si>
    <t>1001111111100111</t>
  </si>
  <si>
    <t>9FE8</t>
  </si>
  <si>
    <t>1001111111101000</t>
  </si>
  <si>
    <t>9FE9</t>
  </si>
  <si>
    <t>1001111111101001</t>
  </si>
  <si>
    <t>9FEA</t>
  </si>
  <si>
    <t>1001111111101010</t>
  </si>
  <si>
    <t>9FEB</t>
  </si>
  <si>
    <t>1001111111101011</t>
  </si>
  <si>
    <t>9FEC</t>
  </si>
  <si>
    <t>1001111111101100</t>
  </si>
  <si>
    <t>9FED</t>
  </si>
  <si>
    <t>1001111111101101</t>
  </si>
  <si>
    <t>9FEE</t>
  </si>
  <si>
    <t>1001111111101110</t>
  </si>
  <si>
    <t>9FEF</t>
  </si>
  <si>
    <t>1001111111101111</t>
  </si>
  <si>
    <t>9FF0</t>
  </si>
  <si>
    <t>1001111111110000</t>
  </si>
  <si>
    <t>9FF1</t>
  </si>
  <si>
    <t>1001111111110001</t>
  </si>
  <si>
    <t>9FF2</t>
  </si>
  <si>
    <t>1001111111110010</t>
  </si>
  <si>
    <t>9FF3</t>
  </si>
  <si>
    <t>1001111111110011</t>
  </si>
  <si>
    <t>9FF4</t>
  </si>
  <si>
    <t>1001111111110100</t>
  </si>
  <si>
    <t>9FF5</t>
  </si>
  <si>
    <t>1001111111110101</t>
  </si>
  <si>
    <t>9FF6</t>
  </si>
  <si>
    <t>1001111111110110</t>
  </si>
  <si>
    <t>9FF7</t>
  </si>
  <si>
    <t>1001111111110111</t>
  </si>
  <si>
    <t>9FF8</t>
  </si>
  <si>
    <t>1001111111111000</t>
  </si>
  <si>
    <t>9FF9</t>
  </si>
  <si>
    <t>1001111111111001</t>
  </si>
  <si>
    <t>9FFA</t>
  </si>
  <si>
    <t>1001111111111010</t>
  </si>
  <si>
    <t>9FFB</t>
  </si>
  <si>
    <t>1001111111111011</t>
  </si>
  <si>
    <t>9FFC</t>
  </si>
  <si>
    <t>1001111111111100</t>
  </si>
  <si>
    <t>9FFD</t>
  </si>
  <si>
    <t>1001111111111101</t>
  </si>
  <si>
    <t>9FFE</t>
  </si>
  <si>
    <t>1001111111111110</t>
  </si>
  <si>
    <t>9FFF</t>
  </si>
  <si>
    <t>1001111111111111</t>
  </si>
  <si>
    <t>Exp Resp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</si>
</sst>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0.00000000"/>
    <numFmt numFmtId="166" formatCode="0.0000000"/>
    <numFmt numFmtId="167" formatCode="_(* #,##0.0000000_);_(* \(#,##0.0000000\);_(* &quot;-&quot;??_);_(@_)"/>
    <numFmt numFmtId="168" formatCode="0.0000000000"/>
  </numFmts>
  <fonts count="13" x14ac:knownFonts="1">
    <font>
      <sz val="11"/>
      <color theme="1"/>
      <name val="Calibri"/>
      <family val="2"/>
      <scheme val="minor"/>
    </font>
    <font>
      <sz val="8"/>
      <name val="Calibri"/>
      <family val="2"/>
      <scheme val="minor"/>
    </font>
    <font>
      <sz val="11"/>
      <color rgb="FF006100"/>
      <name val="Calibri"/>
      <family val="2"/>
      <scheme val="minor"/>
    </font>
    <font>
      <sz val="11"/>
      <color theme="1"/>
      <name val="Calibri"/>
      <family val="2"/>
      <scheme val="minor"/>
    </font>
    <font>
      <sz val="9"/>
      <color indexed="81"/>
      <name val="Tahoma"/>
      <family val="2"/>
    </font>
    <font>
      <b/>
      <sz val="9"/>
      <color indexed="81"/>
      <name val="Tahoma"/>
      <family val="2"/>
    </font>
    <font>
      <sz val="11"/>
      <color rgb="FF9C0006"/>
      <name val="Calibri"/>
      <family val="2"/>
      <scheme val="minor"/>
    </font>
    <font>
      <b/>
      <sz val="11"/>
      <name val="Calibri"/>
      <family val="2"/>
      <scheme val="minor"/>
    </font>
    <font>
      <sz val="11"/>
      <name val="Calibri"/>
      <family val="2"/>
      <scheme val="minor"/>
    </font>
    <font>
      <b/>
      <u/>
      <sz val="11"/>
      <name val="Calibri"/>
      <family val="2"/>
      <scheme val="minor"/>
    </font>
    <font>
      <sz val="10"/>
      <name val="Calibri"/>
      <family val="2"/>
      <scheme val="minor"/>
    </font>
    <font>
      <b/>
      <sz val="11"/>
      <color theme="1"/>
      <name val="Calibri"/>
      <family val="2"/>
      <scheme val="minor"/>
    </font>
    <font>
      <b/>
      <sz val="11"/>
      <color rgb="FF006100"/>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theme="4"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9" tint="0.79998168889431442"/>
        <bgColor indexed="64"/>
      </patternFill>
    </fill>
  </fills>
  <borders count="26">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2" fillId="2" borderId="0" applyNumberFormat="0" applyBorder="0" applyAlignment="0" applyProtection="0"/>
    <xf numFmtId="164" fontId="3" fillId="0" borderId="0" applyFont="0" applyFill="0" applyBorder="0" applyAlignment="0" applyProtection="0"/>
    <xf numFmtId="0" fontId="6" fillId="3" borderId="0" applyNumberFormat="0" applyBorder="0" applyAlignment="0" applyProtection="0"/>
  </cellStyleXfs>
  <cellXfs count="144">
    <xf numFmtId="0" fontId="0" fillId="0" borderId="0" xfId="0"/>
    <xf numFmtId="0" fontId="2" fillId="2" borderId="11" xfId="1" applyBorder="1"/>
    <xf numFmtId="0" fontId="2" fillId="2" borderId="0" xfId="1" applyBorder="1"/>
    <xf numFmtId="0" fontId="0" fillId="4" borderId="12" xfId="0" applyFill="1" applyBorder="1"/>
    <xf numFmtId="0" fontId="0" fillId="4" borderId="10" xfId="0" applyFill="1" applyBorder="1"/>
    <xf numFmtId="0" fontId="0" fillId="4" borderId="11" xfId="0" applyFill="1" applyBorder="1"/>
    <xf numFmtId="0" fontId="0" fillId="4" borderId="2" xfId="0" applyFill="1" applyBorder="1"/>
    <xf numFmtId="0" fontId="0" fillId="4" borderId="1" xfId="0" applyFill="1" applyBorder="1"/>
    <xf numFmtId="0" fontId="0" fillId="4" borderId="0" xfId="0" applyFill="1" applyBorder="1"/>
    <xf numFmtId="0" fontId="0" fillId="5" borderId="10" xfId="0" applyFill="1" applyBorder="1"/>
    <xf numFmtId="0" fontId="0" fillId="5" borderId="11" xfId="0" applyFill="1" applyBorder="1"/>
    <xf numFmtId="0" fontId="0" fillId="5" borderId="12" xfId="0" applyFill="1" applyBorder="1"/>
    <xf numFmtId="0" fontId="0" fillId="5" borderId="1" xfId="0" applyFill="1" applyBorder="1"/>
    <xf numFmtId="0" fontId="0" fillId="5" borderId="0" xfId="0" applyFill="1" applyBorder="1"/>
    <xf numFmtId="0" fontId="0" fillId="5" borderId="2" xfId="0" applyFill="1" applyBorder="1"/>
    <xf numFmtId="0" fontId="0" fillId="6" borderId="11" xfId="0" applyFill="1" applyBorder="1"/>
    <xf numFmtId="0" fontId="0" fillId="6" borderId="12" xfId="0" applyFill="1" applyBorder="1"/>
    <xf numFmtId="0" fontId="0" fillId="6" borderId="10" xfId="0" applyFill="1" applyBorder="1"/>
    <xf numFmtId="0" fontId="0" fillId="6" borderId="0" xfId="0" applyFill="1" applyBorder="1"/>
    <xf numFmtId="0" fontId="0" fillId="6" borderId="2" xfId="0" applyFill="1" applyBorder="1"/>
    <xf numFmtId="0" fontId="0" fillId="6" borderId="1" xfId="0" applyFill="1" applyBorder="1"/>
    <xf numFmtId="0" fontId="0" fillId="7" borderId="13" xfId="0" applyFill="1" applyBorder="1"/>
    <xf numFmtId="0" fontId="0" fillId="7" borderId="14" xfId="0" applyFill="1" applyBorder="1"/>
    <xf numFmtId="0" fontId="8" fillId="0" borderId="3" xfId="1" applyFont="1" applyFill="1" applyBorder="1" applyAlignment="1">
      <alignment horizontal="center"/>
    </xf>
    <xf numFmtId="0" fontId="8" fillId="0" borderId="3" xfId="0" applyFont="1" applyFill="1" applyBorder="1" applyAlignment="1">
      <alignment horizontal="center"/>
    </xf>
    <xf numFmtId="0" fontId="7" fillId="0" borderId="3" xfId="0" applyFont="1" applyFill="1" applyBorder="1" applyAlignment="1">
      <alignment horizontal="center"/>
    </xf>
    <xf numFmtId="0" fontId="8" fillId="0" borderId="3" xfId="0" applyFont="1" applyFill="1" applyBorder="1" applyAlignment="1">
      <alignment horizontal="left"/>
    </xf>
    <xf numFmtId="0" fontId="8" fillId="0" borderId="3" xfId="0" applyFont="1" applyFill="1" applyBorder="1"/>
    <xf numFmtId="0" fontId="9" fillId="0" borderId="3" xfId="0" applyFont="1" applyFill="1" applyBorder="1" applyAlignment="1"/>
    <xf numFmtId="0" fontId="7" fillId="0" borderId="3" xfId="0" applyFont="1" applyFill="1" applyBorder="1" applyAlignment="1"/>
    <xf numFmtId="0" fontId="1" fillId="0" borderId="3" xfId="0" applyFont="1" applyFill="1" applyBorder="1" applyAlignment="1">
      <alignment horizontal="center"/>
    </xf>
    <xf numFmtId="0" fontId="8" fillId="0" borderId="3" xfId="0" applyFont="1" applyFill="1" applyBorder="1" applyAlignment="1">
      <alignment horizontal="center" vertical="center"/>
    </xf>
    <xf numFmtId="0" fontId="7" fillId="0" borderId="3" xfId="0" applyFont="1" applyFill="1" applyBorder="1" applyAlignment="1">
      <alignment horizontal="center" wrapText="1"/>
    </xf>
    <xf numFmtId="0" fontId="7" fillId="0" borderId="3" xfId="0" applyFont="1" applyFill="1" applyBorder="1"/>
    <xf numFmtId="0" fontId="8" fillId="0" borderId="3" xfId="0" applyFont="1" applyFill="1" applyBorder="1" applyAlignment="1">
      <alignment horizontal="right"/>
    </xf>
    <xf numFmtId="167" fontId="8" fillId="0" borderId="3" xfId="2" applyNumberFormat="1" applyFont="1" applyFill="1" applyBorder="1" applyAlignment="1">
      <alignment horizontal="left"/>
    </xf>
    <xf numFmtId="166" fontId="8" fillId="0" borderId="3" xfId="0" applyNumberFormat="1" applyFont="1" applyFill="1" applyBorder="1" applyAlignment="1">
      <alignment horizontal="center"/>
    </xf>
    <xf numFmtId="168" fontId="8" fillId="0" borderId="3" xfId="0" applyNumberFormat="1" applyFont="1" applyFill="1" applyBorder="1" applyAlignment="1">
      <alignment horizontal="center"/>
    </xf>
    <xf numFmtId="165" fontId="10" fillId="0" borderId="3" xfId="0" applyNumberFormat="1" applyFont="1" applyFill="1" applyBorder="1"/>
    <xf numFmtId="1" fontId="8" fillId="0" borderId="3" xfId="0" applyNumberFormat="1" applyFont="1" applyFill="1" applyBorder="1"/>
    <xf numFmtId="165" fontId="8" fillId="0" borderId="3" xfId="3" applyNumberFormat="1" applyFont="1" applyFill="1" applyBorder="1"/>
    <xf numFmtId="0" fontId="8" fillId="0" borderId="3" xfId="3" applyFont="1" applyFill="1" applyBorder="1" applyAlignment="1">
      <alignment horizontal="center"/>
    </xf>
    <xf numFmtId="168" fontId="8" fillId="0" borderId="3" xfId="1" applyNumberFormat="1" applyFont="1" applyFill="1" applyBorder="1" applyAlignment="1">
      <alignment horizontal="center"/>
    </xf>
    <xf numFmtId="0" fontId="7" fillId="0" borderId="3" xfId="0" applyFont="1" applyFill="1" applyBorder="1" applyAlignment="1">
      <alignment horizontal="center" vertical="center"/>
    </xf>
    <xf numFmtId="0" fontId="8" fillId="0" borderId="3" xfId="0" quotePrefix="1" applyFont="1" applyFill="1" applyBorder="1" applyAlignment="1">
      <alignment horizontal="center" vertical="center"/>
    </xf>
    <xf numFmtId="0" fontId="8" fillId="0" borderId="3" xfId="0" quotePrefix="1" applyFont="1" applyFill="1" applyBorder="1" applyAlignment="1">
      <alignment horizontal="center"/>
    </xf>
    <xf numFmtId="0" fontId="9" fillId="0" borderId="6" xfId="0" applyFont="1" applyFill="1" applyBorder="1" applyAlignment="1"/>
    <xf numFmtId="0" fontId="8" fillId="0" borderId="6" xfId="0" applyFont="1" applyFill="1" applyBorder="1"/>
    <xf numFmtId="0" fontId="8" fillId="0" borderId="4" xfId="0" applyFont="1" applyFill="1" applyBorder="1"/>
    <xf numFmtId="0" fontId="8" fillId="0" borderId="5" xfId="0" quotePrefix="1" applyFont="1" applyFill="1" applyBorder="1" applyAlignment="1">
      <alignment horizontal="center" vertical="center"/>
    </xf>
    <xf numFmtId="0" fontId="9" fillId="0" borderId="5" xfId="0" applyFont="1" applyFill="1" applyBorder="1" applyAlignment="1"/>
    <xf numFmtId="0" fontId="8" fillId="0" borderId="5" xfId="0" applyFont="1" applyFill="1" applyBorder="1"/>
    <xf numFmtId="0" fontId="8" fillId="0" borderId="9" xfId="0" applyFont="1" applyFill="1" applyBorder="1"/>
    <xf numFmtId="0" fontId="8" fillId="0" borderId="9" xfId="0" applyFont="1" applyFill="1" applyBorder="1" applyAlignment="1">
      <alignment horizontal="center"/>
    </xf>
    <xf numFmtId="0" fontId="8" fillId="0" borderId="15" xfId="0" applyFont="1" applyFill="1" applyBorder="1"/>
    <xf numFmtId="0" fontId="8" fillId="0" borderId="16" xfId="0" quotePrefix="1" applyFont="1" applyFill="1" applyBorder="1" applyAlignment="1">
      <alignment horizontal="center" vertical="center"/>
    </xf>
    <xf numFmtId="0" fontId="8" fillId="0" borderId="16" xfId="0" applyFont="1" applyFill="1" applyBorder="1"/>
    <xf numFmtId="0" fontId="8" fillId="0" borderId="16" xfId="0" applyFont="1" applyFill="1" applyBorder="1" applyAlignment="1">
      <alignment horizontal="center"/>
    </xf>
    <xf numFmtId="0" fontId="8" fillId="0" borderId="17" xfId="0" applyFont="1" applyFill="1" applyBorder="1"/>
    <xf numFmtId="0" fontId="8" fillId="0" borderId="5" xfId="0" applyFont="1" applyFill="1" applyBorder="1" applyAlignment="1">
      <alignment horizontal="center"/>
    </xf>
    <xf numFmtId="0" fontId="8" fillId="0" borderId="6" xfId="0" quotePrefix="1" applyFont="1" applyFill="1" applyBorder="1" applyAlignment="1">
      <alignment horizontal="center" vertical="center"/>
    </xf>
    <xf numFmtId="0" fontId="7" fillId="0" borderId="7" xfId="0" applyFont="1" applyFill="1" applyBorder="1"/>
    <xf numFmtId="0" fontId="7" fillId="0" borderId="8" xfId="0" applyFont="1" applyFill="1" applyBorder="1" applyAlignment="1">
      <alignment horizontal="center" vertical="center"/>
    </xf>
    <xf numFmtId="0" fontId="7" fillId="0" borderId="8" xfId="0" applyFont="1" applyFill="1" applyBorder="1"/>
    <xf numFmtId="0" fontId="7" fillId="0" borderId="8" xfId="0" applyFont="1" applyFill="1" applyBorder="1" applyAlignment="1">
      <alignment horizontal="center"/>
    </xf>
    <xf numFmtId="0" fontId="7" fillId="0" borderId="8" xfId="0" applyFont="1" applyFill="1" applyBorder="1" applyAlignment="1"/>
    <xf numFmtId="0" fontId="9" fillId="0" borderId="6" xfId="0" applyFont="1" applyFill="1" applyBorder="1" applyAlignment="1">
      <alignment horizontal="center"/>
    </xf>
    <xf numFmtId="0" fontId="9" fillId="0" borderId="3" xfId="0" applyFont="1" applyFill="1" applyBorder="1" applyAlignment="1">
      <alignment horizontal="center"/>
    </xf>
    <xf numFmtId="0" fontId="8" fillId="0" borderId="16" xfId="0" quotePrefix="1" applyFont="1" applyFill="1" applyBorder="1" applyAlignment="1">
      <alignment horizontal="center"/>
    </xf>
    <xf numFmtId="0" fontId="8" fillId="0" borderId="16" xfId="1" applyFont="1" applyFill="1" applyBorder="1" applyAlignment="1">
      <alignment horizontal="center"/>
    </xf>
    <xf numFmtId="0" fontId="8" fillId="0" borderId="18" xfId="0" quotePrefix="1" applyFont="1" applyFill="1" applyBorder="1" applyAlignment="1">
      <alignment horizontal="center" vertical="center"/>
    </xf>
    <xf numFmtId="0" fontId="8" fillId="0" borderId="18" xfId="0" applyFont="1" applyFill="1" applyBorder="1"/>
    <xf numFmtId="0" fontId="8" fillId="0" borderId="5" xfId="0" quotePrefix="1" applyFont="1" applyFill="1" applyBorder="1" applyAlignment="1">
      <alignment horizontal="center"/>
    </xf>
    <xf numFmtId="0" fontId="8" fillId="0" borderId="17" xfId="0" quotePrefix="1" applyFont="1" applyFill="1" applyBorder="1" applyAlignment="1">
      <alignment horizontal="left" vertical="center"/>
    </xf>
    <xf numFmtId="0" fontId="0" fillId="0" borderId="0" xfId="0" applyAlignment="1">
      <alignment horizontal="center"/>
    </xf>
    <xf numFmtId="0" fontId="0" fillId="0" borderId="4" xfId="0" applyBorder="1"/>
    <xf numFmtId="0" fontId="0" fillId="8" borderId="3" xfId="0" applyFill="1" applyBorder="1"/>
    <xf numFmtId="0" fontId="0" fillId="8" borderId="3" xfId="0" applyFill="1" applyBorder="1" applyAlignment="1">
      <alignment horizontal="center"/>
    </xf>
    <xf numFmtId="0" fontId="0" fillId="8" borderId="4" xfId="0" applyFill="1" applyBorder="1"/>
    <xf numFmtId="0" fontId="0" fillId="8" borderId="19" xfId="0" applyFill="1" applyBorder="1" applyAlignment="1">
      <alignment horizontal="center"/>
    </xf>
    <xf numFmtId="0" fontId="0" fillId="7" borderId="0" xfId="0" applyFill="1" applyBorder="1"/>
    <xf numFmtId="0" fontId="7" fillId="0" borderId="3" xfId="0" applyFont="1" applyFill="1" applyBorder="1" applyAlignment="1">
      <alignment horizontal="center"/>
    </xf>
    <xf numFmtId="0" fontId="0" fillId="0" borderId="0" xfId="0" applyAlignment="1">
      <alignment horizontal="center"/>
    </xf>
    <xf numFmtId="0" fontId="0" fillId="0" borderId="0" xfId="0" applyFill="1" applyBorder="1"/>
    <xf numFmtId="0" fontId="0" fillId="9" borderId="1" xfId="0" applyFill="1" applyBorder="1"/>
    <xf numFmtId="0" fontId="0" fillId="9" borderId="0" xfId="0" applyFill="1" applyBorder="1"/>
    <xf numFmtId="0" fontId="0" fillId="9" borderId="2" xfId="0" applyFill="1" applyBorder="1"/>
    <xf numFmtId="0" fontId="0" fillId="9" borderId="10" xfId="0" applyFill="1" applyBorder="1"/>
    <xf numFmtId="0" fontId="0" fillId="9" borderId="11" xfId="0" applyFill="1" applyBorder="1"/>
    <xf numFmtId="0" fontId="0" fillId="9" borderId="12" xfId="0" applyFill="1" applyBorder="1"/>
    <xf numFmtId="0" fontId="0" fillId="10" borderId="11" xfId="0" applyFill="1" applyBorder="1"/>
    <xf numFmtId="0" fontId="0" fillId="10" borderId="0" xfId="0" applyFill="1" applyBorder="1"/>
    <xf numFmtId="0" fontId="0" fillId="10" borderId="22" xfId="0" applyFill="1" applyBorder="1"/>
    <xf numFmtId="0" fontId="0" fillId="6" borderId="20" xfId="0" applyFill="1" applyBorder="1"/>
    <xf numFmtId="0" fontId="0" fillId="6" borderId="22" xfId="0" applyFill="1" applyBorder="1"/>
    <xf numFmtId="0" fontId="0" fillId="6" borderId="21" xfId="0" applyFill="1" applyBorder="1"/>
    <xf numFmtId="0" fontId="11" fillId="0" borderId="23" xfId="0" applyFont="1" applyBorder="1"/>
    <xf numFmtId="0" fontId="11" fillId="0" borderId="24" xfId="0" applyFont="1" applyBorder="1"/>
    <xf numFmtId="0" fontId="11" fillId="0" borderId="24" xfId="0" applyFont="1" applyFill="1" applyBorder="1"/>
    <xf numFmtId="0" fontId="11" fillId="0" borderId="25" xfId="0" applyFont="1" applyFill="1" applyBorder="1"/>
    <xf numFmtId="0" fontId="11" fillId="0" borderId="25" xfId="0" applyFont="1" applyBorder="1" applyAlignment="1">
      <alignment horizontal="center"/>
    </xf>
    <xf numFmtId="0" fontId="11" fillId="0" borderId="23" xfId="0" applyFont="1" applyBorder="1" applyAlignment="1">
      <alignment horizontal="center"/>
    </xf>
    <xf numFmtId="0" fontId="11" fillId="0" borderId="0" xfId="0" applyFont="1"/>
    <xf numFmtId="0" fontId="11" fillId="0" borderId="0" xfId="0" applyFont="1" applyAlignment="1">
      <alignment horizontal="center"/>
    </xf>
    <xf numFmtId="0" fontId="11" fillId="5" borderId="0" xfId="0" applyFont="1" applyFill="1" applyBorder="1" applyAlignment="1">
      <alignment horizontal="center"/>
    </xf>
    <xf numFmtId="0" fontId="12" fillId="2" borderId="0" xfId="1" applyFont="1" applyBorder="1" applyAlignment="1">
      <alignment horizontal="center"/>
    </xf>
    <xf numFmtId="0" fontId="11" fillId="6" borderId="0" xfId="0" applyFont="1" applyFill="1" applyBorder="1" applyAlignment="1">
      <alignment horizontal="center"/>
    </xf>
    <xf numFmtId="0" fontId="11" fillId="4" borderId="0" xfId="0" applyFont="1" applyFill="1" applyBorder="1" applyAlignment="1">
      <alignment horizontal="center"/>
    </xf>
    <xf numFmtId="0" fontId="0" fillId="5" borderId="0" xfId="0" applyFill="1" applyBorder="1" applyAlignment="1">
      <alignment horizontal="center"/>
    </xf>
    <xf numFmtId="0" fontId="2" fillId="2" borderId="0" xfId="1" applyBorder="1" applyAlignment="1">
      <alignment horizontal="center"/>
    </xf>
    <xf numFmtId="0" fontId="0" fillId="6" borderId="0" xfId="0" applyFill="1" applyBorder="1" applyAlignment="1">
      <alignment horizontal="center"/>
    </xf>
    <xf numFmtId="0" fontId="0" fillId="4" borderId="0" xfId="0" applyFill="1" applyBorder="1" applyAlignment="1">
      <alignment horizontal="center"/>
    </xf>
    <xf numFmtId="0" fontId="11" fillId="0" borderId="0" xfId="0" applyFont="1" applyFill="1"/>
    <xf numFmtId="0" fontId="0" fillId="0" borderId="0" xfId="0" applyFill="1" applyBorder="1" applyAlignment="1">
      <alignment horizontal="left"/>
    </xf>
    <xf numFmtId="0" fontId="0" fillId="0" borderId="0" xfId="0" applyFill="1"/>
    <xf numFmtId="0" fontId="0" fillId="6" borderId="0" xfId="0" applyFill="1" applyAlignment="1">
      <alignment horizontal="center"/>
    </xf>
    <xf numFmtId="0" fontId="0" fillId="6" borderId="0" xfId="0" applyFill="1"/>
    <xf numFmtId="0" fontId="0" fillId="9" borderId="10" xfId="0" applyFill="1" applyBorder="1" applyAlignment="1">
      <alignment horizontal="center"/>
    </xf>
    <xf numFmtId="0" fontId="0" fillId="9" borderId="11" xfId="0" applyFill="1" applyBorder="1" applyAlignment="1">
      <alignment horizontal="center"/>
    </xf>
    <xf numFmtId="0" fontId="0" fillId="9" borderId="1" xfId="0" applyFill="1" applyBorder="1" applyAlignment="1">
      <alignment horizontal="center"/>
    </xf>
    <xf numFmtId="0" fontId="0" fillId="9" borderId="0" xfId="0" applyFill="1" applyBorder="1" applyAlignment="1">
      <alignment horizontal="center"/>
    </xf>
    <xf numFmtId="0" fontId="0" fillId="9" borderId="20" xfId="0" applyFill="1" applyBorder="1" applyAlignment="1">
      <alignment horizontal="center"/>
    </xf>
    <xf numFmtId="0" fontId="0" fillId="9" borderId="22" xfId="0" applyFill="1" applyBorder="1" applyAlignment="1">
      <alignment horizontal="center"/>
    </xf>
    <xf numFmtId="0" fontId="0" fillId="9" borderId="22" xfId="0" applyFill="1" applyBorder="1"/>
    <xf numFmtId="0" fontId="0" fillId="10" borderId="10" xfId="0" applyFill="1" applyBorder="1" applyAlignment="1">
      <alignment horizontal="center"/>
    </xf>
    <xf numFmtId="0" fontId="0" fillId="10" borderId="11" xfId="0" applyFill="1" applyBorder="1" applyAlignment="1">
      <alignment horizontal="center"/>
    </xf>
    <xf numFmtId="0" fontId="0" fillId="10" borderId="1" xfId="0" applyFill="1" applyBorder="1" applyAlignment="1">
      <alignment horizontal="center"/>
    </xf>
    <xf numFmtId="0" fontId="0" fillId="10" borderId="0" xfId="0" applyFill="1" applyBorder="1" applyAlignment="1">
      <alignment horizontal="center"/>
    </xf>
    <xf numFmtId="0" fontId="0" fillId="10" borderId="20" xfId="0" applyFill="1" applyBorder="1" applyAlignment="1">
      <alignment horizontal="center"/>
    </xf>
    <xf numFmtId="0" fontId="0" fillId="10" borderId="22" xfId="0" applyFill="1" applyBorder="1" applyAlignment="1">
      <alignment horizontal="center"/>
    </xf>
    <xf numFmtId="0" fontId="0" fillId="6" borderId="10" xfId="0" applyFill="1" applyBorder="1" applyAlignment="1">
      <alignment horizontal="center"/>
    </xf>
    <xf numFmtId="0" fontId="0" fillId="6" borderId="11" xfId="0" applyFill="1" applyBorder="1" applyAlignment="1">
      <alignment horizontal="center"/>
    </xf>
    <xf numFmtId="0" fontId="0" fillId="6" borderId="1" xfId="0" applyFill="1" applyBorder="1" applyAlignment="1">
      <alignment horizontal="center"/>
    </xf>
    <xf numFmtId="0" fontId="0" fillId="6" borderId="20" xfId="0" applyFill="1" applyBorder="1" applyAlignment="1">
      <alignment horizontal="center"/>
    </xf>
    <xf numFmtId="0" fontId="0" fillId="6" borderId="22" xfId="0" applyFill="1" applyBorder="1" applyAlignment="1">
      <alignment horizontal="center"/>
    </xf>
    <xf numFmtId="0" fontId="0" fillId="11" borderId="10" xfId="0" applyFill="1" applyBorder="1" applyAlignment="1">
      <alignment horizontal="center"/>
    </xf>
    <xf numFmtId="0" fontId="0" fillId="11" borderId="11" xfId="0" applyFill="1" applyBorder="1" applyAlignment="1">
      <alignment horizontal="center"/>
    </xf>
    <xf numFmtId="0" fontId="0" fillId="11" borderId="11" xfId="0" applyFill="1" applyBorder="1"/>
    <xf numFmtId="0" fontId="0" fillId="11" borderId="1" xfId="0" applyFill="1" applyBorder="1" applyAlignment="1">
      <alignment horizontal="center"/>
    </xf>
    <xf numFmtId="0" fontId="0" fillId="11" borderId="0" xfId="0" applyFill="1" applyBorder="1" applyAlignment="1">
      <alignment horizontal="center"/>
    </xf>
    <xf numFmtId="0" fontId="0" fillId="11" borderId="0" xfId="0" applyFill="1" applyBorder="1"/>
    <xf numFmtId="0" fontId="0" fillId="11" borderId="20" xfId="0" applyFill="1" applyBorder="1" applyAlignment="1">
      <alignment horizontal="center"/>
    </xf>
    <xf numFmtId="0" fontId="0" fillId="11" borderId="22" xfId="0" applyFill="1" applyBorder="1" applyAlignment="1">
      <alignment horizontal="center"/>
    </xf>
    <xf numFmtId="0" fontId="0" fillId="11" borderId="22" xfId="0" applyFill="1" applyBorder="1"/>
  </cellXfs>
  <cellStyles count="4">
    <cellStyle name="Bad" xfId="3" builtinId="27"/>
    <cellStyle name="Comma" xfId="2" builtinId="3"/>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31"/>
  <sheetViews>
    <sheetView view="pageBreakPreview" zoomScaleNormal="70" zoomScaleSheetLayoutView="100" workbookViewId="0">
      <selection activeCell="A3" sqref="A3"/>
    </sheetView>
  </sheetViews>
  <sheetFormatPr defaultColWidth="8.85546875" defaultRowHeight="15" x14ac:dyDescent="0.25"/>
  <cols>
    <col min="1" max="1" width="29.85546875" style="27" bestFit="1" customWidth="1"/>
    <col min="2" max="3" width="6.42578125" style="31" customWidth="1"/>
    <col min="4" max="4" width="11.28515625" style="27" customWidth="1"/>
    <col min="5" max="5" width="11.140625" style="24" customWidth="1"/>
    <col min="6" max="6" width="9.7109375" style="24" bestFit="1" customWidth="1"/>
    <col min="7" max="7" width="13.140625" style="24" bestFit="1" customWidth="1"/>
    <col min="8" max="8" width="10.42578125" style="24" bestFit="1" customWidth="1"/>
    <col min="9" max="9" width="13.28515625" style="24" bestFit="1" customWidth="1"/>
    <col min="10" max="10" width="11.140625" style="24" bestFit="1" customWidth="1"/>
    <col min="11" max="11" width="12.140625" style="24" bestFit="1" customWidth="1"/>
    <col min="12" max="12" width="11.85546875" style="24" bestFit="1" customWidth="1"/>
    <col min="13" max="13" width="14.7109375" style="24" bestFit="1" customWidth="1"/>
    <col min="14" max="14" width="12.7109375" style="24" bestFit="1" customWidth="1"/>
    <col min="15" max="15" width="15.42578125" style="24" bestFit="1" customWidth="1"/>
    <col min="16" max="16" width="15.5703125" style="24" bestFit="1" customWidth="1"/>
    <col min="17" max="17" width="14.7109375" style="24" bestFit="1" customWidth="1"/>
    <col min="18" max="18" width="12.5703125" style="24" bestFit="1" customWidth="1"/>
    <col min="19" max="19" width="12.7109375" style="24" bestFit="1" customWidth="1"/>
    <col min="20" max="20" width="11.7109375" style="24" bestFit="1" customWidth="1"/>
    <col min="21" max="21" width="11.85546875" style="24" bestFit="1" customWidth="1"/>
    <col min="22" max="22" width="63.28515625" style="27" bestFit="1" customWidth="1"/>
    <col min="23" max="23" width="32.140625" style="26" bestFit="1" customWidth="1"/>
    <col min="24" max="24" width="50.5703125" style="27" bestFit="1" customWidth="1"/>
    <col min="25" max="25" width="50.140625" style="27" bestFit="1" customWidth="1"/>
    <col min="26" max="16384" width="8.85546875" style="27"/>
  </cols>
  <sheetData>
    <row r="1" spans="1:25" s="63" customFormat="1" ht="15.75" thickBot="1" x14ac:dyDescent="0.3">
      <c r="A1" s="61" t="s">
        <v>0</v>
      </c>
      <c r="B1" s="62" t="s">
        <v>21</v>
      </c>
      <c r="C1" s="62" t="s">
        <v>33</v>
      </c>
      <c r="D1" s="63" t="s">
        <v>1</v>
      </c>
      <c r="E1" s="64" t="s">
        <v>3</v>
      </c>
      <c r="F1" s="64">
        <v>15</v>
      </c>
      <c r="G1" s="64">
        <v>14</v>
      </c>
      <c r="H1" s="64">
        <v>13</v>
      </c>
      <c r="I1" s="64">
        <v>12</v>
      </c>
      <c r="J1" s="64">
        <v>11</v>
      </c>
      <c r="K1" s="64">
        <v>10</v>
      </c>
      <c r="L1" s="64">
        <v>9</v>
      </c>
      <c r="M1" s="64">
        <v>8</v>
      </c>
      <c r="N1" s="64">
        <v>7</v>
      </c>
      <c r="O1" s="64">
        <v>6</v>
      </c>
      <c r="P1" s="64">
        <v>5</v>
      </c>
      <c r="Q1" s="64">
        <v>4</v>
      </c>
      <c r="R1" s="64">
        <v>3</v>
      </c>
      <c r="S1" s="64">
        <v>2</v>
      </c>
      <c r="T1" s="64">
        <v>1</v>
      </c>
      <c r="U1" s="64">
        <v>0</v>
      </c>
      <c r="V1" s="63" t="s">
        <v>20</v>
      </c>
      <c r="W1" s="63" t="s">
        <v>268</v>
      </c>
      <c r="X1" s="65" t="s">
        <v>269</v>
      </c>
      <c r="Y1" s="65" t="s">
        <v>270</v>
      </c>
    </row>
    <row r="2" spans="1:25" s="56" customFormat="1" x14ac:dyDescent="0.25">
      <c r="A2" s="54" t="s">
        <v>24</v>
      </c>
      <c r="B2" s="55">
        <v>0</v>
      </c>
      <c r="C2" s="55" t="str">
        <f>DEC2HEX(B2,4)</f>
        <v>0000</v>
      </c>
      <c r="D2" s="56" t="s">
        <v>2</v>
      </c>
      <c r="E2" s="68" t="s">
        <v>239</v>
      </c>
      <c r="F2" s="69" t="s">
        <v>214</v>
      </c>
      <c r="G2" s="69" t="s">
        <v>215</v>
      </c>
      <c r="H2" s="69" t="s">
        <v>216</v>
      </c>
      <c r="I2" s="69" t="s">
        <v>209</v>
      </c>
      <c r="J2" s="69" t="s">
        <v>210</v>
      </c>
      <c r="K2" s="69" t="s">
        <v>202</v>
      </c>
      <c r="L2" s="69" t="s">
        <v>204</v>
      </c>
      <c r="M2" s="69" t="s">
        <v>206</v>
      </c>
      <c r="N2" s="69" t="s">
        <v>200</v>
      </c>
      <c r="O2" s="69" t="s">
        <v>199</v>
      </c>
      <c r="P2" s="69" t="s">
        <v>198</v>
      </c>
      <c r="Q2" s="69" t="s">
        <v>197</v>
      </c>
      <c r="R2" s="69" t="s">
        <v>196</v>
      </c>
      <c r="S2" s="69" t="s">
        <v>195</v>
      </c>
      <c r="T2" s="69" t="s">
        <v>194</v>
      </c>
      <c r="U2" s="69" t="s">
        <v>335</v>
      </c>
      <c r="V2" s="56" t="str">
        <f>CONCATENATE("const static uint16_t c_w",A2, " = 0x",E2,";")</f>
        <v>const static uint16_t c_wreg_status = 0x0000;</v>
      </c>
      <c r="W2" s="56" t="str">
        <f>CONCATENATE(A2," &lt;= X""",E2,""";")</f>
        <v>reg_status &lt;= X"0000";</v>
      </c>
      <c r="X2" s="56" t="str">
        <f>CONCATENATE("       when X""",C2,""" =&gt; DataOut &lt;= ",A2,";")</f>
        <v xml:space="preserve">       when X"0000" =&gt; DataOut &lt;= reg_status;</v>
      </c>
      <c r="Y2" s="56" t="str">
        <f>CONCATENATE("       when X""",C2,""" =&gt;  ",A2," &lt;= DataIn;")</f>
        <v xml:space="preserve">       when X"0000" =&gt;  reg_status &lt;= DataIn;</v>
      </c>
    </row>
    <row r="3" spans="1:25" x14ac:dyDescent="0.25">
      <c r="A3" s="48" t="s">
        <v>25</v>
      </c>
      <c r="B3" s="44">
        <f>B2+1</f>
        <v>1</v>
      </c>
      <c r="C3" s="60" t="str">
        <f t="shared" ref="C3:C53" si="0">DEC2HEX(B3,4)</f>
        <v>0001</v>
      </c>
      <c r="D3" s="27" t="s">
        <v>26</v>
      </c>
      <c r="E3" s="45" t="s">
        <v>239</v>
      </c>
      <c r="F3" s="23" t="s">
        <v>214</v>
      </c>
      <c r="G3" s="23" t="s">
        <v>215</v>
      </c>
      <c r="H3" s="23" t="s">
        <v>216</v>
      </c>
      <c r="I3" s="23" t="s">
        <v>209</v>
      </c>
      <c r="J3" s="23" t="s">
        <v>210</v>
      </c>
      <c r="K3" s="23" t="s">
        <v>202</v>
      </c>
      <c r="L3" s="23" t="s">
        <v>204</v>
      </c>
      <c r="M3" s="23" t="s">
        <v>206</v>
      </c>
      <c r="N3" s="23"/>
      <c r="O3" s="23"/>
      <c r="P3" s="23"/>
      <c r="Q3" s="23"/>
      <c r="S3" s="25"/>
      <c r="T3" s="25"/>
      <c r="U3" s="25"/>
      <c r="V3" s="47" t="str">
        <f t="shared" ref="V3:V49" si="1">CONCATENATE("const static uint16_t c_w",A3, " = 0x",E3,";")</f>
        <v>const static uint16_t c_wreg_intr_mask = 0x0000;</v>
      </c>
      <c r="W3" s="47" t="str">
        <f t="shared" ref="W3:W49" si="2">CONCATENATE(A3," &lt;= X""",E3,""";")</f>
        <v>reg_intr_mask &lt;= X"0000";</v>
      </c>
      <c r="X3" s="47" t="str">
        <f t="shared" ref="X3:X49" si="3">CONCATENATE("       when X""",C3,""" =&gt; DataOut &lt;= ",A3,";")</f>
        <v xml:space="preserve">       when X"0001" =&gt; DataOut &lt;= reg_intr_mask;</v>
      </c>
      <c r="Y3" s="47" t="str">
        <f t="shared" ref="Y3:Y49" si="4">CONCATENATE("       when X""",C3,""" =&gt;  ",A3," &lt;= DataIn;")</f>
        <v xml:space="preserve">       when X"0001" =&gt;  reg_intr_mask &lt;= DataIn;</v>
      </c>
    </row>
    <row r="4" spans="1:25" x14ac:dyDescent="0.25">
      <c r="A4" s="48" t="s">
        <v>205</v>
      </c>
      <c r="B4" s="44">
        <f t="shared" ref="B4:B49" si="5">B3+1</f>
        <v>2</v>
      </c>
      <c r="C4" s="60" t="str">
        <f t="shared" si="0"/>
        <v>0002</v>
      </c>
      <c r="D4" s="27" t="s">
        <v>1</v>
      </c>
      <c r="E4" s="45" t="s">
        <v>239</v>
      </c>
      <c r="J4" s="23" t="s">
        <v>204</v>
      </c>
      <c r="K4" s="23" t="s">
        <v>206</v>
      </c>
      <c r="V4" s="47" t="str">
        <f t="shared" si="1"/>
        <v>const static uint16_t c_wreg_clear_bits = 0x0000;</v>
      </c>
      <c r="W4" s="47" t="str">
        <f t="shared" si="2"/>
        <v>reg_clear_bits &lt;= X"0000";</v>
      </c>
      <c r="X4" s="47" t="str">
        <f t="shared" si="3"/>
        <v xml:space="preserve">       when X"0002" =&gt; DataOut &lt;= reg_clear_bits;</v>
      </c>
      <c r="Y4" s="47" t="str">
        <f t="shared" si="4"/>
        <v xml:space="preserve">       when X"0002" =&gt;  reg_clear_bits &lt;= DataIn;</v>
      </c>
    </row>
    <row r="5" spans="1:25" x14ac:dyDescent="0.25">
      <c r="A5" s="48" t="s">
        <v>162</v>
      </c>
      <c r="B5" s="44">
        <f t="shared" si="5"/>
        <v>3</v>
      </c>
      <c r="C5" s="60" t="str">
        <f t="shared" si="0"/>
        <v>0003</v>
      </c>
      <c r="D5" s="27" t="s">
        <v>1</v>
      </c>
      <c r="E5" s="45" t="s">
        <v>240</v>
      </c>
      <c r="V5" s="47" t="str">
        <f t="shared" si="1"/>
        <v>const static uint16_t c_wreg_tmr_1us = 0x0063;</v>
      </c>
      <c r="W5" s="47" t="str">
        <f t="shared" si="2"/>
        <v>reg_tmr_1us &lt;= X"0063";</v>
      </c>
      <c r="X5" s="47" t="str">
        <f t="shared" si="3"/>
        <v xml:space="preserve">       when X"0003" =&gt; DataOut &lt;= reg_tmr_1us;</v>
      </c>
      <c r="Y5" s="47" t="str">
        <f t="shared" si="4"/>
        <v xml:space="preserve">       when X"0003" =&gt;  reg_tmr_1us &lt;= DataIn;</v>
      </c>
    </row>
    <row r="6" spans="1:25" x14ac:dyDescent="0.25">
      <c r="A6" s="48" t="s">
        <v>163</v>
      </c>
      <c r="B6" s="44">
        <f t="shared" si="5"/>
        <v>4</v>
      </c>
      <c r="C6" s="60" t="str">
        <f t="shared" si="0"/>
        <v>0004</v>
      </c>
      <c r="D6" s="27" t="s">
        <v>1</v>
      </c>
      <c r="E6" s="45" t="s">
        <v>255</v>
      </c>
      <c r="R6" s="25"/>
      <c r="S6" s="25"/>
      <c r="T6" s="25"/>
      <c r="U6" s="25"/>
      <c r="V6" s="47" t="str">
        <f t="shared" si="1"/>
        <v>const static uint16_t c_wreg_tmr_GAP = 0x018F;</v>
      </c>
      <c r="W6" s="47" t="str">
        <f t="shared" si="2"/>
        <v>reg_tmr_GAP &lt;= X"018F";</v>
      </c>
      <c r="X6" s="47" t="str">
        <f t="shared" si="3"/>
        <v xml:space="preserve">       when X"0004" =&gt; DataOut &lt;= reg_tmr_GAP;</v>
      </c>
      <c r="Y6" s="47" t="str">
        <f t="shared" si="4"/>
        <v xml:space="preserve">       when X"0004" =&gt;  reg_tmr_GAP &lt;= DataIn;</v>
      </c>
    </row>
    <row r="7" spans="1:25" x14ac:dyDescent="0.25">
      <c r="A7" s="48" t="s">
        <v>164</v>
      </c>
      <c r="B7" s="44">
        <f t="shared" si="5"/>
        <v>5</v>
      </c>
      <c r="C7" s="60" t="str">
        <f t="shared" si="0"/>
        <v>0005</v>
      </c>
      <c r="D7" s="27" t="s">
        <v>1</v>
      </c>
      <c r="E7" s="45" t="s">
        <v>256</v>
      </c>
      <c r="S7" s="25"/>
      <c r="T7" s="25"/>
      <c r="U7" s="25"/>
      <c r="V7" s="47" t="str">
        <f t="shared" si="1"/>
        <v>const static uint16_t c_wreg_tmr_NRP = 0x0577;</v>
      </c>
      <c r="W7" s="47" t="str">
        <f t="shared" si="2"/>
        <v>reg_tmr_NRP &lt;= X"0577";</v>
      </c>
      <c r="X7" s="47" t="str">
        <f t="shared" si="3"/>
        <v xml:space="preserve">       when X"0005" =&gt; DataOut &lt;= reg_tmr_NRP;</v>
      </c>
      <c r="Y7" s="47" t="str">
        <f t="shared" si="4"/>
        <v xml:space="preserve">       when X"0005" =&gt;  reg_tmr_NRP &lt;= DataIn;</v>
      </c>
    </row>
    <row r="8" spans="1:25" x14ac:dyDescent="0.25">
      <c r="A8" s="48" t="s">
        <v>175</v>
      </c>
      <c r="B8" s="44">
        <f t="shared" si="5"/>
        <v>6</v>
      </c>
      <c r="C8" s="60" t="str">
        <f t="shared" si="0"/>
        <v>0006</v>
      </c>
      <c r="D8" s="27" t="s">
        <v>1</v>
      </c>
      <c r="E8" s="45" t="s">
        <v>255</v>
      </c>
      <c r="V8" s="47" t="str">
        <f t="shared" si="1"/>
        <v>const static uint16_t c_wreg_tmr_REP = 0x018F;</v>
      </c>
      <c r="W8" s="47" t="str">
        <f t="shared" si="2"/>
        <v>reg_tmr_REP &lt;= X"018F";</v>
      </c>
      <c r="X8" s="47" t="str">
        <f t="shared" si="3"/>
        <v xml:space="preserve">       when X"0006" =&gt; DataOut &lt;= reg_tmr_REP;</v>
      </c>
      <c r="Y8" s="47" t="str">
        <f t="shared" si="4"/>
        <v xml:space="preserve">       when X"0006" =&gt;  reg_tmr_REP &lt;= DataIn;</v>
      </c>
    </row>
    <row r="9" spans="1:25" x14ac:dyDescent="0.25">
      <c r="A9" s="48" t="s">
        <v>190</v>
      </c>
      <c r="B9" s="44">
        <f t="shared" si="5"/>
        <v>7</v>
      </c>
      <c r="C9" s="60" t="str">
        <f t="shared" si="0"/>
        <v>0007</v>
      </c>
      <c r="D9" s="27" t="s">
        <v>1</v>
      </c>
      <c r="E9" s="45" t="s">
        <v>257</v>
      </c>
      <c r="V9" s="47" t="str">
        <f t="shared" si="1"/>
        <v>const static uint16_t c_wreg_tmr_SAF = 0x031F;</v>
      </c>
      <c r="W9" s="47" t="str">
        <f t="shared" si="2"/>
        <v>reg_tmr_SAF &lt;= X"031F";</v>
      </c>
      <c r="X9" s="47" t="str">
        <f t="shared" si="3"/>
        <v xml:space="preserve">       when X"0007" =&gt; DataOut &lt;= reg_tmr_SAF;</v>
      </c>
      <c r="Y9" s="47" t="str">
        <f t="shared" si="4"/>
        <v xml:space="preserve">       when X"0007" =&gt;  reg_tmr_SAF &lt;= DataIn;</v>
      </c>
    </row>
    <row r="10" spans="1:25" x14ac:dyDescent="0.25">
      <c r="A10" s="48" t="s">
        <v>186</v>
      </c>
      <c r="B10" s="44">
        <f t="shared" si="5"/>
        <v>8</v>
      </c>
      <c r="C10" s="60" t="str">
        <f t="shared" si="0"/>
        <v>0008</v>
      </c>
      <c r="D10" s="27" t="s">
        <v>1</v>
      </c>
      <c r="E10" s="45" t="s">
        <v>258</v>
      </c>
      <c r="V10" s="47" t="str">
        <f t="shared" si="1"/>
        <v>const static uint16_t c_wreg_legal_subaddr1 = 0xFFFF;</v>
      </c>
      <c r="W10" s="47" t="str">
        <f t="shared" si="2"/>
        <v>reg_legal_subaddr1 &lt;= X"FFFF";</v>
      </c>
      <c r="X10" s="47" t="str">
        <f t="shared" si="3"/>
        <v xml:space="preserve">       when X"0008" =&gt; DataOut &lt;= reg_legal_subaddr1;</v>
      </c>
      <c r="Y10" s="47" t="str">
        <f t="shared" si="4"/>
        <v xml:space="preserve">       when X"0008" =&gt;  reg_legal_subaddr1 &lt;= DataIn;</v>
      </c>
    </row>
    <row r="11" spans="1:25" x14ac:dyDescent="0.25">
      <c r="A11" s="48" t="s">
        <v>187</v>
      </c>
      <c r="B11" s="44">
        <f t="shared" si="5"/>
        <v>9</v>
      </c>
      <c r="C11" s="60" t="str">
        <f t="shared" si="0"/>
        <v>0009</v>
      </c>
      <c r="D11" s="27" t="s">
        <v>1</v>
      </c>
      <c r="E11" s="45" t="s">
        <v>258</v>
      </c>
      <c r="R11" s="25"/>
      <c r="S11" s="25"/>
      <c r="T11" s="25"/>
      <c r="U11" s="25"/>
      <c r="V11" s="47" t="str">
        <f t="shared" si="1"/>
        <v>const static uint16_t c_wreg_legal_subaddr2 = 0xFFFF;</v>
      </c>
      <c r="W11" s="47" t="str">
        <f t="shared" si="2"/>
        <v>reg_legal_subaddr2 &lt;= X"FFFF";</v>
      </c>
      <c r="X11" s="47" t="str">
        <f t="shared" si="3"/>
        <v xml:space="preserve">       when X"0009" =&gt; DataOut &lt;= reg_legal_subaddr2;</v>
      </c>
      <c r="Y11" s="47" t="str">
        <f t="shared" si="4"/>
        <v xml:space="preserve">       when X"0009" =&gt;  reg_legal_subaddr2 &lt;= DataIn;</v>
      </c>
    </row>
    <row r="12" spans="1:25" x14ac:dyDescent="0.25">
      <c r="A12" s="48" t="s">
        <v>188</v>
      </c>
      <c r="B12" s="44">
        <f t="shared" si="5"/>
        <v>10</v>
      </c>
      <c r="C12" s="60" t="str">
        <f t="shared" si="0"/>
        <v>000A</v>
      </c>
      <c r="D12" s="27" t="s">
        <v>1</v>
      </c>
      <c r="E12" s="45" t="s">
        <v>259</v>
      </c>
      <c r="V12" s="47" t="str">
        <f t="shared" si="1"/>
        <v>const static uint16_t c_wreg_legal_mode1 = 0x01FF;</v>
      </c>
      <c r="W12" s="47" t="str">
        <f t="shared" si="2"/>
        <v>reg_legal_mode1 &lt;= X"01FF";</v>
      </c>
      <c r="X12" s="47" t="str">
        <f t="shared" si="3"/>
        <v xml:space="preserve">       when X"000A" =&gt; DataOut &lt;= reg_legal_mode1;</v>
      </c>
      <c r="Y12" s="47" t="str">
        <f t="shared" si="4"/>
        <v xml:space="preserve">       when X"000A" =&gt;  reg_legal_mode1 &lt;= DataIn;</v>
      </c>
    </row>
    <row r="13" spans="1:25" x14ac:dyDescent="0.25">
      <c r="A13" s="48" t="s">
        <v>189</v>
      </c>
      <c r="B13" s="44">
        <f t="shared" si="5"/>
        <v>11</v>
      </c>
      <c r="C13" s="60" t="str">
        <f t="shared" si="0"/>
        <v>000B</v>
      </c>
      <c r="D13" s="27" t="s">
        <v>1</v>
      </c>
      <c r="E13" s="45" t="s">
        <v>260</v>
      </c>
      <c r="V13" s="47" t="str">
        <f t="shared" si="1"/>
        <v>const static uint16_t c_wreg_legal_mode2 = 0x003F;</v>
      </c>
      <c r="W13" s="47" t="str">
        <f t="shared" si="2"/>
        <v>reg_legal_mode2 &lt;= X"003F";</v>
      </c>
      <c r="X13" s="47" t="str">
        <f t="shared" si="3"/>
        <v xml:space="preserve">       when X"000B" =&gt; DataOut &lt;= reg_legal_mode2;</v>
      </c>
      <c r="Y13" s="47" t="str">
        <f t="shared" si="4"/>
        <v xml:space="preserve">       when X"000B" =&gt;  reg_legal_mode2 &lt;= DataIn;</v>
      </c>
    </row>
    <row r="14" spans="1:25" x14ac:dyDescent="0.25">
      <c r="A14" s="48" t="s">
        <v>22</v>
      </c>
      <c r="B14" s="44">
        <f t="shared" si="5"/>
        <v>12</v>
      </c>
      <c r="C14" s="60" t="str">
        <f t="shared" si="0"/>
        <v>000C</v>
      </c>
      <c r="D14" s="27" t="s">
        <v>1</v>
      </c>
      <c r="E14" s="45" t="s">
        <v>239</v>
      </c>
      <c r="V14" s="47" t="str">
        <f t="shared" si="1"/>
        <v>const static uint16_t c_wreg_err_inj_control = 0x0000;</v>
      </c>
      <c r="W14" s="47" t="str">
        <f t="shared" si="2"/>
        <v>reg_err_inj_control &lt;= X"0000";</v>
      </c>
      <c r="X14" s="47" t="str">
        <f t="shared" si="3"/>
        <v xml:space="preserve">       when X"000C" =&gt; DataOut &lt;= reg_err_inj_control;</v>
      </c>
      <c r="Y14" s="47" t="str">
        <f t="shared" si="4"/>
        <v xml:space="preserve">       when X"000C" =&gt;  reg_err_inj_control &lt;= DataIn;</v>
      </c>
    </row>
    <row r="15" spans="1:25" x14ac:dyDescent="0.25">
      <c r="A15" s="48" t="s">
        <v>23</v>
      </c>
      <c r="B15" s="44">
        <f t="shared" si="5"/>
        <v>13</v>
      </c>
      <c r="C15" s="60" t="str">
        <f t="shared" si="0"/>
        <v>000D</v>
      </c>
      <c r="D15" s="27" t="s">
        <v>1</v>
      </c>
      <c r="E15" s="45" t="s">
        <v>239</v>
      </c>
      <c r="F15" s="27"/>
      <c r="H15" s="27"/>
      <c r="I15" s="27"/>
      <c r="J15" s="27"/>
      <c r="K15" s="27"/>
      <c r="L15" s="27"/>
      <c r="V15" s="47" t="str">
        <f t="shared" si="1"/>
        <v>const static uint16_t c_wreg_err_inj_data = 0x0000;</v>
      </c>
      <c r="W15" s="47" t="str">
        <f t="shared" si="2"/>
        <v>reg_err_inj_data &lt;= X"0000";</v>
      </c>
      <c r="X15" s="47" t="str">
        <f t="shared" si="3"/>
        <v xml:space="preserve">       when X"000D" =&gt; DataOut &lt;= reg_err_inj_data;</v>
      </c>
      <c r="Y15" s="47" t="str">
        <f t="shared" si="4"/>
        <v xml:space="preserve">       when X"000D" =&gt;  reg_err_inj_data &lt;= DataIn;</v>
      </c>
    </row>
    <row r="16" spans="1:25" x14ac:dyDescent="0.25">
      <c r="A16" s="48" t="s">
        <v>271</v>
      </c>
      <c r="B16" s="44">
        <f t="shared" si="5"/>
        <v>14</v>
      </c>
      <c r="C16" s="60" t="str">
        <f t="shared" si="0"/>
        <v>000E</v>
      </c>
      <c r="D16" s="27" t="s">
        <v>1</v>
      </c>
      <c r="E16" s="45" t="s">
        <v>239</v>
      </c>
      <c r="F16" s="27"/>
      <c r="H16" s="27"/>
      <c r="I16" s="27"/>
      <c r="J16" s="27"/>
      <c r="K16" s="27"/>
      <c r="L16" s="27"/>
      <c r="V16" s="47" t="str">
        <f t="shared" si="1"/>
        <v>const static uint16_t c_wreg_gID = 0x0000;</v>
      </c>
      <c r="W16" s="47" t="str">
        <f t="shared" si="2"/>
        <v>reg_gID &lt;= X"0000";</v>
      </c>
      <c r="X16" s="47" t="str">
        <f t="shared" si="3"/>
        <v xml:space="preserve">       when X"000E" =&gt; DataOut &lt;= reg_gID;</v>
      </c>
      <c r="Y16" s="47" t="str">
        <f t="shared" si="4"/>
        <v xml:space="preserve">       when X"000E" =&gt;  reg_gID &lt;= DataIn;</v>
      </c>
    </row>
    <row r="17" spans="1:25" s="51" customFormat="1" ht="15.75" thickBot="1" x14ac:dyDescent="0.3">
      <c r="A17" s="58" t="s">
        <v>272</v>
      </c>
      <c r="B17" s="49">
        <f t="shared" si="5"/>
        <v>15</v>
      </c>
      <c r="C17" s="70" t="str">
        <f t="shared" si="0"/>
        <v>000F</v>
      </c>
      <c r="D17" s="51" t="s">
        <v>2</v>
      </c>
      <c r="E17" s="59" t="s">
        <v>239</v>
      </c>
      <c r="G17" s="59"/>
      <c r="M17" s="59"/>
      <c r="N17" s="59"/>
      <c r="O17" s="59"/>
      <c r="P17" s="59"/>
      <c r="Q17" s="59"/>
      <c r="R17" s="59"/>
      <c r="S17" s="59"/>
      <c r="T17" s="59"/>
      <c r="U17" s="59"/>
      <c r="V17" s="71" t="str">
        <f t="shared" si="1"/>
        <v>const static uint16_t c_wreg_fw_version = 0x0000;</v>
      </c>
      <c r="W17" s="71" t="str">
        <f t="shared" si="2"/>
        <v>reg_fw_version &lt;= X"0000";</v>
      </c>
      <c r="X17" s="71" t="str">
        <f t="shared" si="3"/>
        <v xml:space="preserve">       when X"000F" =&gt; DataOut &lt;= reg_fw_version;</v>
      </c>
      <c r="Y17" s="71" t="str">
        <f t="shared" si="4"/>
        <v xml:space="preserve">       when X"000F" =&gt;  reg_fw_version &lt;= DataIn;</v>
      </c>
    </row>
    <row r="18" spans="1:25" s="56" customFormat="1" ht="15.75" thickBot="1" x14ac:dyDescent="0.3">
      <c r="A18" s="54" t="s">
        <v>233</v>
      </c>
      <c r="B18" s="55">
        <v>16</v>
      </c>
      <c r="C18" s="55" t="str">
        <f t="shared" si="0"/>
        <v>0010</v>
      </c>
      <c r="D18" s="56" t="s">
        <v>2</v>
      </c>
      <c r="E18" s="57" t="s">
        <v>239</v>
      </c>
      <c r="F18" s="56" t="s">
        <v>219</v>
      </c>
      <c r="G18" s="57" t="s">
        <v>220</v>
      </c>
      <c r="H18" s="56" t="s">
        <v>221</v>
      </c>
      <c r="I18" s="56" t="s">
        <v>222</v>
      </c>
      <c r="J18" s="56" t="s">
        <v>223</v>
      </c>
      <c r="K18" s="56" t="s">
        <v>224</v>
      </c>
      <c r="L18" s="56" t="s">
        <v>225</v>
      </c>
      <c r="M18" s="57" t="s">
        <v>226</v>
      </c>
      <c r="N18" s="57" t="s">
        <v>227</v>
      </c>
      <c r="O18" s="57" t="s">
        <v>227</v>
      </c>
      <c r="P18" s="57" t="s">
        <v>227</v>
      </c>
      <c r="Q18" s="57" t="s">
        <v>228</v>
      </c>
      <c r="R18" s="57" t="s">
        <v>229</v>
      </c>
      <c r="S18" s="57" t="s">
        <v>230</v>
      </c>
      <c r="T18" s="57" t="s">
        <v>231</v>
      </c>
      <c r="U18" s="57" t="s">
        <v>232</v>
      </c>
      <c r="V18" s="56" t="str">
        <f t="shared" si="1"/>
        <v>const static uint16_t c_wreg_status_rxed1 = 0x0000;</v>
      </c>
      <c r="W18" s="56" t="str">
        <f t="shared" si="2"/>
        <v>reg_status_rxed1 &lt;= X"0000";</v>
      </c>
      <c r="X18" s="56" t="str">
        <f t="shared" si="3"/>
        <v xml:space="preserve">       when X"0010" =&gt; DataOut &lt;= reg_status_rxed1;</v>
      </c>
      <c r="Y18" s="56" t="str">
        <f t="shared" si="4"/>
        <v xml:space="preserve">       when X"0010" =&gt;  reg_status_rxed1 &lt;= DataIn;</v>
      </c>
    </row>
    <row r="19" spans="1:25" x14ac:dyDescent="0.25">
      <c r="A19" s="48" t="s">
        <v>234</v>
      </c>
      <c r="B19" s="44">
        <f t="shared" si="5"/>
        <v>17</v>
      </c>
      <c r="C19" s="60" t="str">
        <f t="shared" si="0"/>
        <v>0011</v>
      </c>
      <c r="D19" s="47" t="s">
        <v>2</v>
      </c>
      <c r="E19" s="57" t="s">
        <v>239</v>
      </c>
      <c r="F19" s="27"/>
      <c r="H19" s="27"/>
      <c r="I19" s="27"/>
      <c r="J19" s="27"/>
      <c r="K19" s="27"/>
      <c r="L19" s="27"/>
      <c r="V19" s="47" t="str">
        <f t="shared" si="1"/>
        <v>const static uint16_t c_wreg_mode_cmd_rxed1 = 0x0000;</v>
      </c>
      <c r="W19" s="47" t="str">
        <f t="shared" si="2"/>
        <v>reg_mode_cmd_rxed1 &lt;= X"0000";</v>
      </c>
      <c r="X19" s="47" t="str">
        <f t="shared" si="3"/>
        <v xml:space="preserve">       when X"0011" =&gt; DataOut &lt;= reg_mode_cmd_rxed1;</v>
      </c>
      <c r="Y19" s="47" t="str">
        <f t="shared" si="4"/>
        <v xml:space="preserve">       when X"0011" =&gt;  reg_mode_cmd_rxed1 &lt;= DataIn;</v>
      </c>
    </row>
    <row r="20" spans="1:25" x14ac:dyDescent="0.25">
      <c r="A20" s="48" t="s">
        <v>235</v>
      </c>
      <c r="B20" s="44">
        <f t="shared" si="5"/>
        <v>18</v>
      </c>
      <c r="C20" s="60" t="str">
        <f t="shared" si="0"/>
        <v>0012</v>
      </c>
      <c r="D20" s="47" t="s">
        <v>2</v>
      </c>
      <c r="E20" s="45" t="s">
        <v>239</v>
      </c>
      <c r="F20" s="27"/>
      <c r="H20" s="27"/>
      <c r="I20" s="27"/>
      <c r="J20" s="27"/>
      <c r="K20" s="27"/>
      <c r="L20" s="27"/>
      <c r="V20" s="47" t="str">
        <f t="shared" si="1"/>
        <v>const static uint16_t c_wreg_mode_data_rxed1 = 0x0000;</v>
      </c>
      <c r="W20" s="47" t="str">
        <f t="shared" si="2"/>
        <v>reg_mode_data_rxed1 &lt;= X"0000";</v>
      </c>
      <c r="X20" s="47" t="str">
        <f t="shared" si="3"/>
        <v xml:space="preserve">       when X"0012" =&gt; DataOut &lt;= reg_mode_data_rxed1;</v>
      </c>
      <c r="Y20" s="47" t="str">
        <f t="shared" si="4"/>
        <v xml:space="preserve">       when X"0012" =&gt;  reg_mode_data_rxed1 &lt;= DataIn;</v>
      </c>
    </row>
    <row r="21" spans="1:25" x14ac:dyDescent="0.25">
      <c r="A21" s="48" t="s">
        <v>217</v>
      </c>
      <c r="B21" s="44">
        <f t="shared" si="5"/>
        <v>19</v>
      </c>
      <c r="C21" s="60" t="str">
        <f t="shared" si="0"/>
        <v>0013</v>
      </c>
      <c r="D21" s="47" t="s">
        <v>2</v>
      </c>
      <c r="E21" s="45" t="s">
        <v>239</v>
      </c>
      <c r="F21" s="27"/>
      <c r="H21" s="27"/>
      <c r="I21" s="23" t="s">
        <v>218</v>
      </c>
      <c r="J21" s="23" t="s">
        <v>210</v>
      </c>
      <c r="K21" s="23" t="s">
        <v>202</v>
      </c>
      <c r="L21" s="23" t="s">
        <v>204</v>
      </c>
      <c r="M21" s="23" t="s">
        <v>206</v>
      </c>
      <c r="V21" s="47" t="str">
        <f t="shared" si="1"/>
        <v>const static uint16_t c_wreg_rx_cmd = 0x0000;</v>
      </c>
      <c r="W21" s="47" t="str">
        <f t="shared" si="2"/>
        <v>reg_rx_cmd &lt;= X"0000";</v>
      </c>
      <c r="X21" s="47" t="str">
        <f t="shared" si="3"/>
        <v xml:space="preserve">       when X"0013" =&gt; DataOut &lt;= reg_rx_cmd;</v>
      </c>
      <c r="Y21" s="47" t="str">
        <f t="shared" si="4"/>
        <v xml:space="preserve">       when X"0013" =&gt;  reg_rx_cmd &lt;= DataIn;</v>
      </c>
    </row>
    <row r="22" spans="1:25" x14ac:dyDescent="0.25">
      <c r="A22" s="48" t="s">
        <v>211</v>
      </c>
      <c r="B22" s="44">
        <f t="shared" si="5"/>
        <v>20</v>
      </c>
      <c r="C22" s="60" t="str">
        <f t="shared" si="0"/>
        <v>0014</v>
      </c>
      <c r="D22" s="27" t="s">
        <v>1</v>
      </c>
      <c r="E22" s="45" t="s">
        <v>239</v>
      </c>
      <c r="F22" s="23" t="s">
        <v>123</v>
      </c>
      <c r="G22" s="23" t="s">
        <v>124</v>
      </c>
      <c r="H22" s="23" t="s">
        <v>193</v>
      </c>
      <c r="I22" s="23" t="s">
        <v>203</v>
      </c>
      <c r="R22" s="81"/>
      <c r="S22" s="81"/>
      <c r="T22" s="81"/>
      <c r="U22" s="25"/>
      <c r="V22" s="47" t="str">
        <f t="shared" si="1"/>
        <v>const static uint16_t c_wreg_tx_control1 = 0x0000;</v>
      </c>
      <c r="W22" s="47" t="str">
        <f t="shared" si="2"/>
        <v>reg_tx_control1 &lt;= X"0000";</v>
      </c>
      <c r="X22" s="47" t="str">
        <f t="shared" si="3"/>
        <v xml:space="preserve">       when X"0014" =&gt; DataOut &lt;= reg_tx_control1;</v>
      </c>
      <c r="Y22" s="47" t="str">
        <f t="shared" si="4"/>
        <v xml:space="preserve">       when X"0014" =&gt;  reg_tx_control1 &lt;= DataIn;</v>
      </c>
    </row>
    <row r="23" spans="1:25" x14ac:dyDescent="0.25">
      <c r="A23" s="48" t="s">
        <v>212</v>
      </c>
      <c r="B23" s="44">
        <f t="shared" si="5"/>
        <v>21</v>
      </c>
      <c r="C23" s="60" t="str">
        <f t="shared" si="0"/>
        <v>0015</v>
      </c>
      <c r="D23" s="27" t="s">
        <v>1</v>
      </c>
      <c r="E23" s="45" t="s">
        <v>239</v>
      </c>
      <c r="F23" s="23"/>
      <c r="G23" s="23"/>
      <c r="H23" s="23"/>
      <c r="I23" s="23"/>
      <c r="J23" s="23"/>
      <c r="K23" s="23"/>
      <c r="L23" s="23"/>
      <c r="M23" s="23"/>
      <c r="N23" s="23"/>
      <c r="O23" s="23"/>
      <c r="P23" s="23"/>
      <c r="Q23" s="23"/>
      <c r="S23" s="25"/>
      <c r="T23" s="25"/>
      <c r="U23" s="25"/>
      <c r="V23" s="47" t="str">
        <f t="shared" si="1"/>
        <v>const static uint16_t c_wreg_cmd_proc_start1 = 0x0000;</v>
      </c>
      <c r="W23" s="47" t="str">
        <f t="shared" si="2"/>
        <v>reg_cmd_proc_start1 &lt;= X"0000";</v>
      </c>
      <c r="X23" s="47" t="str">
        <f t="shared" si="3"/>
        <v xml:space="preserve">       when X"0015" =&gt; DataOut &lt;= reg_cmd_proc_start1;</v>
      </c>
      <c r="Y23" s="47" t="str">
        <f t="shared" si="4"/>
        <v xml:space="preserve">       when X"0015" =&gt;  reg_cmd_proc_start1 &lt;= DataIn;</v>
      </c>
    </row>
    <row r="24" spans="1:25" x14ac:dyDescent="0.25">
      <c r="A24" s="48" t="s">
        <v>213</v>
      </c>
      <c r="B24" s="44">
        <f t="shared" si="5"/>
        <v>22</v>
      </c>
      <c r="C24" s="60" t="str">
        <f t="shared" si="0"/>
        <v>0016</v>
      </c>
      <c r="D24" s="27" t="s">
        <v>1</v>
      </c>
      <c r="E24" s="45" t="s">
        <v>239</v>
      </c>
      <c r="V24" s="47" t="str">
        <f t="shared" si="1"/>
        <v>const static uint16_t c_wreg_cmd_proc_length1 = 0x0000;</v>
      </c>
      <c r="W24" s="47" t="str">
        <f t="shared" si="2"/>
        <v>reg_cmd_proc_length1 &lt;= X"0000";</v>
      </c>
      <c r="X24" s="47" t="str">
        <f t="shared" si="3"/>
        <v xml:space="preserve">       when X"0016" =&gt; DataOut &lt;= reg_cmd_proc_length1;</v>
      </c>
      <c r="Y24" s="47" t="str">
        <f t="shared" si="4"/>
        <v xml:space="preserve">       when X"0016" =&gt;  reg_cmd_proc_length1 &lt;= DataIn;</v>
      </c>
    </row>
    <row r="25" spans="1:25" x14ac:dyDescent="0.25">
      <c r="A25" s="48" t="s">
        <v>241</v>
      </c>
      <c r="B25" s="44">
        <f t="shared" si="5"/>
        <v>23</v>
      </c>
      <c r="C25" s="60" t="str">
        <f t="shared" si="0"/>
        <v>0017</v>
      </c>
      <c r="E25" s="45" t="s">
        <v>239</v>
      </c>
      <c r="R25" s="25"/>
      <c r="S25" s="25"/>
      <c r="T25" s="25"/>
      <c r="U25" s="25"/>
      <c r="V25" s="47" t="str">
        <f t="shared" si="1"/>
        <v>const static uint16_t c_wreg_23 = 0x0000;</v>
      </c>
      <c r="W25" s="47" t="str">
        <f t="shared" si="2"/>
        <v>reg_23 &lt;= X"0000";</v>
      </c>
      <c r="X25" s="47" t="str">
        <f t="shared" si="3"/>
        <v xml:space="preserve">       when X"0017" =&gt; DataOut &lt;= reg_23;</v>
      </c>
      <c r="Y25" s="47" t="str">
        <f t="shared" si="4"/>
        <v xml:space="preserve">       when X"0017" =&gt;  reg_23 &lt;= DataIn;</v>
      </c>
    </row>
    <row r="26" spans="1:25" x14ac:dyDescent="0.25">
      <c r="A26" s="48" t="s">
        <v>242</v>
      </c>
      <c r="B26" s="44">
        <f t="shared" si="5"/>
        <v>24</v>
      </c>
      <c r="C26" s="60" t="str">
        <f t="shared" si="0"/>
        <v>0018</v>
      </c>
      <c r="E26" s="45" t="s">
        <v>239</v>
      </c>
      <c r="V26" s="47" t="str">
        <f t="shared" si="1"/>
        <v>const static uint16_t c_wreg_24 = 0x0000;</v>
      </c>
      <c r="W26" s="47" t="str">
        <f t="shared" si="2"/>
        <v>reg_24 &lt;= X"0000";</v>
      </c>
      <c r="X26" s="47" t="str">
        <f t="shared" si="3"/>
        <v xml:space="preserve">       when X"0018" =&gt; DataOut &lt;= reg_24;</v>
      </c>
      <c r="Y26" s="47" t="str">
        <f t="shared" si="4"/>
        <v xml:space="preserve">       when X"0018" =&gt;  reg_24 &lt;= DataIn;</v>
      </c>
    </row>
    <row r="27" spans="1:25" x14ac:dyDescent="0.25">
      <c r="A27" s="48" t="s">
        <v>243</v>
      </c>
      <c r="B27" s="44">
        <f t="shared" si="5"/>
        <v>25</v>
      </c>
      <c r="C27" s="60" t="str">
        <f t="shared" si="0"/>
        <v>0019</v>
      </c>
      <c r="E27" s="45" t="s">
        <v>239</v>
      </c>
      <c r="V27" s="47" t="str">
        <f t="shared" si="1"/>
        <v>const static uint16_t c_wreg_25 = 0x0000;</v>
      </c>
      <c r="W27" s="47" t="str">
        <f t="shared" si="2"/>
        <v>reg_25 &lt;= X"0000";</v>
      </c>
      <c r="X27" s="47" t="str">
        <f t="shared" si="3"/>
        <v xml:space="preserve">       when X"0019" =&gt; DataOut &lt;= reg_25;</v>
      </c>
      <c r="Y27" s="47" t="str">
        <f t="shared" si="4"/>
        <v xml:space="preserve">       when X"0019" =&gt;  reg_25 &lt;= DataIn;</v>
      </c>
    </row>
    <row r="28" spans="1:25" x14ac:dyDescent="0.25">
      <c r="A28" s="48" t="s">
        <v>244</v>
      </c>
      <c r="B28" s="44">
        <f t="shared" si="5"/>
        <v>26</v>
      </c>
      <c r="C28" s="60" t="str">
        <f t="shared" si="0"/>
        <v>001A</v>
      </c>
      <c r="E28" s="45" t="s">
        <v>239</v>
      </c>
      <c r="V28" s="47" t="str">
        <f t="shared" si="1"/>
        <v>const static uint16_t c_wreg_26 = 0x0000;</v>
      </c>
      <c r="W28" s="47" t="str">
        <f t="shared" si="2"/>
        <v>reg_26 &lt;= X"0000";</v>
      </c>
      <c r="X28" s="47" t="str">
        <f t="shared" si="3"/>
        <v xml:space="preserve">       when X"001A" =&gt; DataOut &lt;= reg_26;</v>
      </c>
      <c r="Y28" s="47" t="str">
        <f t="shared" si="4"/>
        <v xml:space="preserve">       when X"001A" =&gt;  reg_26 &lt;= DataIn;</v>
      </c>
    </row>
    <row r="29" spans="1:25" s="52" customFormat="1" x14ac:dyDescent="0.25">
      <c r="A29" s="48" t="s">
        <v>245</v>
      </c>
      <c r="B29" s="44">
        <f t="shared" si="5"/>
        <v>27</v>
      </c>
      <c r="C29" s="60" t="str">
        <f t="shared" si="0"/>
        <v>001B</v>
      </c>
      <c r="E29" s="45" t="s">
        <v>239</v>
      </c>
      <c r="F29" s="53"/>
      <c r="G29" s="53"/>
      <c r="H29" s="53"/>
      <c r="I29" s="53"/>
      <c r="J29" s="53"/>
      <c r="K29" s="53"/>
      <c r="L29" s="53"/>
      <c r="M29" s="53"/>
      <c r="N29" s="53"/>
      <c r="O29" s="53"/>
      <c r="P29" s="53"/>
      <c r="Q29" s="53"/>
      <c r="R29" s="53"/>
      <c r="S29" s="53"/>
      <c r="T29" s="53"/>
      <c r="U29" s="53"/>
      <c r="V29" s="47" t="str">
        <f t="shared" si="1"/>
        <v>const static uint16_t c_wreg_27 = 0x0000;</v>
      </c>
      <c r="W29" s="47" t="str">
        <f t="shared" si="2"/>
        <v>reg_27 &lt;= X"0000";</v>
      </c>
      <c r="X29" s="47" t="str">
        <f t="shared" si="3"/>
        <v xml:space="preserve">       when X"001B" =&gt; DataOut &lt;= reg_27;</v>
      </c>
      <c r="Y29" s="47" t="str">
        <f t="shared" si="4"/>
        <v xml:space="preserve">       when X"001B" =&gt;  reg_27 &lt;= DataIn;</v>
      </c>
    </row>
    <row r="30" spans="1:25" s="52" customFormat="1" x14ac:dyDescent="0.25">
      <c r="A30" s="48" t="s">
        <v>253</v>
      </c>
      <c r="B30" s="44">
        <f t="shared" si="5"/>
        <v>28</v>
      </c>
      <c r="C30" s="60" t="str">
        <f t="shared" si="0"/>
        <v>001C</v>
      </c>
      <c r="E30" s="45" t="s">
        <v>239</v>
      </c>
      <c r="F30" s="53"/>
      <c r="G30" s="53"/>
      <c r="H30" s="53"/>
      <c r="I30" s="53"/>
      <c r="J30" s="53"/>
      <c r="K30" s="53"/>
      <c r="L30" s="53"/>
      <c r="M30" s="53"/>
      <c r="N30" s="53"/>
      <c r="O30" s="53"/>
      <c r="P30" s="53"/>
      <c r="Q30" s="53"/>
      <c r="R30" s="53"/>
      <c r="S30" s="53"/>
      <c r="T30" s="53"/>
      <c r="U30" s="53"/>
      <c r="V30" s="47" t="str">
        <f t="shared" si="1"/>
        <v>const static uint16_t c_wreg_28 = 0x0000;</v>
      </c>
      <c r="W30" s="47" t="str">
        <f t="shared" si="2"/>
        <v>reg_28 &lt;= X"0000";</v>
      </c>
      <c r="X30" s="47" t="str">
        <f t="shared" si="3"/>
        <v xml:space="preserve">       when X"001C" =&gt; DataOut &lt;= reg_28;</v>
      </c>
      <c r="Y30" s="47" t="str">
        <f t="shared" si="4"/>
        <v xml:space="preserve">       when X"001C" =&gt;  reg_28 &lt;= DataIn;</v>
      </c>
    </row>
    <row r="31" spans="1:25" s="52" customFormat="1" x14ac:dyDescent="0.25">
      <c r="A31" s="48" t="s">
        <v>254</v>
      </c>
      <c r="B31" s="44">
        <f t="shared" si="5"/>
        <v>29</v>
      </c>
      <c r="C31" s="60" t="str">
        <f t="shared" si="0"/>
        <v>001D</v>
      </c>
      <c r="E31" s="45" t="s">
        <v>239</v>
      </c>
      <c r="F31" s="53"/>
      <c r="G31" s="53"/>
      <c r="H31" s="53"/>
      <c r="I31" s="53"/>
      <c r="J31" s="53"/>
      <c r="K31" s="53"/>
      <c r="L31" s="53"/>
      <c r="M31" s="53"/>
      <c r="N31" s="53"/>
      <c r="O31" s="53"/>
      <c r="P31" s="53"/>
      <c r="Q31" s="53"/>
      <c r="R31" s="53"/>
      <c r="S31" s="53"/>
      <c r="T31" s="53"/>
      <c r="U31" s="53"/>
      <c r="V31" s="47" t="str">
        <f t="shared" si="1"/>
        <v>const static uint16_t c_wreg_29 = 0x0000;</v>
      </c>
      <c r="W31" s="47" t="str">
        <f t="shared" si="2"/>
        <v>reg_29 &lt;= X"0000";</v>
      </c>
      <c r="X31" s="47" t="str">
        <f t="shared" si="3"/>
        <v xml:space="preserve">       when X"001D" =&gt; DataOut &lt;= reg_29;</v>
      </c>
      <c r="Y31" s="47" t="str">
        <f t="shared" si="4"/>
        <v xml:space="preserve">       when X"001D" =&gt;  reg_29 &lt;= DataIn;</v>
      </c>
    </row>
    <row r="32" spans="1:25" s="52" customFormat="1" x14ac:dyDescent="0.25">
      <c r="A32" s="48" t="s">
        <v>336</v>
      </c>
      <c r="B32" s="44">
        <f t="shared" si="5"/>
        <v>30</v>
      </c>
      <c r="C32" s="60" t="str">
        <f t="shared" si="0"/>
        <v>001E</v>
      </c>
      <c r="E32" s="45" t="s">
        <v>239</v>
      </c>
      <c r="F32" s="53"/>
      <c r="G32" s="53"/>
      <c r="H32" s="53"/>
      <c r="I32" s="53"/>
      <c r="J32" s="53"/>
      <c r="K32" s="53"/>
      <c r="L32" s="53"/>
      <c r="M32" s="53"/>
      <c r="N32" s="53"/>
      <c r="O32" s="53"/>
      <c r="P32" s="53"/>
      <c r="Q32" s="53" t="s">
        <v>344</v>
      </c>
      <c r="R32" s="53" t="s">
        <v>343</v>
      </c>
      <c r="S32" s="53" t="s">
        <v>342</v>
      </c>
      <c r="T32" s="53" t="s">
        <v>341</v>
      </c>
      <c r="U32" s="53" t="s">
        <v>340</v>
      </c>
      <c r="V32" s="47" t="str">
        <f t="shared" si="1"/>
        <v>const static uint16_t c_wreg_bus1_status = 0x0000;</v>
      </c>
      <c r="W32" s="47" t="str">
        <f t="shared" si="2"/>
        <v>reg_bus1_status &lt;= X"0000";</v>
      </c>
      <c r="X32" s="47" t="str">
        <f t="shared" si="3"/>
        <v xml:space="preserve">       when X"001E" =&gt; DataOut &lt;= reg_bus1_status;</v>
      </c>
      <c r="Y32" s="47" t="str">
        <f t="shared" si="4"/>
        <v xml:space="preserve">       when X"001E" =&gt;  reg_bus1_status &lt;= DataIn;</v>
      </c>
    </row>
    <row r="33" spans="1:25" s="51" customFormat="1" ht="15.75" thickBot="1" x14ac:dyDescent="0.3">
      <c r="A33" s="58" t="s">
        <v>337</v>
      </c>
      <c r="B33" s="49">
        <f t="shared" si="5"/>
        <v>31</v>
      </c>
      <c r="C33" s="70" t="str">
        <f t="shared" si="0"/>
        <v>001F</v>
      </c>
      <c r="E33" s="72" t="s">
        <v>239</v>
      </c>
      <c r="F33" s="59"/>
      <c r="G33" s="59"/>
      <c r="H33" s="59"/>
      <c r="I33" s="59"/>
      <c r="J33" s="59"/>
      <c r="K33" s="59"/>
      <c r="L33" s="59"/>
      <c r="M33" s="59"/>
      <c r="N33" s="59"/>
      <c r="O33" s="59"/>
      <c r="P33" s="59"/>
      <c r="Q33" s="53" t="s">
        <v>344</v>
      </c>
      <c r="R33" s="59" t="s">
        <v>343</v>
      </c>
      <c r="S33" s="59" t="s">
        <v>342</v>
      </c>
      <c r="T33" s="59" t="s">
        <v>341</v>
      </c>
      <c r="U33" s="59" t="s">
        <v>340</v>
      </c>
      <c r="V33" s="71" t="str">
        <f t="shared" si="1"/>
        <v>const static uint16_t c_wreg_bus1_mask = 0x0000;</v>
      </c>
      <c r="W33" s="71" t="str">
        <f t="shared" si="2"/>
        <v>reg_bus1_mask &lt;= X"0000";</v>
      </c>
      <c r="X33" s="71" t="str">
        <f t="shared" si="3"/>
        <v xml:space="preserve">       when X"001F" =&gt; DataOut &lt;= reg_bus1_mask;</v>
      </c>
      <c r="Y33" s="71" t="str">
        <f t="shared" si="4"/>
        <v xml:space="preserve">       when X"001F" =&gt;  reg_bus1_mask &lt;= DataIn;</v>
      </c>
    </row>
    <row r="34" spans="1:25" s="56" customFormat="1" x14ac:dyDescent="0.25">
      <c r="A34" s="54" t="s">
        <v>261</v>
      </c>
      <c r="B34" s="55">
        <v>32</v>
      </c>
      <c r="C34" s="55" t="str">
        <f t="shared" si="0"/>
        <v>0020</v>
      </c>
      <c r="D34" s="56" t="s">
        <v>2</v>
      </c>
      <c r="E34" s="57" t="s">
        <v>239</v>
      </c>
      <c r="F34" s="56" t="s">
        <v>219</v>
      </c>
      <c r="G34" s="57" t="s">
        <v>220</v>
      </c>
      <c r="H34" s="56" t="s">
        <v>221</v>
      </c>
      <c r="I34" s="56" t="s">
        <v>222</v>
      </c>
      <c r="J34" s="56" t="s">
        <v>223</v>
      </c>
      <c r="K34" s="56" t="s">
        <v>224</v>
      </c>
      <c r="L34" s="56" t="s">
        <v>225</v>
      </c>
      <c r="M34" s="57" t="s">
        <v>226</v>
      </c>
      <c r="N34" s="57" t="s">
        <v>227</v>
      </c>
      <c r="O34" s="57" t="s">
        <v>227</v>
      </c>
      <c r="P34" s="57" t="s">
        <v>227</v>
      </c>
      <c r="Q34" s="57" t="s">
        <v>228</v>
      </c>
      <c r="R34" s="57" t="s">
        <v>229</v>
      </c>
      <c r="S34" s="57" t="s">
        <v>230</v>
      </c>
      <c r="T34" s="57" t="s">
        <v>231</v>
      </c>
      <c r="U34" s="57" t="s">
        <v>232</v>
      </c>
      <c r="V34" s="56" t="str">
        <f t="shared" si="1"/>
        <v>const static uint16_t c_wreg_status_rxed2 = 0x0000;</v>
      </c>
      <c r="W34" s="56" t="str">
        <f t="shared" si="2"/>
        <v>reg_status_rxed2 &lt;= X"0000";</v>
      </c>
      <c r="X34" s="56" t="str">
        <f t="shared" si="3"/>
        <v xml:space="preserve">       when X"0020" =&gt; DataOut &lt;= reg_status_rxed2;</v>
      </c>
      <c r="Y34" s="56" t="str">
        <f t="shared" si="4"/>
        <v xml:space="preserve">       when X"0020" =&gt;  reg_status_rxed2 &lt;= DataIn;</v>
      </c>
    </row>
    <row r="35" spans="1:25" x14ac:dyDescent="0.25">
      <c r="A35" s="48" t="s">
        <v>262</v>
      </c>
      <c r="B35" s="44">
        <f t="shared" si="5"/>
        <v>33</v>
      </c>
      <c r="C35" s="60" t="str">
        <f t="shared" si="0"/>
        <v>0021</v>
      </c>
      <c r="D35" s="47" t="s">
        <v>2</v>
      </c>
      <c r="E35" s="45" t="s">
        <v>239</v>
      </c>
      <c r="F35" s="27"/>
      <c r="H35" s="27"/>
      <c r="I35" s="27"/>
      <c r="J35" s="27"/>
      <c r="K35" s="27"/>
      <c r="L35" s="27"/>
      <c r="V35" s="47" t="str">
        <f t="shared" si="1"/>
        <v>const static uint16_t c_wreg_mode_cmd_rxed2 = 0x0000;</v>
      </c>
      <c r="W35" s="47" t="str">
        <f t="shared" si="2"/>
        <v>reg_mode_cmd_rxed2 &lt;= X"0000";</v>
      </c>
      <c r="X35" s="47" t="str">
        <f t="shared" si="3"/>
        <v xml:space="preserve">       when X"0021" =&gt; DataOut &lt;= reg_mode_cmd_rxed2;</v>
      </c>
      <c r="Y35" s="47" t="str">
        <f t="shared" si="4"/>
        <v xml:space="preserve">       when X"0021" =&gt;  reg_mode_cmd_rxed2 &lt;= DataIn;</v>
      </c>
    </row>
    <row r="36" spans="1:25" x14ac:dyDescent="0.25">
      <c r="A36" s="48" t="s">
        <v>263</v>
      </c>
      <c r="B36" s="44">
        <f t="shared" si="5"/>
        <v>34</v>
      </c>
      <c r="C36" s="60" t="str">
        <f t="shared" si="0"/>
        <v>0022</v>
      </c>
      <c r="D36" s="47" t="s">
        <v>2</v>
      </c>
      <c r="E36" s="45" t="s">
        <v>239</v>
      </c>
      <c r="F36" s="27"/>
      <c r="H36" s="27"/>
      <c r="I36" s="27"/>
      <c r="J36" s="27"/>
      <c r="K36" s="27"/>
      <c r="L36" s="27"/>
      <c r="V36" s="47" t="str">
        <f t="shared" si="1"/>
        <v>const static uint16_t c_wreg_mode_data_rxed2 = 0x0000;</v>
      </c>
      <c r="W36" s="47" t="str">
        <f t="shared" si="2"/>
        <v>reg_mode_data_rxed2 &lt;= X"0000";</v>
      </c>
      <c r="X36" s="47" t="str">
        <f t="shared" si="3"/>
        <v xml:space="preserve">       when X"0022" =&gt; DataOut &lt;= reg_mode_data_rxed2;</v>
      </c>
      <c r="Y36" s="47" t="str">
        <f t="shared" si="4"/>
        <v xml:space="preserve">       when X"0022" =&gt;  reg_mode_data_rxed2 &lt;= DataIn;</v>
      </c>
    </row>
    <row r="37" spans="1:25" x14ac:dyDescent="0.25">
      <c r="A37" s="48" t="s">
        <v>264</v>
      </c>
      <c r="B37" s="44">
        <f t="shared" si="5"/>
        <v>35</v>
      </c>
      <c r="C37" s="60" t="str">
        <f t="shared" si="0"/>
        <v>0023</v>
      </c>
      <c r="D37" s="47" t="s">
        <v>2</v>
      </c>
      <c r="E37" s="45" t="s">
        <v>239</v>
      </c>
      <c r="F37" s="27"/>
      <c r="H37" s="27"/>
      <c r="I37" s="23" t="s">
        <v>218</v>
      </c>
      <c r="J37" s="23" t="s">
        <v>210</v>
      </c>
      <c r="K37" s="23" t="s">
        <v>202</v>
      </c>
      <c r="L37" s="23" t="s">
        <v>204</v>
      </c>
      <c r="M37" s="23" t="s">
        <v>206</v>
      </c>
      <c r="V37" s="47" t="str">
        <f t="shared" si="1"/>
        <v>const static uint16_t c_wreg_rx_cmd2 = 0x0000;</v>
      </c>
      <c r="W37" s="47" t="str">
        <f t="shared" si="2"/>
        <v>reg_rx_cmd2 &lt;= X"0000";</v>
      </c>
      <c r="X37" s="47" t="str">
        <f t="shared" si="3"/>
        <v xml:space="preserve">       when X"0023" =&gt; DataOut &lt;= reg_rx_cmd2;</v>
      </c>
      <c r="Y37" s="47" t="str">
        <f t="shared" si="4"/>
        <v xml:space="preserve">       when X"0023" =&gt;  reg_rx_cmd2 &lt;= DataIn;</v>
      </c>
    </row>
    <row r="38" spans="1:25" x14ac:dyDescent="0.25">
      <c r="A38" s="48" t="s">
        <v>265</v>
      </c>
      <c r="B38" s="44">
        <f t="shared" si="5"/>
        <v>36</v>
      </c>
      <c r="C38" s="60" t="str">
        <f t="shared" si="0"/>
        <v>0024</v>
      </c>
      <c r="D38" s="27" t="s">
        <v>1</v>
      </c>
      <c r="E38" s="45" t="s">
        <v>239</v>
      </c>
      <c r="F38" s="23" t="s">
        <v>123</v>
      </c>
      <c r="G38" s="23" t="s">
        <v>124</v>
      </c>
      <c r="H38" s="23" t="s">
        <v>193</v>
      </c>
      <c r="I38" s="23" t="s">
        <v>203</v>
      </c>
      <c r="R38" s="81"/>
      <c r="S38" s="81"/>
      <c r="T38" s="81"/>
      <c r="U38" s="25"/>
      <c r="V38" s="47" t="str">
        <f t="shared" si="1"/>
        <v>const static uint16_t c_wreg_tx_control2 = 0x0000;</v>
      </c>
      <c r="W38" s="47" t="str">
        <f t="shared" si="2"/>
        <v>reg_tx_control2 &lt;= X"0000";</v>
      </c>
      <c r="X38" s="47" t="str">
        <f t="shared" si="3"/>
        <v xml:space="preserve">       when X"0024" =&gt; DataOut &lt;= reg_tx_control2;</v>
      </c>
      <c r="Y38" s="47" t="str">
        <f t="shared" si="4"/>
        <v xml:space="preserve">       when X"0024" =&gt;  reg_tx_control2 &lt;= DataIn;</v>
      </c>
    </row>
    <row r="39" spans="1:25" x14ac:dyDescent="0.25">
      <c r="A39" s="48" t="s">
        <v>266</v>
      </c>
      <c r="B39" s="44">
        <f t="shared" si="5"/>
        <v>37</v>
      </c>
      <c r="C39" s="60" t="str">
        <f t="shared" si="0"/>
        <v>0025</v>
      </c>
      <c r="D39" s="27" t="s">
        <v>1</v>
      </c>
      <c r="E39" s="45" t="s">
        <v>239</v>
      </c>
      <c r="F39" s="23"/>
      <c r="G39" s="23"/>
      <c r="H39" s="23"/>
      <c r="I39" s="23"/>
      <c r="J39" s="23"/>
      <c r="K39" s="23"/>
      <c r="L39" s="23"/>
      <c r="M39" s="23"/>
      <c r="N39" s="23"/>
      <c r="O39" s="23"/>
      <c r="P39" s="23"/>
      <c r="Q39" s="23"/>
      <c r="S39" s="25"/>
      <c r="T39" s="25"/>
      <c r="U39" s="25"/>
      <c r="V39" s="47" t="str">
        <f t="shared" si="1"/>
        <v>const static uint16_t c_wreg_cmd_proc_start2 = 0x0000;</v>
      </c>
      <c r="W39" s="47" t="str">
        <f t="shared" si="2"/>
        <v>reg_cmd_proc_start2 &lt;= X"0000";</v>
      </c>
      <c r="X39" s="47" t="str">
        <f t="shared" si="3"/>
        <v xml:space="preserve">       when X"0025" =&gt; DataOut &lt;= reg_cmd_proc_start2;</v>
      </c>
      <c r="Y39" s="47" t="str">
        <f t="shared" si="4"/>
        <v xml:space="preserve">       when X"0025" =&gt;  reg_cmd_proc_start2 &lt;= DataIn;</v>
      </c>
    </row>
    <row r="40" spans="1:25" x14ac:dyDescent="0.25">
      <c r="A40" s="48" t="s">
        <v>267</v>
      </c>
      <c r="B40" s="44">
        <f t="shared" si="5"/>
        <v>38</v>
      </c>
      <c r="C40" s="60" t="str">
        <f t="shared" si="0"/>
        <v>0026</v>
      </c>
      <c r="D40" s="27" t="s">
        <v>1</v>
      </c>
      <c r="E40" s="45" t="s">
        <v>239</v>
      </c>
      <c r="V40" s="47" t="str">
        <f t="shared" si="1"/>
        <v>const static uint16_t c_wreg_cmd_proc_length2 = 0x0000;</v>
      </c>
      <c r="W40" s="47" t="str">
        <f t="shared" si="2"/>
        <v>reg_cmd_proc_length2 &lt;= X"0000";</v>
      </c>
      <c r="X40" s="47" t="str">
        <f t="shared" si="3"/>
        <v xml:space="preserve">       when X"0026" =&gt; DataOut &lt;= reg_cmd_proc_length2;</v>
      </c>
      <c r="Y40" s="47" t="str">
        <f t="shared" si="4"/>
        <v xml:space="preserve">       when X"0026" =&gt;  reg_cmd_proc_length2 &lt;= DataIn;</v>
      </c>
    </row>
    <row r="41" spans="1:25" x14ac:dyDescent="0.25">
      <c r="A41" s="48" t="s">
        <v>246</v>
      </c>
      <c r="B41" s="44">
        <f t="shared" si="5"/>
        <v>39</v>
      </c>
      <c r="C41" s="60" t="str">
        <f t="shared" si="0"/>
        <v>0027</v>
      </c>
      <c r="E41" s="45" t="s">
        <v>239</v>
      </c>
      <c r="V41" s="47" t="str">
        <f t="shared" si="1"/>
        <v>const static uint16_t c_wreg_39 = 0x0000;</v>
      </c>
      <c r="W41" s="47" t="str">
        <f t="shared" si="2"/>
        <v>reg_39 &lt;= X"0000";</v>
      </c>
      <c r="X41" s="47" t="str">
        <f t="shared" si="3"/>
        <v xml:space="preserve">       when X"0027" =&gt; DataOut &lt;= reg_39;</v>
      </c>
      <c r="Y41" s="47" t="str">
        <f t="shared" si="4"/>
        <v xml:space="preserve">       when X"0027" =&gt;  reg_39 &lt;= DataIn;</v>
      </c>
    </row>
    <row r="42" spans="1:25" x14ac:dyDescent="0.25">
      <c r="A42" s="48" t="s">
        <v>247</v>
      </c>
      <c r="B42" s="44">
        <f t="shared" si="5"/>
        <v>40</v>
      </c>
      <c r="C42" s="60" t="str">
        <f t="shared" si="0"/>
        <v>0028</v>
      </c>
      <c r="E42" s="45" t="s">
        <v>239</v>
      </c>
      <c r="V42" s="47" t="str">
        <f t="shared" si="1"/>
        <v>const static uint16_t c_wreg_40 = 0x0000;</v>
      </c>
      <c r="W42" s="47" t="str">
        <f t="shared" si="2"/>
        <v>reg_40 &lt;= X"0000";</v>
      </c>
      <c r="X42" s="47" t="str">
        <f t="shared" si="3"/>
        <v xml:space="preserve">       when X"0028" =&gt; DataOut &lt;= reg_40;</v>
      </c>
      <c r="Y42" s="47" t="str">
        <f t="shared" si="4"/>
        <v xml:space="preserve">       when X"0028" =&gt;  reg_40 &lt;= DataIn;</v>
      </c>
    </row>
    <row r="43" spans="1:25" x14ac:dyDescent="0.25">
      <c r="A43" s="48" t="s">
        <v>248</v>
      </c>
      <c r="B43" s="44">
        <f t="shared" si="5"/>
        <v>41</v>
      </c>
      <c r="C43" s="60" t="str">
        <f t="shared" si="0"/>
        <v>0029</v>
      </c>
      <c r="E43" s="45" t="s">
        <v>239</v>
      </c>
      <c r="F43" s="24" t="s">
        <v>19</v>
      </c>
      <c r="G43" s="24" t="s">
        <v>18</v>
      </c>
      <c r="H43" s="24" t="s">
        <v>6</v>
      </c>
      <c r="I43" s="24" t="s">
        <v>7</v>
      </c>
      <c r="J43" s="24" t="s">
        <v>8</v>
      </c>
      <c r="K43" s="24" t="s">
        <v>9</v>
      </c>
      <c r="L43" s="24" t="s">
        <v>10</v>
      </c>
      <c r="M43" s="24" t="s">
        <v>11</v>
      </c>
      <c r="N43" s="24" t="s">
        <v>12</v>
      </c>
      <c r="O43" s="24" t="s">
        <v>13</v>
      </c>
      <c r="P43" s="24" t="s">
        <v>14</v>
      </c>
      <c r="Q43" s="24" t="s">
        <v>15</v>
      </c>
      <c r="R43" s="24" t="s">
        <v>16</v>
      </c>
      <c r="S43" s="24" t="s">
        <v>17</v>
      </c>
      <c r="T43" s="24" t="s">
        <v>5</v>
      </c>
      <c r="U43" s="24" t="s">
        <v>4</v>
      </c>
      <c r="V43" s="47" t="str">
        <f t="shared" si="1"/>
        <v>const static uint16_t c_wreg_41 = 0x0000;</v>
      </c>
      <c r="W43" s="47" t="str">
        <f t="shared" si="2"/>
        <v>reg_41 &lt;= X"0000";</v>
      </c>
      <c r="X43" s="47" t="str">
        <f t="shared" si="3"/>
        <v xml:space="preserve">       when X"0029" =&gt; DataOut &lt;= reg_41;</v>
      </c>
      <c r="Y43" s="47" t="str">
        <f t="shared" si="4"/>
        <v xml:space="preserve">       when X"0029" =&gt;  reg_41 &lt;= DataIn;</v>
      </c>
    </row>
    <row r="44" spans="1:25" s="52" customFormat="1" x14ac:dyDescent="0.25">
      <c r="A44" s="48" t="s">
        <v>249</v>
      </c>
      <c r="B44" s="44">
        <f t="shared" si="5"/>
        <v>42</v>
      </c>
      <c r="C44" s="60" t="str">
        <f t="shared" si="0"/>
        <v>002A</v>
      </c>
      <c r="E44" s="45" t="s">
        <v>239</v>
      </c>
      <c r="F44" s="53"/>
      <c r="G44" s="53"/>
      <c r="H44" s="53"/>
      <c r="I44" s="53"/>
      <c r="J44" s="53"/>
      <c r="K44" s="53"/>
      <c r="L44" s="53"/>
      <c r="M44" s="53"/>
      <c r="N44" s="53"/>
      <c r="O44" s="53"/>
      <c r="P44" s="53"/>
      <c r="Q44" s="53"/>
      <c r="R44" s="53"/>
      <c r="S44" s="53"/>
      <c r="T44" s="53"/>
      <c r="U44" s="53"/>
      <c r="V44" s="47" t="str">
        <f t="shared" si="1"/>
        <v>const static uint16_t c_wreg_42 = 0x0000;</v>
      </c>
      <c r="W44" s="47" t="str">
        <f t="shared" si="2"/>
        <v>reg_42 &lt;= X"0000";</v>
      </c>
      <c r="X44" s="47" t="str">
        <f t="shared" si="3"/>
        <v xml:space="preserve">       when X"002A" =&gt; DataOut &lt;= reg_42;</v>
      </c>
      <c r="Y44" s="47" t="str">
        <f t="shared" si="4"/>
        <v xml:space="preserve">       when X"002A" =&gt;  reg_42 &lt;= DataIn;</v>
      </c>
    </row>
    <row r="45" spans="1:25" s="52" customFormat="1" x14ac:dyDescent="0.25">
      <c r="A45" s="48" t="s">
        <v>250</v>
      </c>
      <c r="B45" s="44">
        <f t="shared" si="5"/>
        <v>43</v>
      </c>
      <c r="C45" s="60" t="str">
        <f t="shared" si="0"/>
        <v>002B</v>
      </c>
      <c r="E45" s="45" t="s">
        <v>239</v>
      </c>
      <c r="F45" s="53"/>
      <c r="G45" s="53"/>
      <c r="H45" s="53"/>
      <c r="I45" s="53"/>
      <c r="J45" s="53"/>
      <c r="K45" s="53"/>
      <c r="L45" s="53"/>
      <c r="M45" s="53"/>
      <c r="N45" s="53"/>
      <c r="O45" s="53"/>
      <c r="P45" s="53"/>
      <c r="Q45" s="53"/>
      <c r="R45" s="53"/>
      <c r="S45" s="53"/>
      <c r="T45" s="53"/>
      <c r="U45" s="53"/>
      <c r="V45" s="47" t="str">
        <f t="shared" si="1"/>
        <v>const static uint16_t c_wreg_43 = 0x0000;</v>
      </c>
      <c r="W45" s="47" t="str">
        <f t="shared" si="2"/>
        <v>reg_43 &lt;= X"0000";</v>
      </c>
      <c r="X45" s="47" t="str">
        <f t="shared" si="3"/>
        <v xml:space="preserve">       when X"002B" =&gt; DataOut &lt;= reg_43;</v>
      </c>
      <c r="Y45" s="47" t="str">
        <f t="shared" si="4"/>
        <v xml:space="preserve">       when X"002B" =&gt;  reg_43 &lt;= DataIn;</v>
      </c>
    </row>
    <row r="46" spans="1:25" s="52" customFormat="1" x14ac:dyDescent="0.25">
      <c r="A46" s="48" t="s">
        <v>251</v>
      </c>
      <c r="B46" s="44">
        <f t="shared" si="5"/>
        <v>44</v>
      </c>
      <c r="C46" s="60" t="str">
        <f t="shared" si="0"/>
        <v>002C</v>
      </c>
      <c r="E46" s="45" t="s">
        <v>239</v>
      </c>
      <c r="F46" s="53"/>
      <c r="G46" s="53"/>
      <c r="H46" s="53"/>
      <c r="I46" s="53"/>
      <c r="J46" s="53"/>
      <c r="K46" s="53"/>
      <c r="L46" s="53"/>
      <c r="M46" s="53"/>
      <c r="N46" s="53"/>
      <c r="O46" s="53"/>
      <c r="P46" s="53"/>
      <c r="Q46" s="53"/>
      <c r="R46" s="53"/>
      <c r="S46" s="53"/>
      <c r="T46" s="53"/>
      <c r="U46" s="53"/>
      <c r="V46" s="47" t="str">
        <f t="shared" si="1"/>
        <v>const static uint16_t c_wreg_44 = 0x0000;</v>
      </c>
      <c r="W46" s="47" t="str">
        <f t="shared" si="2"/>
        <v>reg_44 &lt;= X"0000";</v>
      </c>
      <c r="X46" s="47" t="str">
        <f t="shared" si="3"/>
        <v xml:space="preserve">       when X"002C" =&gt; DataOut &lt;= reg_44;</v>
      </c>
      <c r="Y46" s="47" t="str">
        <f t="shared" si="4"/>
        <v xml:space="preserve">       when X"002C" =&gt;  reg_44 &lt;= DataIn;</v>
      </c>
    </row>
    <row r="47" spans="1:25" s="52" customFormat="1" x14ac:dyDescent="0.25">
      <c r="A47" s="48" t="s">
        <v>252</v>
      </c>
      <c r="B47" s="44">
        <f t="shared" si="5"/>
        <v>45</v>
      </c>
      <c r="C47" s="60" t="str">
        <f t="shared" si="0"/>
        <v>002D</v>
      </c>
      <c r="E47" s="45" t="s">
        <v>239</v>
      </c>
      <c r="F47" s="53"/>
      <c r="G47" s="53"/>
      <c r="H47" s="53"/>
      <c r="I47" s="53"/>
      <c r="J47" s="53"/>
      <c r="K47" s="53"/>
      <c r="L47" s="53"/>
      <c r="M47" s="53"/>
      <c r="N47" s="53"/>
      <c r="O47" s="53"/>
      <c r="P47" s="53"/>
      <c r="Q47" s="53"/>
      <c r="R47" s="53"/>
      <c r="S47" s="53"/>
      <c r="T47" s="53"/>
      <c r="U47" s="53"/>
      <c r="V47" s="47" t="str">
        <f t="shared" si="1"/>
        <v>const static uint16_t c_wreg_45 = 0x0000;</v>
      </c>
      <c r="W47" s="47" t="str">
        <f t="shared" si="2"/>
        <v>reg_45 &lt;= X"0000";</v>
      </c>
      <c r="X47" s="47" t="str">
        <f t="shared" si="3"/>
        <v xml:space="preserve">       when X"002D" =&gt; DataOut &lt;= reg_45;</v>
      </c>
      <c r="Y47" s="47" t="str">
        <f t="shared" si="4"/>
        <v xml:space="preserve">       when X"002D" =&gt;  reg_45 &lt;= DataIn;</v>
      </c>
    </row>
    <row r="48" spans="1:25" s="52" customFormat="1" x14ac:dyDescent="0.25">
      <c r="A48" s="48" t="s">
        <v>338</v>
      </c>
      <c r="B48" s="44">
        <f t="shared" si="5"/>
        <v>46</v>
      </c>
      <c r="C48" s="60" t="str">
        <f t="shared" si="0"/>
        <v>002E</v>
      </c>
      <c r="E48" s="45" t="s">
        <v>239</v>
      </c>
      <c r="F48" s="53"/>
      <c r="G48" s="53"/>
      <c r="H48" s="53"/>
      <c r="I48" s="53"/>
      <c r="J48" s="53"/>
      <c r="K48" s="53"/>
      <c r="L48" s="53"/>
      <c r="M48" s="53"/>
      <c r="N48" s="53"/>
      <c r="O48" s="53"/>
      <c r="P48" s="53"/>
      <c r="Q48" s="53" t="s">
        <v>344</v>
      </c>
      <c r="R48" s="53" t="s">
        <v>343</v>
      </c>
      <c r="S48" s="53" t="s">
        <v>342</v>
      </c>
      <c r="T48" s="53" t="s">
        <v>341</v>
      </c>
      <c r="U48" s="53" t="s">
        <v>340</v>
      </c>
      <c r="V48" s="47" t="str">
        <f t="shared" si="1"/>
        <v>const static uint16_t c_wreg_bus2_status = 0x0000;</v>
      </c>
      <c r="W48" s="47" t="str">
        <f t="shared" si="2"/>
        <v>reg_bus2_status &lt;= X"0000";</v>
      </c>
      <c r="X48" s="47" t="str">
        <f t="shared" si="3"/>
        <v xml:space="preserve">       when X"002E" =&gt; DataOut &lt;= reg_bus2_status;</v>
      </c>
      <c r="Y48" s="47" t="str">
        <f t="shared" si="4"/>
        <v xml:space="preserve">       when X"002E" =&gt;  reg_bus2_status &lt;= DataIn;</v>
      </c>
    </row>
    <row r="49" spans="1:25" s="50" customFormat="1" ht="15.75" thickBot="1" x14ac:dyDescent="0.3">
      <c r="A49" s="73" t="s">
        <v>339</v>
      </c>
      <c r="B49" s="49">
        <f t="shared" si="5"/>
        <v>47</v>
      </c>
      <c r="C49" s="70" t="str">
        <f t="shared" si="0"/>
        <v>002F</v>
      </c>
      <c r="D49" s="49"/>
      <c r="E49" s="49" t="s">
        <v>239</v>
      </c>
      <c r="F49" s="49"/>
      <c r="G49" s="49"/>
      <c r="H49" s="49"/>
      <c r="I49" s="49"/>
      <c r="J49" s="49"/>
      <c r="K49" s="49"/>
      <c r="L49" s="49"/>
      <c r="M49" s="49"/>
      <c r="N49" s="49"/>
      <c r="O49" s="49"/>
      <c r="P49" s="49"/>
      <c r="Q49" s="59" t="s">
        <v>344</v>
      </c>
      <c r="R49" s="59" t="s">
        <v>343</v>
      </c>
      <c r="S49" s="59" t="s">
        <v>342</v>
      </c>
      <c r="T49" s="59" t="s">
        <v>341</v>
      </c>
      <c r="U49" s="59" t="s">
        <v>340</v>
      </c>
      <c r="V49" s="71" t="str">
        <f t="shared" si="1"/>
        <v>const static uint16_t c_wreg_bus2_mask = 0x0000;</v>
      </c>
      <c r="W49" s="71" t="str">
        <f t="shared" si="2"/>
        <v>reg_bus2_mask &lt;= X"0000";</v>
      </c>
      <c r="X49" s="71" t="str">
        <f t="shared" si="3"/>
        <v xml:space="preserve">       when X"002F" =&gt; DataOut &lt;= reg_bus2_mask;</v>
      </c>
      <c r="Y49" s="71" t="str">
        <f t="shared" si="4"/>
        <v xml:space="preserve">       when X"002F" =&gt;  reg_bus2_mask &lt;= DataIn;</v>
      </c>
    </row>
    <row r="50" spans="1:25" s="46" customFormat="1" ht="15.75" thickBot="1" x14ac:dyDescent="0.3">
      <c r="A50" s="75" t="s">
        <v>273</v>
      </c>
      <c r="B50" s="55">
        <f>B49+1</f>
        <v>48</v>
      </c>
      <c r="C50" s="55" t="str">
        <f t="shared" si="0"/>
        <v>0030</v>
      </c>
      <c r="D50" s="76" t="s">
        <v>1</v>
      </c>
      <c r="E50" s="77" t="s">
        <v>274</v>
      </c>
      <c r="F50" s="77" t="s">
        <v>275</v>
      </c>
      <c r="G50" s="77" t="s">
        <v>276</v>
      </c>
      <c r="H50" s="77" t="s">
        <v>277</v>
      </c>
      <c r="I50" s="77" t="s">
        <v>278</v>
      </c>
      <c r="J50" s="77" t="s">
        <v>279</v>
      </c>
      <c r="K50" s="77" t="s">
        <v>280</v>
      </c>
      <c r="L50" s="77" t="s">
        <v>281</v>
      </c>
      <c r="M50" s="77" t="s">
        <v>282</v>
      </c>
      <c r="N50" s="77" t="s">
        <v>283</v>
      </c>
      <c r="O50" s="77" t="s">
        <v>284</v>
      </c>
      <c r="P50" s="77" t="s">
        <v>285</v>
      </c>
      <c r="Q50" s="77" t="s">
        <v>286</v>
      </c>
      <c r="R50" s="77" t="s">
        <v>287</v>
      </c>
      <c r="S50" s="77" t="s">
        <v>288</v>
      </c>
      <c r="T50" s="77" t="s">
        <v>289</v>
      </c>
      <c r="U50" s="77" t="s">
        <v>290</v>
      </c>
      <c r="V50" s="71" t="str">
        <f t="shared" ref="V50:V53" si="6">CONCATENATE("const static uint16_t c_w",A50, " = 0x",E50,";")</f>
        <v>const static uint16_t c_wTimestamp3 MSB = 0x0x000;</v>
      </c>
      <c r="W50" s="71" t="str">
        <f t="shared" ref="W50:W53" si="7">CONCATENATE(A50," &lt;= X""",E50,""";")</f>
        <v>Timestamp3 MSB &lt;= X"0x000";</v>
      </c>
      <c r="X50" s="71" t="str">
        <f t="shared" ref="X50:X53" si="8">CONCATENATE("       when X""",C50,""" =&gt; DataOut &lt;= ",A50,";")</f>
        <v xml:space="preserve">       when X"0030" =&gt; DataOut &lt;= Timestamp3 MSB;</v>
      </c>
      <c r="Y50" s="71" t="str">
        <f t="shared" ref="Y50:Y53" si="9">CONCATENATE("       when X""",C50,""" =&gt;  ",A50," &lt;= DataIn;")</f>
        <v xml:space="preserve">       when X"0030" =&gt;  Timestamp3 MSB &lt;= DataIn;</v>
      </c>
    </row>
    <row r="51" spans="1:25" s="28" customFormat="1" ht="15.75" thickBot="1" x14ac:dyDescent="0.3">
      <c r="A51" s="75" t="s">
        <v>291</v>
      </c>
      <c r="B51" s="44">
        <f>B50+1</f>
        <v>49</v>
      </c>
      <c r="C51" s="60" t="str">
        <f t="shared" si="0"/>
        <v>0031</v>
      </c>
      <c r="D51" s="76" t="s">
        <v>1</v>
      </c>
      <c r="E51" s="77" t="s">
        <v>274</v>
      </c>
      <c r="F51" s="77" t="s">
        <v>292</v>
      </c>
      <c r="G51" s="77" t="s">
        <v>293</v>
      </c>
      <c r="H51" s="77" t="s">
        <v>294</v>
      </c>
      <c r="I51" s="77" t="s">
        <v>295</v>
      </c>
      <c r="J51" s="77" t="s">
        <v>296</v>
      </c>
      <c r="K51" s="77" t="s">
        <v>297</v>
      </c>
      <c r="L51" s="77" t="s">
        <v>298</v>
      </c>
      <c r="M51" s="77" t="s">
        <v>299</v>
      </c>
      <c r="N51" s="77" t="s">
        <v>300</v>
      </c>
      <c r="O51" s="77" t="s">
        <v>301</v>
      </c>
      <c r="P51" s="77" t="s">
        <v>302</v>
      </c>
      <c r="Q51" s="77" t="s">
        <v>303</v>
      </c>
      <c r="R51" s="77" t="s">
        <v>304</v>
      </c>
      <c r="S51" s="77" t="s">
        <v>305</v>
      </c>
      <c r="T51" s="77" t="s">
        <v>306</v>
      </c>
      <c r="U51" s="77" t="s">
        <v>307</v>
      </c>
      <c r="V51" s="71" t="str">
        <f t="shared" si="6"/>
        <v>const static uint16_t c_wTimestamp2 = 0x0x000;</v>
      </c>
      <c r="W51" s="71" t="str">
        <f t="shared" si="7"/>
        <v>Timestamp2 &lt;= X"0x000";</v>
      </c>
      <c r="X51" s="71" t="str">
        <f t="shared" si="8"/>
        <v xml:space="preserve">       when X"0031" =&gt; DataOut &lt;= Timestamp2;</v>
      </c>
      <c r="Y51" s="71" t="str">
        <f t="shared" si="9"/>
        <v xml:space="preserve">       when X"0031" =&gt;  Timestamp2 &lt;= DataIn;</v>
      </c>
    </row>
    <row r="52" spans="1:25" s="28" customFormat="1" ht="15.75" thickBot="1" x14ac:dyDescent="0.3">
      <c r="A52" s="75" t="s">
        <v>308</v>
      </c>
      <c r="B52" s="44">
        <f t="shared" ref="B52:B53" si="10">B51+1</f>
        <v>50</v>
      </c>
      <c r="C52" s="60" t="str">
        <f t="shared" si="0"/>
        <v>0032</v>
      </c>
      <c r="D52" s="76" t="s">
        <v>1</v>
      </c>
      <c r="E52" s="77" t="s">
        <v>274</v>
      </c>
      <c r="F52" s="77" t="s">
        <v>309</v>
      </c>
      <c r="G52" s="77" t="s">
        <v>310</v>
      </c>
      <c r="H52" s="77" t="s">
        <v>311</v>
      </c>
      <c r="I52" s="77" t="s">
        <v>312</v>
      </c>
      <c r="J52" s="77" t="s">
        <v>313</v>
      </c>
      <c r="K52" s="77" t="s">
        <v>314</v>
      </c>
      <c r="L52" s="77" t="s">
        <v>315</v>
      </c>
      <c r="M52" s="77" t="s">
        <v>316</v>
      </c>
      <c r="N52" s="77" t="s">
        <v>317</v>
      </c>
      <c r="O52" s="77" t="s">
        <v>318</v>
      </c>
      <c r="P52" s="77" t="s">
        <v>319</v>
      </c>
      <c r="Q52" s="77" t="s">
        <v>320</v>
      </c>
      <c r="R52" s="77" t="s">
        <v>321</v>
      </c>
      <c r="S52" s="77" t="s">
        <v>322</v>
      </c>
      <c r="T52" s="77" t="s">
        <v>323</v>
      </c>
      <c r="U52" s="77" t="s">
        <v>324</v>
      </c>
      <c r="V52" s="71" t="str">
        <f t="shared" si="6"/>
        <v>const static uint16_t c_wTimestamp1 = 0x0x000;</v>
      </c>
      <c r="W52" s="71" t="str">
        <f t="shared" si="7"/>
        <v>Timestamp1 &lt;= X"0x000";</v>
      </c>
      <c r="X52" s="71" t="str">
        <f t="shared" si="8"/>
        <v xml:space="preserve">       when X"0032" =&gt; DataOut &lt;= Timestamp1;</v>
      </c>
      <c r="Y52" s="71" t="str">
        <f t="shared" si="9"/>
        <v xml:space="preserve">       when X"0032" =&gt;  Timestamp1 &lt;= DataIn;</v>
      </c>
    </row>
    <row r="53" spans="1:25" s="28" customFormat="1" ht="15.75" thickBot="1" x14ac:dyDescent="0.3">
      <c r="A53" s="78" t="s">
        <v>325</v>
      </c>
      <c r="B53" s="44">
        <f t="shared" si="10"/>
        <v>51</v>
      </c>
      <c r="C53" s="60" t="str">
        <f t="shared" si="0"/>
        <v>0033</v>
      </c>
      <c r="D53" s="76" t="s">
        <v>1</v>
      </c>
      <c r="E53" s="77" t="s">
        <v>274</v>
      </c>
      <c r="F53" s="77" t="s">
        <v>19</v>
      </c>
      <c r="G53" s="77" t="s">
        <v>18</v>
      </c>
      <c r="H53" s="77" t="s">
        <v>6</v>
      </c>
      <c r="I53" s="77" t="s">
        <v>7</v>
      </c>
      <c r="J53" s="77" t="s">
        <v>8</v>
      </c>
      <c r="K53" s="77" t="s">
        <v>9</v>
      </c>
      <c r="L53" s="77" t="s">
        <v>10</v>
      </c>
      <c r="M53" s="77" t="s">
        <v>11</v>
      </c>
      <c r="N53" s="77" t="s">
        <v>12</v>
      </c>
      <c r="O53" s="77" t="s">
        <v>13</v>
      </c>
      <c r="P53" s="77" t="s">
        <v>14</v>
      </c>
      <c r="Q53" s="77" t="s">
        <v>15</v>
      </c>
      <c r="R53" s="77" t="s">
        <v>16</v>
      </c>
      <c r="S53" s="77" t="s">
        <v>17</v>
      </c>
      <c r="T53" s="77" t="s">
        <v>5</v>
      </c>
      <c r="U53" s="79" t="s">
        <v>4</v>
      </c>
      <c r="V53" s="71" t="str">
        <f t="shared" si="6"/>
        <v>const static uint16_t c_wTimestamp0 LSB = 0x0x000;</v>
      </c>
      <c r="W53" s="71" t="str">
        <f t="shared" si="7"/>
        <v>Timestamp0 LSB &lt;= X"0x000";</v>
      </c>
      <c r="X53" s="71" t="str">
        <f t="shared" si="8"/>
        <v xml:space="preserve">       when X"0033" =&gt; DataOut &lt;= Timestamp0 LSB;</v>
      </c>
      <c r="Y53" s="71" t="str">
        <f t="shared" si="9"/>
        <v xml:space="preserve">       when X"0033" =&gt;  Timestamp0 LSB &lt;= DataIn;</v>
      </c>
    </row>
    <row r="54" spans="1:25" s="28" customFormat="1" x14ac:dyDescent="0.25">
      <c r="A54" s="46"/>
      <c r="B54" s="46"/>
      <c r="C54" s="46"/>
      <c r="D54" s="46"/>
      <c r="E54" s="66"/>
      <c r="F54" s="46"/>
      <c r="G54" s="46"/>
      <c r="H54" s="46"/>
      <c r="I54" s="46"/>
      <c r="J54" s="46"/>
      <c r="K54" s="46"/>
      <c r="L54" s="46"/>
      <c r="M54" s="46"/>
      <c r="N54" s="46"/>
      <c r="O54" s="46"/>
      <c r="P54" s="46"/>
      <c r="Q54" s="46"/>
      <c r="R54" s="46"/>
      <c r="S54" s="46"/>
      <c r="T54" s="46"/>
      <c r="W54" s="27"/>
    </row>
    <row r="55" spans="1:25" s="28" customFormat="1" x14ac:dyDescent="0.25">
      <c r="E55" s="67"/>
      <c r="W55" s="27"/>
    </row>
    <row r="56" spans="1:25" s="28" customFormat="1" x14ac:dyDescent="0.25">
      <c r="E56" s="67"/>
      <c r="W56" s="27"/>
    </row>
    <row r="57" spans="1:25" s="28" customFormat="1" x14ac:dyDescent="0.25">
      <c r="A57" s="29" t="s">
        <v>165</v>
      </c>
      <c r="B57" s="29" t="s">
        <v>166</v>
      </c>
      <c r="C57" s="29"/>
      <c r="D57" s="29">
        <v>100000000</v>
      </c>
      <c r="E57" s="25"/>
      <c r="F57" s="29"/>
      <c r="W57" s="27"/>
    </row>
    <row r="58" spans="1:25" s="28" customFormat="1" x14ac:dyDescent="0.25">
      <c r="A58" s="29" t="s">
        <v>168</v>
      </c>
      <c r="B58" s="29" t="s">
        <v>167</v>
      </c>
      <c r="C58" s="29"/>
      <c r="D58" s="29">
        <f>1/D57</f>
        <v>1E-8</v>
      </c>
      <c r="E58" s="25" t="s">
        <v>174</v>
      </c>
      <c r="F58" s="29" t="s">
        <v>33</v>
      </c>
      <c r="W58" s="27"/>
    </row>
    <row r="59" spans="1:25" s="28" customFormat="1" x14ac:dyDescent="0.25">
      <c r="A59" s="29" t="s">
        <v>172</v>
      </c>
      <c r="B59" s="29" t="s">
        <v>173</v>
      </c>
      <c r="C59" s="29"/>
      <c r="D59" s="29">
        <v>9.9999999999999995E-7</v>
      </c>
      <c r="E59" s="25">
        <f>(D59/$D$58)-1</f>
        <v>99</v>
      </c>
      <c r="F59" s="29" t="str">
        <f>DEC2HEX(E59,4)</f>
        <v>0063</v>
      </c>
      <c r="W59" s="27"/>
    </row>
    <row r="60" spans="1:25" s="28" customFormat="1" x14ac:dyDescent="0.25">
      <c r="A60" s="29" t="s">
        <v>171</v>
      </c>
      <c r="B60" s="29" t="s">
        <v>170</v>
      </c>
      <c r="C60" s="29"/>
      <c r="D60" s="29">
        <v>3.9999999999999998E-6</v>
      </c>
      <c r="E60" s="25">
        <f>(D60/$D$58)-1</f>
        <v>399</v>
      </c>
      <c r="F60" s="29" t="str">
        <f>DEC2HEX(E60,4)</f>
        <v>018F</v>
      </c>
      <c r="W60" s="27"/>
    </row>
    <row r="61" spans="1:25" s="28" customFormat="1" x14ac:dyDescent="0.25">
      <c r="A61" s="29" t="s">
        <v>169</v>
      </c>
      <c r="B61" s="29" t="s">
        <v>176</v>
      </c>
      <c r="C61" s="29"/>
      <c r="D61" s="29">
        <v>1.4E-5</v>
      </c>
      <c r="E61" s="25">
        <f>(D61/$D$58)-1</f>
        <v>1399</v>
      </c>
      <c r="F61" s="29" t="str">
        <f>DEC2HEX(E61,4)</f>
        <v>0577</v>
      </c>
      <c r="W61" s="27"/>
    </row>
    <row r="62" spans="1:25" s="28" customFormat="1" x14ac:dyDescent="0.25">
      <c r="A62" s="29" t="s">
        <v>177</v>
      </c>
      <c r="B62" s="29" t="s">
        <v>170</v>
      </c>
      <c r="C62" s="29"/>
      <c r="D62" s="29">
        <v>3.9999999999999998E-6</v>
      </c>
      <c r="E62" s="25">
        <f>(D62/$D$58)-1</f>
        <v>399</v>
      </c>
      <c r="F62" s="29" t="str">
        <f>DEC2HEX(E62,4)</f>
        <v>018F</v>
      </c>
      <c r="W62" s="27"/>
    </row>
    <row r="63" spans="1:25" s="28" customFormat="1" x14ac:dyDescent="0.25">
      <c r="A63" s="28" t="s">
        <v>192</v>
      </c>
      <c r="B63" s="28" t="s">
        <v>191</v>
      </c>
      <c r="D63" s="28">
        <v>8.0000000000000004E-4</v>
      </c>
      <c r="E63" s="67">
        <f>(D63/D59)-1</f>
        <v>799.00000000000011</v>
      </c>
      <c r="F63" s="28" t="str">
        <f>DEC2HEX(E63,4)</f>
        <v>031F</v>
      </c>
      <c r="W63" s="27"/>
    </row>
    <row r="64" spans="1:25" s="28" customFormat="1" x14ac:dyDescent="0.25">
      <c r="E64" s="67"/>
      <c r="W64" s="27"/>
    </row>
    <row r="65" spans="1:23" s="28" customFormat="1" x14ac:dyDescent="0.25">
      <c r="E65" s="67"/>
      <c r="W65" s="27"/>
    </row>
    <row r="66" spans="1:23" s="28" customFormat="1" x14ac:dyDescent="0.25">
      <c r="E66" s="67"/>
      <c r="W66" s="27"/>
    </row>
    <row r="67" spans="1:23" s="28" customFormat="1" x14ac:dyDescent="0.25">
      <c r="E67" s="67"/>
      <c r="W67" s="27"/>
    </row>
    <row r="68" spans="1:23" s="28" customFormat="1" x14ac:dyDescent="0.25">
      <c r="E68" s="67"/>
      <c r="W68" s="27"/>
    </row>
    <row r="69" spans="1:23" s="28" customFormat="1" x14ac:dyDescent="0.25">
      <c r="E69" s="67"/>
      <c r="W69" s="27"/>
    </row>
    <row r="70" spans="1:23" s="28" customFormat="1" x14ac:dyDescent="0.25">
      <c r="E70" s="67"/>
    </row>
    <row r="71" spans="1:23" s="28" customFormat="1" x14ac:dyDescent="0.25">
      <c r="E71" s="67"/>
    </row>
    <row r="72" spans="1:23" x14ac:dyDescent="0.25">
      <c r="A72" s="28"/>
      <c r="B72" s="28"/>
      <c r="C72" s="28"/>
      <c r="D72" s="28"/>
      <c r="E72" s="67"/>
      <c r="F72" s="28"/>
      <c r="G72" s="28"/>
      <c r="H72" s="28"/>
      <c r="I72" s="28"/>
      <c r="J72" s="28"/>
      <c r="K72" s="28"/>
      <c r="L72" s="28"/>
      <c r="M72" s="28"/>
      <c r="N72" s="28"/>
      <c r="O72" s="28"/>
      <c r="P72" s="28"/>
      <c r="Q72" s="28"/>
      <c r="R72" s="28"/>
      <c r="S72" s="28"/>
      <c r="T72" s="28"/>
      <c r="U72" s="30"/>
    </row>
    <row r="73" spans="1:23" x14ac:dyDescent="0.25">
      <c r="A73" s="28"/>
      <c r="B73" s="28"/>
      <c r="C73" s="28"/>
      <c r="D73" s="28"/>
      <c r="E73" s="67"/>
      <c r="F73" s="28"/>
      <c r="G73" s="28"/>
      <c r="H73" s="28"/>
      <c r="I73" s="28"/>
      <c r="J73" s="28"/>
      <c r="K73" s="28"/>
      <c r="L73" s="28"/>
      <c r="M73" s="28"/>
      <c r="N73" s="28"/>
      <c r="O73" s="28"/>
      <c r="P73" s="28"/>
      <c r="Q73" s="28"/>
      <c r="R73" s="28"/>
      <c r="S73" s="28"/>
      <c r="T73" s="28"/>
      <c r="U73" s="30"/>
    </row>
    <row r="74" spans="1:23" x14ac:dyDescent="0.25">
      <c r="A74" s="28"/>
      <c r="B74" s="28"/>
      <c r="C74" s="28"/>
      <c r="D74" s="28"/>
      <c r="E74" s="67"/>
      <c r="F74" s="28"/>
      <c r="G74" s="28"/>
      <c r="H74" s="28"/>
      <c r="I74" s="28"/>
      <c r="J74" s="28"/>
      <c r="K74" s="28"/>
      <c r="L74" s="28"/>
      <c r="M74" s="28"/>
      <c r="N74" s="28"/>
      <c r="O74" s="28"/>
      <c r="P74" s="28"/>
      <c r="Q74" s="28"/>
      <c r="R74" s="28"/>
      <c r="S74" s="28"/>
      <c r="T74" s="28"/>
    </row>
    <row r="75" spans="1:23" x14ac:dyDescent="0.25">
      <c r="A75" s="28"/>
      <c r="B75" s="28"/>
      <c r="C75" s="28"/>
      <c r="D75" s="28"/>
      <c r="E75" s="67"/>
      <c r="F75" s="28"/>
      <c r="G75" s="28"/>
      <c r="H75" s="28"/>
      <c r="I75" s="28"/>
      <c r="J75" s="28"/>
      <c r="K75" s="28"/>
      <c r="L75" s="28"/>
      <c r="M75" s="28"/>
      <c r="N75" s="28"/>
      <c r="O75" s="28"/>
      <c r="P75" s="28"/>
      <c r="Q75" s="28"/>
      <c r="R75" s="28"/>
      <c r="S75" s="28"/>
      <c r="T75" s="28"/>
    </row>
    <row r="76" spans="1:23" x14ac:dyDescent="0.25">
      <c r="F76" s="30"/>
      <c r="G76" s="30"/>
      <c r="H76" s="30"/>
      <c r="I76" s="30"/>
      <c r="J76" s="30"/>
      <c r="K76" s="30"/>
      <c r="L76" s="30"/>
      <c r="M76" s="30"/>
      <c r="N76" s="30"/>
      <c r="O76" s="30"/>
      <c r="P76" s="30"/>
      <c r="Q76" s="30"/>
      <c r="R76" s="30"/>
      <c r="S76" s="30"/>
      <c r="T76" s="30"/>
    </row>
    <row r="77" spans="1:23" x14ac:dyDescent="0.25">
      <c r="F77" s="30"/>
      <c r="G77" s="30"/>
      <c r="H77" s="30"/>
      <c r="I77" s="30"/>
      <c r="J77" s="30"/>
      <c r="K77" s="30"/>
      <c r="L77" s="30"/>
      <c r="M77" s="30"/>
      <c r="N77" s="30"/>
      <c r="O77" s="30"/>
      <c r="P77" s="30"/>
      <c r="Q77" s="30"/>
      <c r="R77" s="30"/>
      <c r="S77" s="30"/>
      <c r="T77" s="30"/>
    </row>
    <row r="79" spans="1:23" x14ac:dyDescent="0.25">
      <c r="F79" s="30"/>
      <c r="G79" s="30"/>
    </row>
    <row r="80" spans="1:23" x14ac:dyDescent="0.25">
      <c r="K80" s="26"/>
    </row>
    <row r="81" spans="1:21" x14ac:dyDescent="0.25">
      <c r="E81" s="25"/>
    </row>
    <row r="82" spans="1:21" x14ac:dyDescent="0.25">
      <c r="E82" s="25"/>
      <c r="F82" s="25"/>
      <c r="G82" s="32"/>
      <c r="H82" s="32"/>
      <c r="I82" s="32"/>
      <c r="N82" s="25"/>
      <c r="O82" s="25"/>
      <c r="P82" s="25"/>
    </row>
    <row r="83" spans="1:21" x14ac:dyDescent="0.25">
      <c r="A83" s="33"/>
      <c r="G83" s="26"/>
      <c r="K83" s="26"/>
      <c r="Q83" s="25"/>
      <c r="S83" s="34"/>
    </row>
    <row r="84" spans="1:21" x14ac:dyDescent="0.25">
      <c r="G84" s="26"/>
      <c r="K84" s="26"/>
      <c r="P84" s="23"/>
      <c r="Q84" s="25"/>
    </row>
    <row r="85" spans="1:21" x14ac:dyDescent="0.25">
      <c r="M85" s="35"/>
      <c r="N85" s="36"/>
      <c r="P85" s="23"/>
      <c r="T85" s="36"/>
    </row>
    <row r="86" spans="1:21" x14ac:dyDescent="0.25">
      <c r="M86" s="35"/>
      <c r="N86" s="36"/>
      <c r="P86" s="23"/>
      <c r="T86" s="36"/>
    </row>
    <row r="87" spans="1:21" x14ac:dyDescent="0.25">
      <c r="M87" s="35"/>
      <c r="N87" s="36"/>
      <c r="P87" s="23"/>
      <c r="T87" s="36"/>
    </row>
    <row r="88" spans="1:21" x14ac:dyDescent="0.25">
      <c r="M88" s="35"/>
      <c r="N88" s="36"/>
      <c r="P88" s="23"/>
      <c r="T88" s="36"/>
      <c r="U88" s="67"/>
    </row>
    <row r="89" spans="1:21" x14ac:dyDescent="0.25">
      <c r="M89" s="35"/>
      <c r="N89" s="36"/>
      <c r="P89" s="23"/>
      <c r="T89" s="36"/>
      <c r="U89" s="27"/>
    </row>
    <row r="90" spans="1:21" x14ac:dyDescent="0.25">
      <c r="G90" s="27"/>
      <c r="N90" s="25"/>
      <c r="O90" s="25"/>
      <c r="P90" s="25"/>
      <c r="Q90" s="25"/>
      <c r="U90" s="27"/>
    </row>
    <row r="91" spans="1:21" x14ac:dyDescent="0.25">
      <c r="J91" s="37"/>
      <c r="Q91" s="23"/>
      <c r="U91" s="27"/>
    </row>
    <row r="92" spans="1:21" x14ac:dyDescent="0.25">
      <c r="J92" s="37"/>
      <c r="K92" s="25"/>
      <c r="L92" s="25"/>
      <c r="M92" s="25"/>
      <c r="N92" s="25"/>
      <c r="O92" s="25"/>
      <c r="S92" s="67"/>
      <c r="T92" s="67"/>
      <c r="U92" s="27"/>
    </row>
    <row r="93" spans="1:21" x14ac:dyDescent="0.25">
      <c r="J93" s="37"/>
      <c r="K93" s="27"/>
      <c r="M93" s="38"/>
      <c r="N93" s="39"/>
      <c r="O93" s="27"/>
      <c r="R93" s="23"/>
      <c r="S93" s="38"/>
      <c r="T93" s="39"/>
      <c r="U93" s="27"/>
    </row>
    <row r="94" spans="1:21" x14ac:dyDescent="0.25">
      <c r="J94" s="37"/>
      <c r="K94" s="27"/>
      <c r="M94" s="38"/>
      <c r="N94" s="39"/>
      <c r="O94" s="27"/>
      <c r="R94" s="23"/>
      <c r="S94" s="38"/>
      <c r="T94" s="39"/>
      <c r="U94" s="27"/>
    </row>
    <row r="95" spans="1:21" x14ac:dyDescent="0.25">
      <c r="J95" s="37"/>
      <c r="K95" s="27"/>
      <c r="M95" s="38"/>
      <c r="N95" s="39"/>
      <c r="O95" s="27"/>
      <c r="R95" s="23"/>
      <c r="S95" s="38"/>
      <c r="T95" s="39"/>
      <c r="U95" s="27"/>
    </row>
    <row r="96" spans="1:21" x14ac:dyDescent="0.25">
      <c r="J96" s="37"/>
      <c r="K96" s="27"/>
      <c r="M96" s="40"/>
      <c r="N96" s="39"/>
      <c r="O96" s="27"/>
      <c r="R96" s="41"/>
      <c r="S96" s="38"/>
      <c r="T96" s="39"/>
    </row>
    <row r="97" spans="1:20" x14ac:dyDescent="0.25">
      <c r="J97" s="42"/>
      <c r="K97" s="27"/>
      <c r="M97" s="38"/>
      <c r="N97" s="39"/>
      <c r="O97" s="27"/>
      <c r="R97" s="23"/>
      <c r="S97" s="38"/>
      <c r="T97" s="39"/>
    </row>
    <row r="98" spans="1:20" x14ac:dyDescent="0.25">
      <c r="J98" s="42"/>
      <c r="K98" s="27"/>
      <c r="M98" s="38"/>
      <c r="N98" s="39"/>
      <c r="O98" s="27"/>
      <c r="R98" s="41"/>
      <c r="S98" s="38"/>
      <c r="T98" s="39"/>
    </row>
    <row r="99" spans="1:20" x14ac:dyDescent="0.25">
      <c r="J99" s="42"/>
      <c r="K99" s="27"/>
      <c r="M99" s="38"/>
      <c r="N99" s="39"/>
      <c r="O99" s="27"/>
      <c r="R99" s="23"/>
      <c r="S99" s="38"/>
      <c r="T99" s="39"/>
    </row>
    <row r="100" spans="1:20" x14ac:dyDescent="0.25">
      <c r="R100" s="23"/>
    </row>
    <row r="109" spans="1:20" x14ac:dyDescent="0.25">
      <c r="A109" s="33"/>
      <c r="B109" s="43"/>
      <c r="C109" s="43"/>
      <c r="D109" s="33"/>
      <c r="E109" s="25"/>
      <c r="F109" s="33"/>
      <c r="G109" s="27"/>
    </row>
    <row r="110" spans="1:20" x14ac:dyDescent="0.25">
      <c r="F110" s="27"/>
    </row>
    <row r="111" spans="1:20" x14ac:dyDescent="0.25">
      <c r="F111" s="27"/>
    </row>
    <row r="112" spans="1:20" x14ac:dyDescent="0.25">
      <c r="F112" s="27"/>
    </row>
    <row r="113" spans="1:6" x14ac:dyDescent="0.25">
      <c r="F113" s="27"/>
    </row>
    <row r="114" spans="1:6" x14ac:dyDescent="0.25">
      <c r="F114" s="27"/>
    </row>
    <row r="115" spans="1:6" x14ac:dyDescent="0.25">
      <c r="F115" s="27"/>
    </row>
    <row r="116" spans="1:6" x14ac:dyDescent="0.25">
      <c r="F116" s="27"/>
    </row>
    <row r="117" spans="1:6" x14ac:dyDescent="0.25">
      <c r="F117" s="27"/>
    </row>
    <row r="118" spans="1:6" x14ac:dyDescent="0.25">
      <c r="F118" s="27"/>
    </row>
    <row r="119" spans="1:6" x14ac:dyDescent="0.25">
      <c r="A119" s="25"/>
      <c r="B119" s="25"/>
      <c r="C119" s="25"/>
      <c r="D119" s="25"/>
      <c r="E119" s="25"/>
    </row>
    <row r="120" spans="1:6" x14ac:dyDescent="0.25">
      <c r="A120" s="24"/>
      <c r="B120" s="24"/>
      <c r="C120" s="24"/>
      <c r="D120" s="24"/>
    </row>
    <row r="121" spans="1:6" x14ac:dyDescent="0.25">
      <c r="A121" s="24"/>
      <c r="B121" s="24"/>
      <c r="C121" s="24"/>
      <c r="D121" s="24"/>
    </row>
    <row r="122" spans="1:6" x14ac:dyDescent="0.25">
      <c r="A122" s="24"/>
      <c r="B122" s="24"/>
      <c r="C122" s="24"/>
      <c r="D122" s="24"/>
    </row>
    <row r="123" spans="1:6" x14ac:dyDescent="0.25">
      <c r="A123" s="24"/>
      <c r="B123" s="24"/>
      <c r="C123" s="24"/>
      <c r="D123" s="24"/>
    </row>
    <row r="124" spans="1:6" x14ac:dyDescent="0.25">
      <c r="A124" s="24"/>
      <c r="B124" s="24"/>
      <c r="C124" s="24"/>
      <c r="D124" s="24"/>
    </row>
    <row r="125" spans="1:6" x14ac:dyDescent="0.25">
      <c r="A125" s="24"/>
      <c r="B125" s="24"/>
      <c r="C125" s="24"/>
      <c r="D125" s="24"/>
    </row>
    <row r="126" spans="1:6" x14ac:dyDescent="0.25">
      <c r="A126" s="24"/>
      <c r="B126" s="24"/>
      <c r="C126" s="24"/>
      <c r="D126" s="24"/>
    </row>
    <row r="127" spans="1:6" x14ac:dyDescent="0.25">
      <c r="A127" s="24"/>
      <c r="B127" s="24"/>
      <c r="C127" s="24"/>
      <c r="D127" s="24"/>
    </row>
    <row r="128" spans="1:6" x14ac:dyDescent="0.25">
      <c r="A128" s="24"/>
      <c r="B128" s="24"/>
      <c r="C128" s="24"/>
      <c r="D128" s="24"/>
    </row>
    <row r="129" spans="1:4" x14ac:dyDescent="0.25">
      <c r="A129" s="24"/>
      <c r="B129" s="24"/>
      <c r="C129" s="24"/>
      <c r="D129" s="24"/>
    </row>
    <row r="130" spans="1:4" x14ac:dyDescent="0.25">
      <c r="A130" s="24"/>
      <c r="B130" s="24"/>
      <c r="C130" s="24"/>
      <c r="D130" s="24"/>
    </row>
    <row r="131" spans="1:4" x14ac:dyDescent="0.25">
      <c r="A131" s="24"/>
      <c r="B131" s="24"/>
      <c r="C131" s="24"/>
      <c r="D131" s="24"/>
    </row>
  </sheetData>
  <mergeCells count="2">
    <mergeCell ref="R22:T22"/>
    <mergeCell ref="R38:T38"/>
  </mergeCells>
  <phoneticPr fontId="1" type="noConversion"/>
  <pageMargins left="0.7" right="0.7" top="0.75" bottom="0.75" header="0.3" footer="0.3"/>
  <pageSetup paperSize="9" scale="48" orientation="landscape" horizontalDpi="4294967293" r:id="rId1"/>
  <rowBreaks count="1" manualBreakCount="1">
    <brk id="104" max="16383"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election activeCell="F40" sqref="F40"/>
    </sheetView>
  </sheetViews>
  <sheetFormatPr defaultRowHeight="15" x14ac:dyDescent="0.25"/>
  <cols>
    <col min="1" max="1" width="6.28515625" bestFit="1" customWidth="1"/>
    <col min="2" max="3" width="0" hidden="1" customWidth="1"/>
    <col min="4" max="4" width="2.85546875" customWidth="1"/>
    <col min="6" max="7" width="37.42578125" bestFit="1" customWidth="1"/>
  </cols>
  <sheetData>
    <row r="1" spans="1:7" ht="15.75" thickBot="1" x14ac:dyDescent="0.3">
      <c r="A1" s="96" t="s">
        <v>345</v>
      </c>
      <c r="B1" s="97" t="s">
        <v>347</v>
      </c>
      <c r="C1" s="97" t="s">
        <v>346</v>
      </c>
      <c r="D1" s="101" t="s">
        <v>346</v>
      </c>
      <c r="E1" s="100"/>
      <c r="F1" s="98" t="s">
        <v>361</v>
      </c>
      <c r="G1" s="99" t="s">
        <v>362</v>
      </c>
    </row>
    <row r="2" spans="1:7" x14ac:dyDescent="0.25">
      <c r="A2" s="84">
        <v>0</v>
      </c>
      <c r="B2" s="85">
        <v>0</v>
      </c>
      <c r="C2" s="85">
        <v>0</v>
      </c>
      <c r="D2" s="84">
        <v>0</v>
      </c>
      <c r="E2" s="86" t="str">
        <f>DEC2HEX(C2,1)</f>
        <v>0</v>
      </c>
      <c r="F2" s="85" t="s">
        <v>342</v>
      </c>
      <c r="G2" s="86" t="s">
        <v>342</v>
      </c>
    </row>
    <row r="3" spans="1:7" x14ac:dyDescent="0.25">
      <c r="A3" s="84">
        <v>0</v>
      </c>
      <c r="B3" s="85">
        <v>0</v>
      </c>
      <c r="C3" s="85">
        <f>C2+1</f>
        <v>1</v>
      </c>
      <c r="D3" s="84">
        <v>0</v>
      </c>
      <c r="E3" s="86" t="str">
        <f t="shared" ref="E3:E65" si="0">DEC2HEX(C3,1)</f>
        <v>1</v>
      </c>
      <c r="F3" s="85" t="s">
        <v>342</v>
      </c>
      <c r="G3" s="86" t="s">
        <v>342</v>
      </c>
    </row>
    <row r="4" spans="1:7" x14ac:dyDescent="0.25">
      <c r="A4" s="84">
        <v>0</v>
      </c>
      <c r="B4" s="85">
        <v>0</v>
      </c>
      <c r="C4" s="85">
        <f t="shared" ref="C4:C17" si="1">C3+1</f>
        <v>2</v>
      </c>
      <c r="D4" s="84">
        <v>0</v>
      </c>
      <c r="E4" s="86" t="str">
        <f t="shared" si="0"/>
        <v>2</v>
      </c>
      <c r="F4" s="85" t="s">
        <v>342</v>
      </c>
      <c r="G4" s="86" t="s">
        <v>342</v>
      </c>
    </row>
    <row r="5" spans="1:7" x14ac:dyDescent="0.25">
      <c r="A5" s="84">
        <v>0</v>
      </c>
      <c r="B5" s="85">
        <v>0</v>
      </c>
      <c r="C5" s="85">
        <f t="shared" si="1"/>
        <v>3</v>
      </c>
      <c r="D5" s="84">
        <v>0</v>
      </c>
      <c r="E5" s="86" t="str">
        <f t="shared" si="0"/>
        <v>3</v>
      </c>
      <c r="F5" s="85" t="s">
        <v>342</v>
      </c>
      <c r="G5" s="86" t="s">
        <v>342</v>
      </c>
    </row>
    <row r="6" spans="1:7" x14ac:dyDescent="0.25">
      <c r="A6" s="84">
        <v>0</v>
      </c>
      <c r="B6" s="85">
        <v>0</v>
      </c>
      <c r="C6" s="85">
        <f t="shared" si="1"/>
        <v>4</v>
      </c>
      <c r="D6" s="84">
        <v>0</v>
      </c>
      <c r="E6" s="86" t="str">
        <f t="shared" si="0"/>
        <v>4</v>
      </c>
      <c r="F6" s="85" t="s">
        <v>342</v>
      </c>
      <c r="G6" s="86" t="s">
        <v>342</v>
      </c>
    </row>
    <row r="7" spans="1:7" x14ac:dyDescent="0.25">
      <c r="A7" s="84">
        <v>0</v>
      </c>
      <c r="B7" s="85">
        <v>0</v>
      </c>
      <c r="C7" s="85">
        <f t="shared" si="1"/>
        <v>5</v>
      </c>
      <c r="D7" s="84">
        <v>0</v>
      </c>
      <c r="E7" s="86" t="str">
        <f t="shared" si="0"/>
        <v>5</v>
      </c>
      <c r="F7" s="85" t="s">
        <v>342</v>
      </c>
      <c r="G7" s="86" t="s">
        <v>342</v>
      </c>
    </row>
    <row r="8" spans="1:7" x14ac:dyDescent="0.25">
      <c r="A8" s="84">
        <v>0</v>
      </c>
      <c r="B8" s="85">
        <v>0</v>
      </c>
      <c r="C8" s="85">
        <f t="shared" si="1"/>
        <v>6</v>
      </c>
      <c r="D8" s="84">
        <v>0</v>
      </c>
      <c r="E8" s="86" t="str">
        <f t="shared" si="0"/>
        <v>6</v>
      </c>
      <c r="F8" s="85" t="s">
        <v>342</v>
      </c>
      <c r="G8" s="86" t="s">
        <v>342</v>
      </c>
    </row>
    <row r="9" spans="1:7" x14ac:dyDescent="0.25">
      <c r="A9" s="84">
        <v>0</v>
      </c>
      <c r="B9" s="85">
        <v>0</v>
      </c>
      <c r="C9" s="85">
        <f t="shared" si="1"/>
        <v>7</v>
      </c>
      <c r="D9" s="84">
        <v>0</v>
      </c>
      <c r="E9" s="86" t="str">
        <f t="shared" si="0"/>
        <v>7</v>
      </c>
      <c r="F9" s="85" t="s">
        <v>342</v>
      </c>
      <c r="G9" s="86" t="s">
        <v>342</v>
      </c>
    </row>
    <row r="10" spans="1:7" x14ac:dyDescent="0.25">
      <c r="A10" s="84">
        <v>0</v>
      </c>
      <c r="B10" s="85">
        <v>0</v>
      </c>
      <c r="C10" s="85">
        <f t="shared" si="1"/>
        <v>8</v>
      </c>
      <c r="D10" s="84">
        <v>0</v>
      </c>
      <c r="E10" s="86" t="str">
        <f t="shared" si="0"/>
        <v>8</v>
      </c>
      <c r="F10" s="85" t="s">
        <v>342</v>
      </c>
      <c r="G10" s="86" t="s">
        <v>342</v>
      </c>
    </row>
    <row r="11" spans="1:7" x14ac:dyDescent="0.25">
      <c r="A11" s="84">
        <v>0</v>
      </c>
      <c r="B11" s="85">
        <v>0</v>
      </c>
      <c r="C11" s="85">
        <f t="shared" si="1"/>
        <v>9</v>
      </c>
      <c r="D11" s="84">
        <v>0</v>
      </c>
      <c r="E11" s="86" t="str">
        <f t="shared" si="0"/>
        <v>9</v>
      </c>
      <c r="F11" s="85" t="s">
        <v>342</v>
      </c>
      <c r="G11" s="86" t="s">
        <v>342</v>
      </c>
    </row>
    <row r="12" spans="1:7" x14ac:dyDescent="0.25">
      <c r="A12" s="84">
        <v>0</v>
      </c>
      <c r="B12" s="85">
        <v>0</v>
      </c>
      <c r="C12" s="85">
        <f t="shared" si="1"/>
        <v>10</v>
      </c>
      <c r="D12" s="84">
        <v>0</v>
      </c>
      <c r="E12" s="86" t="str">
        <f t="shared" si="0"/>
        <v>A</v>
      </c>
      <c r="F12" s="85" t="s">
        <v>342</v>
      </c>
      <c r="G12" s="86" t="s">
        <v>342</v>
      </c>
    </row>
    <row r="13" spans="1:7" x14ac:dyDescent="0.25">
      <c r="A13" s="84">
        <v>0</v>
      </c>
      <c r="B13" s="85">
        <v>0</v>
      </c>
      <c r="C13" s="85">
        <f t="shared" si="1"/>
        <v>11</v>
      </c>
      <c r="D13" s="84">
        <v>0</v>
      </c>
      <c r="E13" s="86" t="str">
        <f t="shared" si="0"/>
        <v>B</v>
      </c>
      <c r="F13" s="85" t="s">
        <v>342</v>
      </c>
      <c r="G13" s="86" t="s">
        <v>342</v>
      </c>
    </row>
    <row r="14" spans="1:7" x14ac:dyDescent="0.25">
      <c r="A14" s="84">
        <v>0</v>
      </c>
      <c r="B14" s="85">
        <v>0</v>
      </c>
      <c r="C14" s="85">
        <f t="shared" si="1"/>
        <v>12</v>
      </c>
      <c r="D14" s="84">
        <v>0</v>
      </c>
      <c r="E14" s="86" t="str">
        <f t="shared" si="0"/>
        <v>C</v>
      </c>
      <c r="F14" s="85" t="s">
        <v>342</v>
      </c>
      <c r="G14" s="86" t="s">
        <v>342</v>
      </c>
    </row>
    <row r="15" spans="1:7" x14ac:dyDescent="0.25">
      <c r="A15" s="84">
        <v>0</v>
      </c>
      <c r="B15" s="85">
        <v>0</v>
      </c>
      <c r="C15" s="85">
        <f t="shared" si="1"/>
        <v>13</v>
      </c>
      <c r="D15" s="84">
        <v>0</v>
      </c>
      <c r="E15" s="86" t="str">
        <f t="shared" si="0"/>
        <v>D</v>
      </c>
      <c r="F15" s="85" t="s">
        <v>342</v>
      </c>
      <c r="G15" s="86" t="s">
        <v>342</v>
      </c>
    </row>
    <row r="16" spans="1:7" x14ac:dyDescent="0.25">
      <c r="A16" s="84">
        <v>0</v>
      </c>
      <c r="B16" s="85">
        <v>0</v>
      </c>
      <c r="C16" s="85">
        <f t="shared" si="1"/>
        <v>14</v>
      </c>
      <c r="D16" s="84">
        <v>0</v>
      </c>
      <c r="E16" s="86" t="str">
        <f t="shared" si="0"/>
        <v>E</v>
      </c>
      <c r="F16" s="85" t="s">
        <v>342</v>
      </c>
      <c r="G16" s="86" t="s">
        <v>342</v>
      </c>
    </row>
    <row r="17" spans="1:7" ht="15.75" thickBot="1" x14ac:dyDescent="0.3">
      <c r="A17" s="84">
        <v>0</v>
      </c>
      <c r="B17" s="85">
        <v>0</v>
      </c>
      <c r="C17" s="85">
        <f t="shared" si="1"/>
        <v>15</v>
      </c>
      <c r="D17" s="84">
        <v>0</v>
      </c>
      <c r="E17" s="86" t="str">
        <f t="shared" si="0"/>
        <v>F</v>
      </c>
      <c r="F17" s="85" t="s">
        <v>342</v>
      </c>
      <c r="G17" s="86" t="s">
        <v>342</v>
      </c>
    </row>
    <row r="18" spans="1:7" x14ac:dyDescent="0.25">
      <c r="A18" s="87">
        <v>0</v>
      </c>
      <c r="B18" s="88">
        <v>1</v>
      </c>
      <c r="C18" s="88">
        <v>0</v>
      </c>
      <c r="D18" s="87">
        <v>1</v>
      </c>
      <c r="E18" s="89" t="str">
        <f>DEC2HEX(C18,1)</f>
        <v>0</v>
      </c>
      <c r="F18" s="88" t="s">
        <v>342</v>
      </c>
      <c r="G18" s="89" t="s">
        <v>342</v>
      </c>
    </row>
    <row r="19" spans="1:7" x14ac:dyDescent="0.25">
      <c r="A19" s="84">
        <v>0</v>
      </c>
      <c r="B19" s="85">
        <v>1</v>
      </c>
      <c r="C19" s="85">
        <f>C18+1</f>
        <v>1</v>
      </c>
      <c r="D19" s="84">
        <v>1</v>
      </c>
      <c r="E19" s="86" t="str">
        <f>DEC2HEX(C19,1)</f>
        <v>1</v>
      </c>
      <c r="F19" s="85" t="s">
        <v>204</v>
      </c>
      <c r="G19" s="86" t="s">
        <v>204</v>
      </c>
    </row>
    <row r="20" spans="1:7" x14ac:dyDescent="0.25">
      <c r="A20" s="84">
        <v>0</v>
      </c>
      <c r="B20" s="85">
        <v>1</v>
      </c>
      <c r="C20" s="85">
        <f t="shared" ref="C20:C33" si="2">C19+1</f>
        <v>2</v>
      </c>
      <c r="D20" s="84">
        <v>1</v>
      </c>
      <c r="E20" s="86" t="str">
        <f>DEC2HEX(C20,1)</f>
        <v>2</v>
      </c>
      <c r="F20" s="85" t="s">
        <v>342</v>
      </c>
      <c r="G20" s="86" t="s">
        <v>342</v>
      </c>
    </row>
    <row r="21" spans="1:7" x14ac:dyDescent="0.25">
      <c r="A21" s="84">
        <v>0</v>
      </c>
      <c r="B21" s="85">
        <v>1</v>
      </c>
      <c r="C21" s="85">
        <f t="shared" si="2"/>
        <v>3</v>
      </c>
      <c r="D21" s="84">
        <v>1</v>
      </c>
      <c r="E21" s="86" t="str">
        <f>DEC2HEX(C21,1)</f>
        <v>3</v>
      </c>
      <c r="F21" s="85" t="s">
        <v>342</v>
      </c>
      <c r="G21" s="86" t="s">
        <v>342</v>
      </c>
    </row>
    <row r="22" spans="1:7" x14ac:dyDescent="0.25">
      <c r="A22" s="84">
        <v>0</v>
      </c>
      <c r="B22" s="85">
        <v>1</v>
      </c>
      <c r="C22" s="85">
        <f t="shared" si="2"/>
        <v>4</v>
      </c>
      <c r="D22" s="84">
        <v>1</v>
      </c>
      <c r="E22" s="86" t="str">
        <f>DEC2HEX(C22,1)</f>
        <v>4</v>
      </c>
      <c r="F22" s="85" t="s">
        <v>356</v>
      </c>
      <c r="G22" s="86" t="s">
        <v>356</v>
      </c>
    </row>
    <row r="23" spans="1:7" x14ac:dyDescent="0.25">
      <c r="A23" s="84">
        <v>0</v>
      </c>
      <c r="B23" s="85">
        <v>1</v>
      </c>
      <c r="C23" s="85">
        <f t="shared" si="2"/>
        <v>5</v>
      </c>
      <c r="D23" s="84">
        <v>1</v>
      </c>
      <c r="E23" s="86" t="str">
        <f>DEC2HEX(C23,1)</f>
        <v>5</v>
      </c>
      <c r="F23" s="85" t="s">
        <v>357</v>
      </c>
      <c r="G23" s="86" t="s">
        <v>357</v>
      </c>
    </row>
    <row r="24" spans="1:7" x14ac:dyDescent="0.25">
      <c r="A24" s="84">
        <v>0</v>
      </c>
      <c r="B24" s="85">
        <v>1</v>
      </c>
      <c r="C24" s="85">
        <f t="shared" si="2"/>
        <v>6</v>
      </c>
      <c r="D24" s="84">
        <v>1</v>
      </c>
      <c r="E24" s="86" t="str">
        <f>DEC2HEX(C24,1)</f>
        <v>6</v>
      </c>
      <c r="F24" s="85" t="s">
        <v>342</v>
      </c>
      <c r="G24" s="86" t="s">
        <v>342</v>
      </c>
    </row>
    <row r="25" spans="1:7" x14ac:dyDescent="0.25">
      <c r="A25" s="84">
        <v>0</v>
      </c>
      <c r="B25" s="85">
        <v>1</v>
      </c>
      <c r="C25" s="85">
        <f t="shared" si="2"/>
        <v>7</v>
      </c>
      <c r="D25" s="84">
        <v>1</v>
      </c>
      <c r="E25" s="86" t="str">
        <f>DEC2HEX(C25,1)</f>
        <v>7</v>
      </c>
      <c r="F25" s="85" t="s">
        <v>342</v>
      </c>
      <c r="G25" s="86" t="s">
        <v>342</v>
      </c>
    </row>
    <row r="26" spans="1:7" x14ac:dyDescent="0.25">
      <c r="A26" s="84">
        <v>0</v>
      </c>
      <c r="B26" s="85">
        <v>1</v>
      </c>
      <c r="C26" s="85">
        <f t="shared" si="2"/>
        <v>8</v>
      </c>
      <c r="D26" s="84">
        <v>1</v>
      </c>
      <c r="E26" s="86" t="str">
        <f>DEC2HEX(C26,1)</f>
        <v>8</v>
      </c>
      <c r="F26" s="85" t="s">
        <v>342</v>
      </c>
      <c r="G26" s="86" t="s">
        <v>342</v>
      </c>
    </row>
    <row r="27" spans="1:7" x14ac:dyDescent="0.25">
      <c r="A27" s="84">
        <v>0</v>
      </c>
      <c r="B27" s="85">
        <v>1</v>
      </c>
      <c r="C27" s="85">
        <f t="shared" si="2"/>
        <v>9</v>
      </c>
      <c r="D27" s="84">
        <v>1</v>
      </c>
      <c r="E27" s="86" t="str">
        <f>DEC2HEX(C27,1)</f>
        <v>9</v>
      </c>
      <c r="F27" s="85" t="s">
        <v>342</v>
      </c>
      <c r="G27" s="86" t="s">
        <v>342</v>
      </c>
    </row>
    <row r="28" spans="1:7" x14ac:dyDescent="0.25">
      <c r="A28" s="84">
        <v>0</v>
      </c>
      <c r="B28" s="85">
        <v>1</v>
      </c>
      <c r="C28" s="85">
        <f t="shared" si="2"/>
        <v>10</v>
      </c>
      <c r="D28" s="84">
        <v>1</v>
      </c>
      <c r="E28" s="86" t="str">
        <f>DEC2HEX(C28,1)</f>
        <v>A</v>
      </c>
      <c r="F28" s="85" t="s">
        <v>342</v>
      </c>
      <c r="G28" s="86" t="s">
        <v>342</v>
      </c>
    </row>
    <row r="29" spans="1:7" x14ac:dyDescent="0.25">
      <c r="A29" s="84">
        <v>0</v>
      </c>
      <c r="B29" s="85">
        <v>1</v>
      </c>
      <c r="C29" s="85">
        <f t="shared" si="2"/>
        <v>11</v>
      </c>
      <c r="D29" s="84">
        <v>1</v>
      </c>
      <c r="E29" s="86" t="str">
        <f>DEC2HEX(C29,1)</f>
        <v>B</v>
      </c>
      <c r="F29" s="85" t="s">
        <v>342</v>
      </c>
      <c r="G29" s="86" t="s">
        <v>342</v>
      </c>
    </row>
    <row r="30" spans="1:7" x14ac:dyDescent="0.25">
      <c r="A30" s="84">
        <v>0</v>
      </c>
      <c r="B30" s="85">
        <v>1</v>
      </c>
      <c r="C30" s="85">
        <f t="shared" si="2"/>
        <v>12</v>
      </c>
      <c r="D30" s="84">
        <v>1</v>
      </c>
      <c r="E30" s="86" t="str">
        <f>DEC2HEX(C30,1)</f>
        <v>C</v>
      </c>
      <c r="F30" s="85" t="s">
        <v>342</v>
      </c>
      <c r="G30" s="86" t="s">
        <v>342</v>
      </c>
    </row>
    <row r="31" spans="1:7" x14ac:dyDescent="0.25">
      <c r="A31" s="84">
        <v>0</v>
      </c>
      <c r="B31" s="85">
        <v>1</v>
      </c>
      <c r="C31" s="85">
        <f t="shared" si="2"/>
        <v>13</v>
      </c>
      <c r="D31" s="84">
        <v>1</v>
      </c>
      <c r="E31" s="86" t="str">
        <f>DEC2HEX(C31,1)</f>
        <v>D</v>
      </c>
      <c r="F31" s="85" t="s">
        <v>342</v>
      </c>
      <c r="G31" s="86" t="s">
        <v>342</v>
      </c>
    </row>
    <row r="32" spans="1:7" x14ac:dyDescent="0.25">
      <c r="A32" s="84">
        <v>0</v>
      </c>
      <c r="B32" s="85">
        <v>1</v>
      </c>
      <c r="C32" s="85">
        <f t="shared" si="2"/>
        <v>14</v>
      </c>
      <c r="D32" s="84">
        <v>1</v>
      </c>
      <c r="E32" s="86" t="str">
        <f>DEC2HEX(C32,1)</f>
        <v>E</v>
      </c>
      <c r="F32" s="85" t="s">
        <v>342</v>
      </c>
      <c r="G32" s="86" t="s">
        <v>342</v>
      </c>
    </row>
    <row r="33" spans="1:7" ht="15.75" thickBot="1" x14ac:dyDescent="0.3">
      <c r="A33" s="84">
        <v>0</v>
      </c>
      <c r="B33" s="85">
        <v>1</v>
      </c>
      <c r="C33" s="85">
        <f t="shared" si="2"/>
        <v>15</v>
      </c>
      <c r="D33" s="84">
        <v>1</v>
      </c>
      <c r="E33" s="86" t="str">
        <f>DEC2HEX(C33,1)</f>
        <v>F</v>
      </c>
      <c r="F33" s="85" t="s">
        <v>342</v>
      </c>
      <c r="G33" s="86" t="s">
        <v>342</v>
      </c>
    </row>
    <row r="34" spans="1:7" ht="14.25" customHeight="1" x14ac:dyDescent="0.25">
      <c r="A34" s="17">
        <v>1</v>
      </c>
      <c r="B34" s="15">
        <v>0</v>
      </c>
      <c r="C34" s="15">
        <v>0</v>
      </c>
      <c r="D34" s="17">
        <v>0</v>
      </c>
      <c r="E34" s="16" t="str">
        <f t="shared" si="0"/>
        <v>0</v>
      </c>
      <c r="F34" s="15" t="s">
        <v>348</v>
      </c>
      <c r="G34" s="16" t="s">
        <v>342</v>
      </c>
    </row>
    <row r="35" spans="1:7" x14ac:dyDescent="0.25">
      <c r="A35" s="20">
        <v>1</v>
      </c>
      <c r="B35" s="18">
        <v>0</v>
      </c>
      <c r="C35" s="18">
        <f>C34+1</f>
        <v>1</v>
      </c>
      <c r="D35" s="20">
        <v>0</v>
      </c>
      <c r="E35" s="19" t="str">
        <f t="shared" si="0"/>
        <v>1</v>
      </c>
      <c r="F35" s="18" t="s">
        <v>204</v>
      </c>
      <c r="G35" s="19" t="s">
        <v>204</v>
      </c>
    </row>
    <row r="36" spans="1:7" x14ac:dyDescent="0.25">
      <c r="A36" s="20">
        <v>1</v>
      </c>
      <c r="B36" s="18">
        <v>0</v>
      </c>
      <c r="C36" s="18">
        <f t="shared" ref="C36:C49" si="3">C35+1</f>
        <v>2</v>
      </c>
      <c r="D36" s="20">
        <v>0</v>
      </c>
      <c r="E36" s="19" t="str">
        <f t="shared" si="0"/>
        <v>2</v>
      </c>
      <c r="F36" s="18" t="s">
        <v>349</v>
      </c>
      <c r="G36" s="19" t="s">
        <v>342</v>
      </c>
    </row>
    <row r="37" spans="1:7" x14ac:dyDescent="0.25">
      <c r="A37" s="20">
        <v>1</v>
      </c>
      <c r="B37" s="18">
        <v>0</v>
      </c>
      <c r="C37" s="18">
        <f t="shared" si="3"/>
        <v>3</v>
      </c>
      <c r="D37" s="20">
        <v>0</v>
      </c>
      <c r="E37" s="19" t="str">
        <f t="shared" si="0"/>
        <v>3</v>
      </c>
      <c r="F37" s="18" t="s">
        <v>350</v>
      </c>
      <c r="G37" s="19" t="s">
        <v>350</v>
      </c>
    </row>
    <row r="38" spans="1:7" x14ac:dyDescent="0.25">
      <c r="A38" s="20">
        <v>1</v>
      </c>
      <c r="B38" s="18">
        <v>0</v>
      </c>
      <c r="C38" s="18">
        <f t="shared" si="3"/>
        <v>4</v>
      </c>
      <c r="D38" s="20">
        <v>0</v>
      </c>
      <c r="E38" s="19" t="str">
        <f t="shared" si="0"/>
        <v>4</v>
      </c>
      <c r="F38" s="18" t="s">
        <v>351</v>
      </c>
      <c r="G38" s="19" t="s">
        <v>351</v>
      </c>
    </row>
    <row r="39" spans="1:7" x14ac:dyDescent="0.25">
      <c r="A39" s="20">
        <v>1</v>
      </c>
      <c r="B39" s="18">
        <v>0</v>
      </c>
      <c r="C39" s="18">
        <f t="shared" si="3"/>
        <v>5</v>
      </c>
      <c r="D39" s="20">
        <v>0</v>
      </c>
      <c r="E39" s="19" t="str">
        <f t="shared" si="0"/>
        <v>5</v>
      </c>
      <c r="F39" s="18" t="s">
        <v>352</v>
      </c>
      <c r="G39" s="19" t="s">
        <v>352</v>
      </c>
    </row>
    <row r="40" spans="1:7" x14ac:dyDescent="0.25">
      <c r="A40" s="20">
        <v>1</v>
      </c>
      <c r="B40" s="18">
        <v>0</v>
      </c>
      <c r="C40" s="18">
        <f t="shared" si="3"/>
        <v>6</v>
      </c>
      <c r="D40" s="20">
        <v>0</v>
      </c>
      <c r="E40" s="19" t="str">
        <f t="shared" si="0"/>
        <v>6</v>
      </c>
      <c r="F40" s="18" t="s">
        <v>353</v>
      </c>
      <c r="G40" s="19" t="s">
        <v>353</v>
      </c>
    </row>
    <row r="41" spans="1:7" x14ac:dyDescent="0.25">
      <c r="A41" s="20">
        <v>1</v>
      </c>
      <c r="B41" s="18">
        <v>0</v>
      </c>
      <c r="C41" s="18">
        <f t="shared" si="3"/>
        <v>7</v>
      </c>
      <c r="D41" s="20">
        <v>0</v>
      </c>
      <c r="E41" s="19" t="str">
        <f t="shared" si="0"/>
        <v>7</v>
      </c>
      <c r="F41" s="18" t="s">
        <v>354</v>
      </c>
      <c r="G41" s="19" t="s">
        <v>354</v>
      </c>
    </row>
    <row r="42" spans="1:7" x14ac:dyDescent="0.25">
      <c r="A42" s="20">
        <v>1</v>
      </c>
      <c r="B42" s="18">
        <v>0</v>
      </c>
      <c r="C42" s="18">
        <f t="shared" si="3"/>
        <v>8</v>
      </c>
      <c r="D42" s="20">
        <v>0</v>
      </c>
      <c r="E42" s="19" t="str">
        <f t="shared" si="0"/>
        <v>8</v>
      </c>
      <c r="F42" s="18" t="s">
        <v>355</v>
      </c>
      <c r="G42" s="19" t="s">
        <v>355</v>
      </c>
    </row>
    <row r="43" spans="1:7" x14ac:dyDescent="0.25">
      <c r="A43" s="20">
        <v>1</v>
      </c>
      <c r="B43" s="18">
        <v>0</v>
      </c>
      <c r="C43" s="18">
        <f t="shared" si="3"/>
        <v>9</v>
      </c>
      <c r="D43" s="20">
        <v>0</v>
      </c>
      <c r="E43" s="19" t="str">
        <f t="shared" si="0"/>
        <v>9</v>
      </c>
      <c r="F43" s="18" t="s">
        <v>342</v>
      </c>
      <c r="G43" s="19" t="s">
        <v>342</v>
      </c>
    </row>
    <row r="44" spans="1:7" x14ac:dyDescent="0.25">
      <c r="A44" s="20">
        <v>1</v>
      </c>
      <c r="B44" s="18">
        <v>0</v>
      </c>
      <c r="C44" s="18">
        <f t="shared" si="3"/>
        <v>10</v>
      </c>
      <c r="D44" s="20">
        <v>0</v>
      </c>
      <c r="E44" s="19" t="str">
        <f t="shared" si="0"/>
        <v>A</v>
      </c>
      <c r="F44" s="18" t="s">
        <v>342</v>
      </c>
      <c r="G44" s="19" t="s">
        <v>342</v>
      </c>
    </row>
    <row r="45" spans="1:7" x14ac:dyDescent="0.25">
      <c r="A45" s="20">
        <v>1</v>
      </c>
      <c r="B45" s="18">
        <v>0</v>
      </c>
      <c r="C45" s="18">
        <f t="shared" si="3"/>
        <v>11</v>
      </c>
      <c r="D45" s="20">
        <v>0</v>
      </c>
      <c r="E45" s="19" t="str">
        <f t="shared" si="0"/>
        <v>B</v>
      </c>
      <c r="F45" s="18" t="s">
        <v>342</v>
      </c>
      <c r="G45" s="19" t="s">
        <v>342</v>
      </c>
    </row>
    <row r="46" spans="1:7" x14ac:dyDescent="0.25">
      <c r="A46" s="20">
        <v>1</v>
      </c>
      <c r="B46" s="18">
        <v>0</v>
      </c>
      <c r="C46" s="18">
        <f t="shared" si="3"/>
        <v>12</v>
      </c>
      <c r="D46" s="20">
        <v>0</v>
      </c>
      <c r="E46" s="19" t="str">
        <f t="shared" si="0"/>
        <v>C</v>
      </c>
      <c r="F46" s="18" t="s">
        <v>342</v>
      </c>
      <c r="G46" s="19" t="s">
        <v>342</v>
      </c>
    </row>
    <row r="47" spans="1:7" x14ac:dyDescent="0.25">
      <c r="A47" s="20">
        <v>1</v>
      </c>
      <c r="B47" s="18">
        <v>0</v>
      </c>
      <c r="C47" s="18">
        <f t="shared" si="3"/>
        <v>13</v>
      </c>
      <c r="D47" s="20">
        <v>0</v>
      </c>
      <c r="E47" s="19" t="str">
        <f t="shared" si="0"/>
        <v>D</v>
      </c>
      <c r="F47" s="18" t="s">
        <v>342</v>
      </c>
      <c r="G47" s="19" t="s">
        <v>342</v>
      </c>
    </row>
    <row r="48" spans="1:7" x14ac:dyDescent="0.25">
      <c r="A48" s="20">
        <v>1</v>
      </c>
      <c r="B48" s="18">
        <v>0</v>
      </c>
      <c r="C48" s="18">
        <f t="shared" si="3"/>
        <v>14</v>
      </c>
      <c r="D48" s="20">
        <v>0</v>
      </c>
      <c r="E48" s="19" t="str">
        <f t="shared" si="0"/>
        <v>E</v>
      </c>
      <c r="F48" s="18" t="s">
        <v>342</v>
      </c>
      <c r="G48" s="19" t="s">
        <v>342</v>
      </c>
    </row>
    <row r="49" spans="1:7" ht="15.75" thickBot="1" x14ac:dyDescent="0.3">
      <c r="A49" s="93">
        <v>1</v>
      </c>
      <c r="B49" s="94">
        <v>0</v>
      </c>
      <c r="C49" s="94">
        <f t="shared" si="3"/>
        <v>15</v>
      </c>
      <c r="D49" s="93">
        <v>0</v>
      </c>
      <c r="E49" s="95" t="str">
        <f t="shared" si="0"/>
        <v>F</v>
      </c>
      <c r="F49" s="94" t="s">
        <v>342</v>
      </c>
      <c r="G49" s="95" t="s">
        <v>342</v>
      </c>
    </row>
    <row r="50" spans="1:7" x14ac:dyDescent="0.25">
      <c r="A50" s="17">
        <v>1</v>
      </c>
      <c r="B50" s="15">
        <v>1</v>
      </c>
      <c r="C50" s="15">
        <v>0</v>
      </c>
      <c r="D50" s="17">
        <v>1</v>
      </c>
      <c r="E50" s="16" t="str">
        <f t="shared" si="0"/>
        <v>0</v>
      </c>
      <c r="F50" s="15" t="s">
        <v>358</v>
      </c>
      <c r="G50" s="16" t="s">
        <v>342</v>
      </c>
    </row>
    <row r="51" spans="1:7" x14ac:dyDescent="0.25">
      <c r="A51" s="20">
        <v>1</v>
      </c>
      <c r="B51" s="18">
        <v>1</v>
      </c>
      <c r="C51" s="18">
        <f>C50+1</f>
        <v>1</v>
      </c>
      <c r="D51" s="20">
        <v>1</v>
      </c>
      <c r="E51" s="19" t="str">
        <f t="shared" si="0"/>
        <v>1</v>
      </c>
      <c r="F51" s="18" t="s">
        <v>342</v>
      </c>
      <c r="G51" s="19" t="s">
        <v>342</v>
      </c>
    </row>
    <row r="52" spans="1:7" x14ac:dyDescent="0.25">
      <c r="A52" s="20">
        <v>1</v>
      </c>
      <c r="B52" s="18">
        <v>1</v>
      </c>
      <c r="C52" s="18">
        <f t="shared" ref="C52:C65" si="4">C51+1</f>
        <v>2</v>
      </c>
      <c r="D52" s="20">
        <v>1</v>
      </c>
      <c r="E52" s="19" t="str">
        <f t="shared" si="0"/>
        <v>2</v>
      </c>
      <c r="F52" s="18" t="s">
        <v>359</v>
      </c>
      <c r="G52" s="19" t="s">
        <v>342</v>
      </c>
    </row>
    <row r="53" spans="1:7" x14ac:dyDescent="0.25">
      <c r="A53" s="20">
        <v>1</v>
      </c>
      <c r="B53" s="18">
        <v>1</v>
      </c>
      <c r="C53" s="18">
        <f t="shared" si="4"/>
        <v>3</v>
      </c>
      <c r="D53" s="20">
        <v>1</v>
      </c>
      <c r="E53" s="19" t="str">
        <f t="shared" si="0"/>
        <v>3</v>
      </c>
      <c r="F53" s="18" t="s">
        <v>360</v>
      </c>
      <c r="G53" s="19" t="s">
        <v>342</v>
      </c>
    </row>
    <row r="54" spans="1:7" x14ac:dyDescent="0.25">
      <c r="A54" s="20">
        <v>1</v>
      </c>
      <c r="B54" s="18">
        <v>1</v>
      </c>
      <c r="C54" s="18">
        <f t="shared" si="4"/>
        <v>4</v>
      </c>
      <c r="D54" s="20">
        <v>1</v>
      </c>
      <c r="E54" s="19" t="str">
        <f t="shared" si="0"/>
        <v>4</v>
      </c>
      <c r="F54" s="18" t="s">
        <v>342</v>
      </c>
      <c r="G54" s="19" t="s">
        <v>342</v>
      </c>
    </row>
    <row r="55" spans="1:7" x14ac:dyDescent="0.25">
      <c r="A55" s="20">
        <v>1</v>
      </c>
      <c r="B55" s="18">
        <v>1</v>
      </c>
      <c r="C55" s="18">
        <f t="shared" si="4"/>
        <v>5</v>
      </c>
      <c r="D55" s="20">
        <v>1</v>
      </c>
      <c r="E55" s="19" t="str">
        <f t="shared" si="0"/>
        <v>5</v>
      </c>
      <c r="F55" s="18" t="s">
        <v>342</v>
      </c>
      <c r="G55" s="19" t="s">
        <v>342</v>
      </c>
    </row>
    <row r="56" spans="1:7" x14ac:dyDescent="0.25">
      <c r="A56" s="20">
        <v>1</v>
      </c>
      <c r="B56" s="18">
        <v>1</v>
      </c>
      <c r="C56" s="18">
        <f t="shared" si="4"/>
        <v>6</v>
      </c>
      <c r="D56" s="20">
        <v>1</v>
      </c>
      <c r="E56" s="19" t="str">
        <f t="shared" si="0"/>
        <v>6</v>
      </c>
      <c r="F56" s="18" t="s">
        <v>342</v>
      </c>
      <c r="G56" s="19" t="s">
        <v>342</v>
      </c>
    </row>
    <row r="57" spans="1:7" x14ac:dyDescent="0.25">
      <c r="A57" s="20">
        <v>1</v>
      </c>
      <c r="B57" s="18">
        <v>1</v>
      </c>
      <c r="C57" s="18">
        <f t="shared" si="4"/>
        <v>7</v>
      </c>
      <c r="D57" s="20">
        <v>1</v>
      </c>
      <c r="E57" s="19" t="str">
        <f t="shared" si="0"/>
        <v>7</v>
      </c>
      <c r="F57" s="18" t="s">
        <v>342</v>
      </c>
      <c r="G57" s="19" t="s">
        <v>342</v>
      </c>
    </row>
    <row r="58" spans="1:7" x14ac:dyDescent="0.25">
      <c r="A58" s="20">
        <v>1</v>
      </c>
      <c r="B58" s="18">
        <v>1</v>
      </c>
      <c r="C58" s="18">
        <f t="shared" si="4"/>
        <v>8</v>
      </c>
      <c r="D58" s="20">
        <v>1</v>
      </c>
      <c r="E58" s="19" t="str">
        <f t="shared" si="0"/>
        <v>8</v>
      </c>
      <c r="F58" s="18" t="s">
        <v>342</v>
      </c>
      <c r="G58" s="19" t="s">
        <v>342</v>
      </c>
    </row>
    <row r="59" spans="1:7" x14ac:dyDescent="0.25">
      <c r="A59" s="20">
        <v>1</v>
      </c>
      <c r="B59" s="18">
        <v>1</v>
      </c>
      <c r="C59" s="18">
        <f t="shared" si="4"/>
        <v>9</v>
      </c>
      <c r="D59" s="20">
        <v>1</v>
      </c>
      <c r="E59" s="19" t="str">
        <f t="shared" si="0"/>
        <v>9</v>
      </c>
      <c r="F59" s="18" t="s">
        <v>342</v>
      </c>
      <c r="G59" s="19" t="s">
        <v>342</v>
      </c>
    </row>
    <row r="60" spans="1:7" x14ac:dyDescent="0.25">
      <c r="A60" s="20">
        <v>1</v>
      </c>
      <c r="B60" s="18">
        <v>1</v>
      </c>
      <c r="C60" s="18">
        <f t="shared" si="4"/>
        <v>10</v>
      </c>
      <c r="D60" s="20">
        <v>1</v>
      </c>
      <c r="E60" s="19" t="str">
        <f t="shared" si="0"/>
        <v>A</v>
      </c>
      <c r="F60" s="18" t="s">
        <v>342</v>
      </c>
      <c r="G60" s="19" t="s">
        <v>342</v>
      </c>
    </row>
    <row r="61" spans="1:7" x14ac:dyDescent="0.25">
      <c r="A61" s="20">
        <v>1</v>
      </c>
      <c r="B61" s="18">
        <v>1</v>
      </c>
      <c r="C61" s="18">
        <f t="shared" si="4"/>
        <v>11</v>
      </c>
      <c r="D61" s="20">
        <v>1</v>
      </c>
      <c r="E61" s="19" t="str">
        <f t="shared" si="0"/>
        <v>B</v>
      </c>
      <c r="F61" s="18" t="s">
        <v>342</v>
      </c>
      <c r="G61" s="19" t="s">
        <v>342</v>
      </c>
    </row>
    <row r="62" spans="1:7" x14ac:dyDescent="0.25">
      <c r="A62" s="20">
        <v>1</v>
      </c>
      <c r="B62" s="18">
        <v>1</v>
      </c>
      <c r="C62" s="18">
        <f t="shared" si="4"/>
        <v>12</v>
      </c>
      <c r="D62" s="20">
        <v>1</v>
      </c>
      <c r="E62" s="19" t="str">
        <f t="shared" si="0"/>
        <v>C</v>
      </c>
      <c r="F62" s="18" t="s">
        <v>342</v>
      </c>
      <c r="G62" s="19" t="s">
        <v>342</v>
      </c>
    </row>
    <row r="63" spans="1:7" x14ac:dyDescent="0.25">
      <c r="A63" s="20">
        <v>1</v>
      </c>
      <c r="B63" s="18">
        <v>1</v>
      </c>
      <c r="C63" s="18">
        <f t="shared" si="4"/>
        <v>13</v>
      </c>
      <c r="D63" s="20">
        <v>1</v>
      </c>
      <c r="E63" s="19" t="str">
        <f t="shared" si="0"/>
        <v>D</v>
      </c>
      <c r="F63" s="18" t="s">
        <v>342</v>
      </c>
      <c r="G63" s="19" t="s">
        <v>342</v>
      </c>
    </row>
    <row r="64" spans="1:7" x14ac:dyDescent="0.25">
      <c r="A64" s="20">
        <v>1</v>
      </c>
      <c r="B64" s="18">
        <v>1</v>
      </c>
      <c r="C64" s="18">
        <f t="shared" si="4"/>
        <v>14</v>
      </c>
      <c r="D64" s="20">
        <v>1</v>
      </c>
      <c r="E64" s="19" t="str">
        <f t="shared" si="0"/>
        <v>E</v>
      </c>
      <c r="F64" s="18" t="s">
        <v>342</v>
      </c>
      <c r="G64" s="19" t="s">
        <v>342</v>
      </c>
    </row>
    <row r="65" spans="1:7" ht="15.75" thickBot="1" x14ac:dyDescent="0.3">
      <c r="A65" s="93">
        <v>1</v>
      </c>
      <c r="B65" s="94">
        <v>1</v>
      </c>
      <c r="C65" s="94">
        <f t="shared" si="4"/>
        <v>15</v>
      </c>
      <c r="D65" s="93">
        <v>1</v>
      </c>
      <c r="E65" s="95" t="str">
        <f t="shared" si="0"/>
        <v>F</v>
      </c>
      <c r="F65" s="94" t="s">
        <v>342</v>
      </c>
      <c r="G65" s="95" t="s">
        <v>342</v>
      </c>
    </row>
  </sheetData>
  <mergeCells count="1">
    <mergeCell ref="D1:E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35"/>
  <sheetViews>
    <sheetView workbookViewId="0">
      <selection activeCell="F7" sqref="F7"/>
    </sheetView>
  </sheetViews>
  <sheetFormatPr defaultRowHeight="15" x14ac:dyDescent="0.25"/>
  <cols>
    <col min="5" max="5" width="16.85546875" bestFit="1" customWidth="1"/>
    <col min="6" max="6" width="32.85546875" customWidth="1"/>
  </cols>
  <sheetData>
    <row r="2" spans="1:6" x14ac:dyDescent="0.25">
      <c r="A2">
        <v>0</v>
      </c>
      <c r="B2" t="str">
        <f>DEC2HEX(A2,4)</f>
        <v>0000</v>
      </c>
      <c r="C2" t="s">
        <v>126</v>
      </c>
      <c r="D2" t="s">
        <v>0</v>
      </c>
      <c r="E2" t="s">
        <v>125</v>
      </c>
      <c r="F2" t="s">
        <v>236</v>
      </c>
    </row>
    <row r="3" spans="1:6" x14ac:dyDescent="0.25">
      <c r="A3">
        <v>15</v>
      </c>
      <c r="B3" t="str">
        <f t="shared" ref="B3:B72" si="0">DEC2HEX(A3,4)</f>
        <v>000F</v>
      </c>
      <c r="C3" t="s">
        <v>38</v>
      </c>
      <c r="D3" t="s">
        <v>0</v>
      </c>
    </row>
    <row r="4" spans="1:6" x14ac:dyDescent="0.25">
      <c r="A4">
        <v>16</v>
      </c>
      <c r="B4" t="str">
        <f>DEC2HEX(A4,4)</f>
        <v>0010</v>
      </c>
      <c r="C4" t="s">
        <v>126</v>
      </c>
      <c r="D4" t="s">
        <v>0</v>
      </c>
      <c r="E4" t="s">
        <v>125</v>
      </c>
      <c r="F4" t="s">
        <v>237</v>
      </c>
    </row>
    <row r="5" spans="1:6" x14ac:dyDescent="0.25">
      <c r="A5">
        <v>31</v>
      </c>
      <c r="B5" t="str">
        <f t="shared" ref="B5" si="1">DEC2HEX(A5,4)</f>
        <v>001F</v>
      </c>
      <c r="C5" t="s">
        <v>38</v>
      </c>
      <c r="D5" t="s">
        <v>0</v>
      </c>
    </row>
    <row r="6" spans="1:6" x14ac:dyDescent="0.25">
      <c r="A6">
        <v>31</v>
      </c>
      <c r="B6" t="str">
        <f>DEC2HEX(A6,4)</f>
        <v>001F</v>
      </c>
      <c r="C6" t="s">
        <v>126</v>
      </c>
      <c r="D6" t="s">
        <v>0</v>
      </c>
      <c r="E6" t="s">
        <v>125</v>
      </c>
      <c r="F6" t="s">
        <v>238</v>
      </c>
    </row>
    <row r="7" spans="1:6" x14ac:dyDescent="0.25">
      <c r="A7">
        <v>47</v>
      </c>
      <c r="B7" t="str">
        <f t="shared" ref="B7" si="2">DEC2HEX(A7,4)</f>
        <v>002F</v>
      </c>
      <c r="C7" t="s">
        <v>38</v>
      </c>
      <c r="D7" t="s">
        <v>0</v>
      </c>
    </row>
    <row r="8" spans="1:6" x14ac:dyDescent="0.25">
      <c r="A8">
        <v>1024</v>
      </c>
      <c r="B8" t="str">
        <f t="shared" si="0"/>
        <v>0400</v>
      </c>
      <c r="C8" t="s">
        <v>126</v>
      </c>
      <c r="D8" t="s">
        <v>159</v>
      </c>
      <c r="E8" t="s">
        <v>127</v>
      </c>
    </row>
    <row r="9" spans="1:6" x14ac:dyDescent="0.25">
      <c r="A9">
        <f>A8+31</f>
        <v>1055</v>
      </c>
      <c r="B9" t="str">
        <f t="shared" si="0"/>
        <v>041F</v>
      </c>
      <c r="C9" t="s">
        <v>38</v>
      </c>
      <c r="D9" t="s">
        <v>159</v>
      </c>
    </row>
    <row r="10" spans="1:6" x14ac:dyDescent="0.25">
      <c r="A10">
        <f>A9+1</f>
        <v>1056</v>
      </c>
      <c r="B10" t="str">
        <f t="shared" si="0"/>
        <v>0420</v>
      </c>
      <c r="C10" t="s">
        <v>126</v>
      </c>
      <c r="D10" t="s">
        <v>159</v>
      </c>
      <c r="E10" t="s">
        <v>128</v>
      </c>
    </row>
    <row r="11" spans="1:6" x14ac:dyDescent="0.25">
      <c r="A11">
        <f>A10+31</f>
        <v>1087</v>
      </c>
      <c r="B11" t="str">
        <f t="shared" si="0"/>
        <v>043F</v>
      </c>
      <c r="C11" t="s">
        <v>38</v>
      </c>
      <c r="D11" t="s">
        <v>159</v>
      </c>
    </row>
    <row r="12" spans="1:6" x14ac:dyDescent="0.25">
      <c r="A12">
        <f>A11+1</f>
        <v>1088</v>
      </c>
      <c r="B12" t="str">
        <f t="shared" si="0"/>
        <v>0440</v>
      </c>
      <c r="C12" t="s">
        <v>126</v>
      </c>
      <c r="D12" t="s">
        <v>159</v>
      </c>
      <c r="E12" t="s">
        <v>130</v>
      </c>
    </row>
    <row r="13" spans="1:6" x14ac:dyDescent="0.25">
      <c r="A13">
        <f>A12+31</f>
        <v>1119</v>
      </c>
      <c r="B13" t="str">
        <f t="shared" si="0"/>
        <v>045F</v>
      </c>
      <c r="C13" t="s">
        <v>38</v>
      </c>
      <c r="D13" t="s">
        <v>159</v>
      </c>
    </row>
    <row r="14" spans="1:6" x14ac:dyDescent="0.25">
      <c r="A14">
        <f>A13+1</f>
        <v>1120</v>
      </c>
      <c r="B14" t="str">
        <f t="shared" si="0"/>
        <v>0460</v>
      </c>
      <c r="C14" t="s">
        <v>126</v>
      </c>
      <c r="D14" t="s">
        <v>159</v>
      </c>
      <c r="E14" t="s">
        <v>131</v>
      </c>
    </row>
    <row r="15" spans="1:6" x14ac:dyDescent="0.25">
      <c r="A15">
        <f>A14+31</f>
        <v>1151</v>
      </c>
      <c r="B15" t="str">
        <f t="shared" si="0"/>
        <v>047F</v>
      </c>
      <c r="C15" t="s">
        <v>38</v>
      </c>
      <c r="D15" t="s">
        <v>159</v>
      </c>
    </row>
    <row r="16" spans="1:6" x14ac:dyDescent="0.25">
      <c r="A16">
        <f>A15+1</f>
        <v>1152</v>
      </c>
      <c r="B16" t="str">
        <f t="shared" si="0"/>
        <v>0480</v>
      </c>
      <c r="C16" t="s">
        <v>126</v>
      </c>
      <c r="D16" t="s">
        <v>159</v>
      </c>
      <c r="E16" t="s">
        <v>132</v>
      </c>
    </row>
    <row r="17" spans="1:5" x14ac:dyDescent="0.25">
      <c r="A17">
        <f>A16+31</f>
        <v>1183</v>
      </c>
      <c r="B17" t="str">
        <f t="shared" si="0"/>
        <v>049F</v>
      </c>
      <c r="C17" t="s">
        <v>38</v>
      </c>
      <c r="D17" t="s">
        <v>159</v>
      </c>
    </row>
    <row r="18" spans="1:5" x14ac:dyDescent="0.25">
      <c r="A18">
        <f>A17+1</f>
        <v>1184</v>
      </c>
      <c r="B18" t="str">
        <f t="shared" si="0"/>
        <v>04A0</v>
      </c>
      <c r="C18" t="s">
        <v>126</v>
      </c>
      <c r="D18" t="s">
        <v>159</v>
      </c>
      <c r="E18" t="s">
        <v>133</v>
      </c>
    </row>
    <row r="19" spans="1:5" x14ac:dyDescent="0.25">
      <c r="A19">
        <f>A18+31</f>
        <v>1215</v>
      </c>
      <c r="B19" t="str">
        <f t="shared" si="0"/>
        <v>04BF</v>
      </c>
      <c r="C19" t="s">
        <v>38</v>
      </c>
      <c r="D19" t="s">
        <v>159</v>
      </c>
    </row>
    <row r="20" spans="1:5" x14ac:dyDescent="0.25">
      <c r="A20">
        <f>A19+1</f>
        <v>1216</v>
      </c>
      <c r="B20" t="str">
        <f t="shared" si="0"/>
        <v>04C0</v>
      </c>
      <c r="C20" t="s">
        <v>126</v>
      </c>
      <c r="D20" t="s">
        <v>159</v>
      </c>
      <c r="E20" t="s">
        <v>134</v>
      </c>
    </row>
    <row r="21" spans="1:5" x14ac:dyDescent="0.25">
      <c r="A21">
        <f>A20+31</f>
        <v>1247</v>
      </c>
      <c r="B21" t="str">
        <f t="shared" si="0"/>
        <v>04DF</v>
      </c>
      <c r="C21" t="s">
        <v>38</v>
      </c>
      <c r="D21" t="s">
        <v>159</v>
      </c>
    </row>
    <row r="22" spans="1:5" x14ac:dyDescent="0.25">
      <c r="A22">
        <f>A21+1</f>
        <v>1248</v>
      </c>
      <c r="B22" t="str">
        <f t="shared" si="0"/>
        <v>04E0</v>
      </c>
      <c r="C22" t="s">
        <v>126</v>
      </c>
      <c r="D22" t="s">
        <v>159</v>
      </c>
      <c r="E22" t="s">
        <v>135</v>
      </c>
    </row>
    <row r="23" spans="1:5" x14ac:dyDescent="0.25">
      <c r="A23">
        <f>A22+31</f>
        <v>1279</v>
      </c>
      <c r="B23" t="str">
        <f t="shared" si="0"/>
        <v>04FF</v>
      </c>
      <c r="C23" t="s">
        <v>38</v>
      </c>
      <c r="D23" t="s">
        <v>159</v>
      </c>
    </row>
    <row r="24" spans="1:5" x14ac:dyDescent="0.25">
      <c r="A24">
        <f>A23+1</f>
        <v>1280</v>
      </c>
      <c r="B24" t="str">
        <f t="shared" si="0"/>
        <v>0500</v>
      </c>
      <c r="C24" t="s">
        <v>126</v>
      </c>
      <c r="D24" t="s">
        <v>159</v>
      </c>
      <c r="E24" t="s">
        <v>136</v>
      </c>
    </row>
    <row r="25" spans="1:5" x14ac:dyDescent="0.25">
      <c r="A25">
        <f>A24+31</f>
        <v>1311</v>
      </c>
      <c r="B25" t="str">
        <f t="shared" si="0"/>
        <v>051F</v>
      </c>
      <c r="C25" t="s">
        <v>38</v>
      </c>
      <c r="D25" t="s">
        <v>159</v>
      </c>
    </row>
    <row r="26" spans="1:5" x14ac:dyDescent="0.25">
      <c r="A26">
        <f>A25+1</f>
        <v>1312</v>
      </c>
      <c r="B26" t="str">
        <f t="shared" si="0"/>
        <v>0520</v>
      </c>
      <c r="C26" t="s">
        <v>126</v>
      </c>
      <c r="D26" t="s">
        <v>159</v>
      </c>
      <c r="E26" t="s">
        <v>137</v>
      </c>
    </row>
    <row r="27" spans="1:5" x14ac:dyDescent="0.25">
      <c r="A27">
        <f>A26+31</f>
        <v>1343</v>
      </c>
      <c r="B27" t="str">
        <f t="shared" si="0"/>
        <v>053F</v>
      </c>
      <c r="C27" t="s">
        <v>38</v>
      </c>
      <c r="D27" t="s">
        <v>159</v>
      </c>
    </row>
    <row r="28" spans="1:5" x14ac:dyDescent="0.25">
      <c r="A28">
        <f>A27+1</f>
        <v>1344</v>
      </c>
      <c r="B28" t="str">
        <f t="shared" si="0"/>
        <v>0540</v>
      </c>
      <c r="C28" t="s">
        <v>126</v>
      </c>
      <c r="D28" t="s">
        <v>159</v>
      </c>
      <c r="E28" t="s">
        <v>138</v>
      </c>
    </row>
    <row r="29" spans="1:5" x14ac:dyDescent="0.25">
      <c r="A29">
        <f>A28+31</f>
        <v>1375</v>
      </c>
      <c r="B29" t="str">
        <f t="shared" si="0"/>
        <v>055F</v>
      </c>
      <c r="C29" t="s">
        <v>38</v>
      </c>
      <c r="D29" t="s">
        <v>159</v>
      </c>
    </row>
    <row r="30" spans="1:5" x14ac:dyDescent="0.25">
      <c r="A30">
        <f>A29+1</f>
        <v>1376</v>
      </c>
      <c r="B30" t="str">
        <f t="shared" si="0"/>
        <v>0560</v>
      </c>
      <c r="C30" t="s">
        <v>126</v>
      </c>
      <c r="D30" t="s">
        <v>159</v>
      </c>
      <c r="E30" t="s">
        <v>139</v>
      </c>
    </row>
    <row r="31" spans="1:5" x14ac:dyDescent="0.25">
      <c r="A31">
        <f>A30+31</f>
        <v>1407</v>
      </c>
      <c r="B31" t="str">
        <f t="shared" si="0"/>
        <v>057F</v>
      </c>
      <c r="C31" t="s">
        <v>38</v>
      </c>
      <c r="D31" t="s">
        <v>159</v>
      </c>
    </row>
    <row r="32" spans="1:5" x14ac:dyDescent="0.25">
      <c r="A32">
        <f>A31+1</f>
        <v>1408</v>
      </c>
      <c r="B32" t="str">
        <f t="shared" si="0"/>
        <v>0580</v>
      </c>
      <c r="C32" t="s">
        <v>126</v>
      </c>
      <c r="D32" t="s">
        <v>159</v>
      </c>
      <c r="E32" t="s">
        <v>140</v>
      </c>
    </row>
    <row r="33" spans="1:5" x14ac:dyDescent="0.25">
      <c r="A33">
        <f>A32+31</f>
        <v>1439</v>
      </c>
      <c r="B33" t="str">
        <f t="shared" si="0"/>
        <v>059F</v>
      </c>
      <c r="C33" t="s">
        <v>38</v>
      </c>
      <c r="D33" t="s">
        <v>159</v>
      </c>
    </row>
    <row r="34" spans="1:5" x14ac:dyDescent="0.25">
      <c r="A34">
        <f>A33+1</f>
        <v>1440</v>
      </c>
      <c r="B34" t="str">
        <f t="shared" si="0"/>
        <v>05A0</v>
      </c>
      <c r="C34" t="s">
        <v>126</v>
      </c>
      <c r="D34" t="s">
        <v>159</v>
      </c>
      <c r="E34" t="s">
        <v>141</v>
      </c>
    </row>
    <row r="35" spans="1:5" x14ac:dyDescent="0.25">
      <c r="A35">
        <f>A34+31</f>
        <v>1471</v>
      </c>
      <c r="B35" t="str">
        <f t="shared" si="0"/>
        <v>05BF</v>
      </c>
      <c r="C35" t="s">
        <v>38</v>
      </c>
      <c r="D35" t="s">
        <v>159</v>
      </c>
    </row>
    <row r="36" spans="1:5" x14ac:dyDescent="0.25">
      <c r="A36">
        <f>A35+1</f>
        <v>1472</v>
      </c>
      <c r="B36" t="str">
        <f t="shared" si="0"/>
        <v>05C0</v>
      </c>
      <c r="C36" t="s">
        <v>126</v>
      </c>
      <c r="D36" t="s">
        <v>159</v>
      </c>
      <c r="E36" t="s">
        <v>142</v>
      </c>
    </row>
    <row r="37" spans="1:5" x14ac:dyDescent="0.25">
      <c r="A37">
        <f>A36+31</f>
        <v>1503</v>
      </c>
      <c r="B37" t="str">
        <f t="shared" si="0"/>
        <v>05DF</v>
      </c>
      <c r="C37" t="s">
        <v>38</v>
      </c>
      <c r="D37" t="s">
        <v>159</v>
      </c>
    </row>
    <row r="38" spans="1:5" x14ac:dyDescent="0.25">
      <c r="A38">
        <f>A37+1</f>
        <v>1504</v>
      </c>
      <c r="B38" t="str">
        <f t="shared" si="0"/>
        <v>05E0</v>
      </c>
      <c r="C38" t="s">
        <v>126</v>
      </c>
      <c r="D38" t="s">
        <v>159</v>
      </c>
      <c r="E38" t="s">
        <v>143</v>
      </c>
    </row>
    <row r="39" spans="1:5" x14ac:dyDescent="0.25">
      <c r="A39">
        <f>A38+31</f>
        <v>1535</v>
      </c>
      <c r="B39" t="str">
        <f t="shared" si="0"/>
        <v>05FF</v>
      </c>
      <c r="C39" t="s">
        <v>38</v>
      </c>
      <c r="D39" t="s">
        <v>159</v>
      </c>
    </row>
    <row r="40" spans="1:5" x14ac:dyDescent="0.25">
      <c r="A40">
        <f>A39+1</f>
        <v>1536</v>
      </c>
      <c r="B40" t="str">
        <f t="shared" si="0"/>
        <v>0600</v>
      </c>
      <c r="C40" t="s">
        <v>126</v>
      </c>
      <c r="D40" t="s">
        <v>159</v>
      </c>
      <c r="E40" t="s">
        <v>144</v>
      </c>
    </row>
    <row r="41" spans="1:5" x14ac:dyDescent="0.25">
      <c r="A41">
        <f>A40+31</f>
        <v>1567</v>
      </c>
      <c r="B41" t="str">
        <f t="shared" si="0"/>
        <v>061F</v>
      </c>
      <c r="C41" t="s">
        <v>38</v>
      </c>
      <c r="D41" t="s">
        <v>159</v>
      </c>
    </row>
    <row r="42" spans="1:5" x14ac:dyDescent="0.25">
      <c r="A42">
        <f>A41+1</f>
        <v>1568</v>
      </c>
      <c r="B42" t="str">
        <f t="shared" si="0"/>
        <v>0620</v>
      </c>
      <c r="C42" t="s">
        <v>126</v>
      </c>
      <c r="D42" t="s">
        <v>159</v>
      </c>
      <c r="E42" t="s">
        <v>145</v>
      </c>
    </row>
    <row r="43" spans="1:5" x14ac:dyDescent="0.25">
      <c r="A43">
        <f>A42+31</f>
        <v>1599</v>
      </c>
      <c r="B43" t="str">
        <f t="shared" si="0"/>
        <v>063F</v>
      </c>
      <c r="C43" t="s">
        <v>38</v>
      </c>
      <c r="D43" t="s">
        <v>159</v>
      </c>
    </row>
    <row r="44" spans="1:5" x14ac:dyDescent="0.25">
      <c r="A44">
        <f>A43+1</f>
        <v>1600</v>
      </c>
      <c r="B44" t="str">
        <f t="shared" si="0"/>
        <v>0640</v>
      </c>
      <c r="C44" t="s">
        <v>126</v>
      </c>
      <c r="D44" t="s">
        <v>159</v>
      </c>
      <c r="E44" t="s">
        <v>146</v>
      </c>
    </row>
    <row r="45" spans="1:5" x14ac:dyDescent="0.25">
      <c r="A45">
        <f>A44+31</f>
        <v>1631</v>
      </c>
      <c r="B45" t="str">
        <f t="shared" si="0"/>
        <v>065F</v>
      </c>
      <c r="C45" t="s">
        <v>38</v>
      </c>
      <c r="D45" t="s">
        <v>159</v>
      </c>
    </row>
    <row r="46" spans="1:5" x14ac:dyDescent="0.25">
      <c r="A46">
        <f>A45+1</f>
        <v>1632</v>
      </c>
      <c r="B46" t="str">
        <f t="shared" si="0"/>
        <v>0660</v>
      </c>
      <c r="C46" t="s">
        <v>126</v>
      </c>
      <c r="D46" t="s">
        <v>159</v>
      </c>
      <c r="E46" t="s">
        <v>147</v>
      </c>
    </row>
    <row r="47" spans="1:5" x14ac:dyDescent="0.25">
      <c r="A47">
        <f>A46+31</f>
        <v>1663</v>
      </c>
      <c r="B47" t="str">
        <f t="shared" si="0"/>
        <v>067F</v>
      </c>
      <c r="C47" t="s">
        <v>38</v>
      </c>
      <c r="D47" t="s">
        <v>159</v>
      </c>
    </row>
    <row r="48" spans="1:5" x14ac:dyDescent="0.25">
      <c r="A48">
        <f>A47+1</f>
        <v>1664</v>
      </c>
      <c r="B48" t="str">
        <f t="shared" si="0"/>
        <v>0680</v>
      </c>
      <c r="C48" t="s">
        <v>126</v>
      </c>
      <c r="D48" t="s">
        <v>159</v>
      </c>
      <c r="E48" t="s">
        <v>148</v>
      </c>
    </row>
    <row r="49" spans="1:5" x14ac:dyDescent="0.25">
      <c r="A49">
        <f>A48+31</f>
        <v>1695</v>
      </c>
      <c r="B49" t="str">
        <f t="shared" si="0"/>
        <v>069F</v>
      </c>
      <c r="C49" t="s">
        <v>38</v>
      </c>
      <c r="D49" t="s">
        <v>159</v>
      </c>
    </row>
    <row r="50" spans="1:5" x14ac:dyDescent="0.25">
      <c r="A50">
        <f>A49+1</f>
        <v>1696</v>
      </c>
      <c r="B50" t="str">
        <f t="shared" si="0"/>
        <v>06A0</v>
      </c>
      <c r="C50" t="s">
        <v>126</v>
      </c>
      <c r="D50" t="s">
        <v>159</v>
      </c>
      <c r="E50" t="s">
        <v>149</v>
      </c>
    </row>
    <row r="51" spans="1:5" x14ac:dyDescent="0.25">
      <c r="A51">
        <f>A50+31</f>
        <v>1727</v>
      </c>
      <c r="B51" t="str">
        <f t="shared" si="0"/>
        <v>06BF</v>
      </c>
      <c r="C51" t="s">
        <v>38</v>
      </c>
      <c r="D51" t="s">
        <v>159</v>
      </c>
    </row>
    <row r="52" spans="1:5" x14ac:dyDescent="0.25">
      <c r="A52">
        <f>A51+1</f>
        <v>1728</v>
      </c>
      <c r="B52" t="str">
        <f t="shared" si="0"/>
        <v>06C0</v>
      </c>
      <c r="C52" t="s">
        <v>126</v>
      </c>
      <c r="D52" t="s">
        <v>159</v>
      </c>
      <c r="E52" t="s">
        <v>150</v>
      </c>
    </row>
    <row r="53" spans="1:5" x14ac:dyDescent="0.25">
      <c r="A53">
        <f>A52+31</f>
        <v>1759</v>
      </c>
      <c r="B53" t="str">
        <f t="shared" si="0"/>
        <v>06DF</v>
      </c>
      <c r="C53" t="s">
        <v>38</v>
      </c>
      <c r="D53" t="s">
        <v>159</v>
      </c>
    </row>
    <row r="54" spans="1:5" x14ac:dyDescent="0.25">
      <c r="A54">
        <f>A53+1</f>
        <v>1760</v>
      </c>
      <c r="B54" t="str">
        <f t="shared" si="0"/>
        <v>06E0</v>
      </c>
      <c r="C54" t="s">
        <v>126</v>
      </c>
      <c r="D54" t="s">
        <v>159</v>
      </c>
      <c r="E54" t="s">
        <v>151</v>
      </c>
    </row>
    <row r="55" spans="1:5" x14ac:dyDescent="0.25">
      <c r="A55">
        <f>A54+31</f>
        <v>1791</v>
      </c>
      <c r="B55" t="str">
        <f t="shared" si="0"/>
        <v>06FF</v>
      </c>
      <c r="C55" t="s">
        <v>38</v>
      </c>
      <c r="D55" t="s">
        <v>159</v>
      </c>
    </row>
    <row r="56" spans="1:5" x14ac:dyDescent="0.25">
      <c r="A56">
        <f>A55+1</f>
        <v>1792</v>
      </c>
      <c r="B56" t="str">
        <f t="shared" si="0"/>
        <v>0700</v>
      </c>
      <c r="C56" t="s">
        <v>126</v>
      </c>
      <c r="D56" t="s">
        <v>159</v>
      </c>
      <c r="E56" t="s">
        <v>152</v>
      </c>
    </row>
    <row r="57" spans="1:5" x14ac:dyDescent="0.25">
      <c r="A57">
        <f>A56+31</f>
        <v>1823</v>
      </c>
      <c r="B57" t="str">
        <f t="shared" si="0"/>
        <v>071F</v>
      </c>
      <c r="C57" t="s">
        <v>38</v>
      </c>
      <c r="D57" t="s">
        <v>159</v>
      </c>
    </row>
    <row r="58" spans="1:5" x14ac:dyDescent="0.25">
      <c r="A58">
        <f>A57+1</f>
        <v>1824</v>
      </c>
      <c r="B58" t="str">
        <f t="shared" si="0"/>
        <v>0720</v>
      </c>
      <c r="C58" t="s">
        <v>126</v>
      </c>
      <c r="D58" t="s">
        <v>159</v>
      </c>
      <c r="E58" t="s">
        <v>153</v>
      </c>
    </row>
    <row r="59" spans="1:5" x14ac:dyDescent="0.25">
      <c r="A59">
        <f>A58+31</f>
        <v>1855</v>
      </c>
      <c r="B59" t="str">
        <f t="shared" si="0"/>
        <v>073F</v>
      </c>
      <c r="C59" t="s">
        <v>38</v>
      </c>
      <c r="D59" t="s">
        <v>159</v>
      </c>
    </row>
    <row r="60" spans="1:5" x14ac:dyDescent="0.25">
      <c r="A60">
        <f>A59+1</f>
        <v>1856</v>
      </c>
      <c r="B60" t="str">
        <f t="shared" si="0"/>
        <v>0740</v>
      </c>
      <c r="C60" t="s">
        <v>126</v>
      </c>
      <c r="D60" t="s">
        <v>159</v>
      </c>
      <c r="E60" t="s">
        <v>154</v>
      </c>
    </row>
    <row r="61" spans="1:5" x14ac:dyDescent="0.25">
      <c r="A61">
        <f>A60+31</f>
        <v>1887</v>
      </c>
      <c r="B61" t="str">
        <f t="shared" si="0"/>
        <v>075F</v>
      </c>
      <c r="C61" t="s">
        <v>38</v>
      </c>
      <c r="D61" t="s">
        <v>159</v>
      </c>
    </row>
    <row r="62" spans="1:5" x14ac:dyDescent="0.25">
      <c r="A62">
        <f>A61+1</f>
        <v>1888</v>
      </c>
      <c r="B62" t="str">
        <f t="shared" si="0"/>
        <v>0760</v>
      </c>
      <c r="C62" t="s">
        <v>126</v>
      </c>
      <c r="D62" t="s">
        <v>159</v>
      </c>
      <c r="E62" t="s">
        <v>155</v>
      </c>
    </row>
    <row r="63" spans="1:5" x14ac:dyDescent="0.25">
      <c r="A63">
        <f>A62+31</f>
        <v>1919</v>
      </c>
      <c r="B63" t="str">
        <f t="shared" si="0"/>
        <v>077F</v>
      </c>
      <c r="C63" t="s">
        <v>38</v>
      </c>
      <c r="D63" t="s">
        <v>159</v>
      </c>
    </row>
    <row r="64" spans="1:5" x14ac:dyDescent="0.25">
      <c r="A64">
        <f>A63+1</f>
        <v>1920</v>
      </c>
      <c r="B64" t="str">
        <f t="shared" si="0"/>
        <v>0780</v>
      </c>
      <c r="C64" t="s">
        <v>126</v>
      </c>
      <c r="D64" t="s">
        <v>159</v>
      </c>
      <c r="E64" t="s">
        <v>156</v>
      </c>
    </row>
    <row r="65" spans="1:5" x14ac:dyDescent="0.25">
      <c r="A65">
        <f>A64+31</f>
        <v>1951</v>
      </c>
      <c r="B65" t="str">
        <f t="shared" si="0"/>
        <v>079F</v>
      </c>
      <c r="C65" t="s">
        <v>38</v>
      </c>
      <c r="D65" t="s">
        <v>159</v>
      </c>
    </row>
    <row r="66" spans="1:5" x14ac:dyDescent="0.25">
      <c r="A66">
        <f>A65+1</f>
        <v>1952</v>
      </c>
      <c r="B66" t="str">
        <f t="shared" si="0"/>
        <v>07A0</v>
      </c>
      <c r="C66" t="s">
        <v>126</v>
      </c>
      <c r="D66" t="s">
        <v>159</v>
      </c>
      <c r="E66" t="s">
        <v>157</v>
      </c>
    </row>
    <row r="67" spans="1:5" x14ac:dyDescent="0.25">
      <c r="A67">
        <f>A66+31</f>
        <v>1983</v>
      </c>
      <c r="B67" t="str">
        <f t="shared" si="0"/>
        <v>07BF</v>
      </c>
      <c r="C67" t="s">
        <v>38</v>
      </c>
      <c r="D67" t="s">
        <v>159</v>
      </c>
    </row>
    <row r="68" spans="1:5" x14ac:dyDescent="0.25">
      <c r="A68">
        <f>A67+1</f>
        <v>1984</v>
      </c>
      <c r="B68" t="str">
        <f t="shared" si="0"/>
        <v>07C0</v>
      </c>
      <c r="C68" t="s">
        <v>126</v>
      </c>
      <c r="D68" t="s">
        <v>159</v>
      </c>
      <c r="E68" t="s">
        <v>158</v>
      </c>
    </row>
    <row r="69" spans="1:5" x14ac:dyDescent="0.25">
      <c r="A69">
        <f>A68+31</f>
        <v>2015</v>
      </c>
      <c r="B69" t="str">
        <f t="shared" si="0"/>
        <v>07DF</v>
      </c>
      <c r="C69" t="s">
        <v>38</v>
      </c>
      <c r="D69" t="s">
        <v>159</v>
      </c>
    </row>
    <row r="70" spans="1:5" x14ac:dyDescent="0.25">
      <c r="A70">
        <f>A69+1</f>
        <v>2016</v>
      </c>
      <c r="B70" t="str">
        <f t="shared" si="0"/>
        <v>07E0</v>
      </c>
      <c r="C70" t="s">
        <v>126</v>
      </c>
      <c r="D70" t="s">
        <v>159</v>
      </c>
      <c r="E70" t="s">
        <v>129</v>
      </c>
    </row>
    <row r="71" spans="1:5" x14ac:dyDescent="0.25">
      <c r="A71">
        <f>A70+31</f>
        <v>2047</v>
      </c>
      <c r="B71" t="str">
        <f>DEC2HEX(A71,4)</f>
        <v>07FF</v>
      </c>
      <c r="C71" t="s">
        <v>38</v>
      </c>
      <c r="D71" t="s">
        <v>159</v>
      </c>
    </row>
    <row r="72" spans="1:5" x14ac:dyDescent="0.25">
      <c r="A72">
        <f>A71+1</f>
        <v>2048</v>
      </c>
      <c r="B72" t="str">
        <f t="shared" si="0"/>
        <v>0800</v>
      </c>
      <c r="C72" t="s">
        <v>126</v>
      </c>
      <c r="D72" t="s">
        <v>160</v>
      </c>
      <c r="E72" t="s">
        <v>161</v>
      </c>
    </row>
    <row r="73" spans="1:5" x14ac:dyDescent="0.25">
      <c r="A73">
        <f>A72+31</f>
        <v>2079</v>
      </c>
      <c r="B73" t="str">
        <f t="shared" ref="B73:B135" si="3">DEC2HEX(A73,4)</f>
        <v>081F</v>
      </c>
      <c r="C73" t="s">
        <v>38</v>
      </c>
      <c r="D73" t="s">
        <v>160</v>
      </c>
    </row>
    <row r="74" spans="1:5" x14ac:dyDescent="0.25">
      <c r="A74">
        <f>A73+1</f>
        <v>2080</v>
      </c>
      <c r="B74" t="str">
        <f t="shared" si="3"/>
        <v>0820</v>
      </c>
      <c r="C74" t="s">
        <v>126</v>
      </c>
      <c r="D74" t="s">
        <v>160</v>
      </c>
      <c r="E74" t="s">
        <v>128</v>
      </c>
    </row>
    <row r="75" spans="1:5" x14ac:dyDescent="0.25">
      <c r="A75">
        <f>A74+31</f>
        <v>2111</v>
      </c>
      <c r="B75" t="str">
        <f t="shared" si="3"/>
        <v>083F</v>
      </c>
      <c r="C75" t="s">
        <v>38</v>
      </c>
      <c r="D75" t="s">
        <v>160</v>
      </c>
    </row>
    <row r="76" spans="1:5" x14ac:dyDescent="0.25">
      <c r="A76">
        <f>A75+1</f>
        <v>2112</v>
      </c>
      <c r="B76" t="str">
        <f t="shared" si="3"/>
        <v>0840</v>
      </c>
      <c r="C76" t="s">
        <v>126</v>
      </c>
      <c r="D76" t="s">
        <v>160</v>
      </c>
      <c r="E76" t="s">
        <v>130</v>
      </c>
    </row>
    <row r="77" spans="1:5" x14ac:dyDescent="0.25">
      <c r="A77">
        <f>A76+31</f>
        <v>2143</v>
      </c>
      <c r="B77" t="str">
        <f t="shared" si="3"/>
        <v>085F</v>
      </c>
      <c r="C77" t="s">
        <v>38</v>
      </c>
      <c r="D77" t="s">
        <v>160</v>
      </c>
    </row>
    <row r="78" spans="1:5" x14ac:dyDescent="0.25">
      <c r="A78">
        <f>A77+1</f>
        <v>2144</v>
      </c>
      <c r="B78" t="str">
        <f t="shared" si="3"/>
        <v>0860</v>
      </c>
      <c r="C78" t="s">
        <v>126</v>
      </c>
      <c r="D78" t="s">
        <v>160</v>
      </c>
      <c r="E78" t="s">
        <v>131</v>
      </c>
    </row>
    <row r="79" spans="1:5" x14ac:dyDescent="0.25">
      <c r="A79">
        <f>A78+31</f>
        <v>2175</v>
      </c>
      <c r="B79" t="str">
        <f t="shared" si="3"/>
        <v>087F</v>
      </c>
      <c r="C79" t="s">
        <v>38</v>
      </c>
      <c r="D79" t="s">
        <v>160</v>
      </c>
    </row>
    <row r="80" spans="1:5" x14ac:dyDescent="0.25">
      <c r="A80">
        <f>A79+1</f>
        <v>2176</v>
      </c>
      <c r="B80" t="str">
        <f t="shared" si="3"/>
        <v>0880</v>
      </c>
      <c r="C80" t="s">
        <v>126</v>
      </c>
      <c r="D80" t="s">
        <v>160</v>
      </c>
      <c r="E80" t="s">
        <v>132</v>
      </c>
    </row>
    <row r="81" spans="1:5" x14ac:dyDescent="0.25">
      <c r="A81">
        <f>A80+31</f>
        <v>2207</v>
      </c>
      <c r="B81" t="str">
        <f t="shared" si="3"/>
        <v>089F</v>
      </c>
      <c r="C81" t="s">
        <v>38</v>
      </c>
      <c r="D81" t="s">
        <v>160</v>
      </c>
    </row>
    <row r="82" spans="1:5" x14ac:dyDescent="0.25">
      <c r="A82">
        <f>A81+1</f>
        <v>2208</v>
      </c>
      <c r="B82" t="str">
        <f t="shared" si="3"/>
        <v>08A0</v>
      </c>
      <c r="C82" t="s">
        <v>126</v>
      </c>
      <c r="D82" t="s">
        <v>160</v>
      </c>
      <c r="E82" t="s">
        <v>133</v>
      </c>
    </row>
    <row r="83" spans="1:5" x14ac:dyDescent="0.25">
      <c r="A83">
        <f>A82+31</f>
        <v>2239</v>
      </c>
      <c r="B83" t="str">
        <f t="shared" si="3"/>
        <v>08BF</v>
      </c>
      <c r="C83" t="s">
        <v>38</v>
      </c>
      <c r="D83" t="s">
        <v>160</v>
      </c>
    </row>
    <row r="84" spans="1:5" x14ac:dyDescent="0.25">
      <c r="A84">
        <f>A83+1</f>
        <v>2240</v>
      </c>
      <c r="B84" t="str">
        <f t="shared" si="3"/>
        <v>08C0</v>
      </c>
      <c r="C84" t="s">
        <v>126</v>
      </c>
      <c r="D84" t="s">
        <v>160</v>
      </c>
      <c r="E84" t="s">
        <v>134</v>
      </c>
    </row>
    <row r="85" spans="1:5" x14ac:dyDescent="0.25">
      <c r="A85">
        <f>A84+31</f>
        <v>2271</v>
      </c>
      <c r="B85" t="str">
        <f t="shared" si="3"/>
        <v>08DF</v>
      </c>
      <c r="C85" t="s">
        <v>38</v>
      </c>
      <c r="D85" t="s">
        <v>160</v>
      </c>
    </row>
    <row r="86" spans="1:5" x14ac:dyDescent="0.25">
      <c r="A86">
        <f>A85+1</f>
        <v>2272</v>
      </c>
      <c r="B86" t="str">
        <f t="shared" si="3"/>
        <v>08E0</v>
      </c>
      <c r="C86" t="s">
        <v>126</v>
      </c>
      <c r="D86" t="s">
        <v>160</v>
      </c>
      <c r="E86" t="s">
        <v>135</v>
      </c>
    </row>
    <row r="87" spans="1:5" x14ac:dyDescent="0.25">
      <c r="A87">
        <f>A86+31</f>
        <v>2303</v>
      </c>
      <c r="B87" t="str">
        <f t="shared" si="3"/>
        <v>08FF</v>
      </c>
      <c r="C87" t="s">
        <v>38</v>
      </c>
      <c r="D87" t="s">
        <v>160</v>
      </c>
    </row>
    <row r="88" spans="1:5" x14ac:dyDescent="0.25">
      <c r="A88">
        <f>A87+1</f>
        <v>2304</v>
      </c>
      <c r="B88" t="str">
        <f t="shared" si="3"/>
        <v>0900</v>
      </c>
      <c r="C88" t="s">
        <v>126</v>
      </c>
      <c r="D88" t="s">
        <v>160</v>
      </c>
      <c r="E88" t="s">
        <v>136</v>
      </c>
    </row>
    <row r="89" spans="1:5" x14ac:dyDescent="0.25">
      <c r="A89">
        <f>A88+31</f>
        <v>2335</v>
      </c>
      <c r="B89" t="str">
        <f t="shared" si="3"/>
        <v>091F</v>
      </c>
      <c r="C89" t="s">
        <v>38</v>
      </c>
      <c r="D89" t="s">
        <v>160</v>
      </c>
    </row>
    <row r="90" spans="1:5" x14ac:dyDescent="0.25">
      <c r="A90">
        <f>A89+1</f>
        <v>2336</v>
      </c>
      <c r="B90" t="str">
        <f t="shared" si="3"/>
        <v>0920</v>
      </c>
      <c r="C90" t="s">
        <v>126</v>
      </c>
      <c r="D90" t="s">
        <v>160</v>
      </c>
      <c r="E90" t="s">
        <v>137</v>
      </c>
    </row>
    <row r="91" spans="1:5" x14ac:dyDescent="0.25">
      <c r="A91">
        <f>A90+31</f>
        <v>2367</v>
      </c>
      <c r="B91" t="str">
        <f t="shared" si="3"/>
        <v>093F</v>
      </c>
      <c r="C91" t="s">
        <v>38</v>
      </c>
      <c r="D91" t="s">
        <v>160</v>
      </c>
    </row>
    <row r="92" spans="1:5" x14ac:dyDescent="0.25">
      <c r="A92">
        <f>A91+1</f>
        <v>2368</v>
      </c>
      <c r="B92" t="str">
        <f t="shared" si="3"/>
        <v>0940</v>
      </c>
      <c r="C92" t="s">
        <v>126</v>
      </c>
      <c r="D92" t="s">
        <v>160</v>
      </c>
      <c r="E92" t="s">
        <v>138</v>
      </c>
    </row>
    <row r="93" spans="1:5" x14ac:dyDescent="0.25">
      <c r="A93">
        <f>A92+31</f>
        <v>2399</v>
      </c>
      <c r="B93" t="str">
        <f t="shared" si="3"/>
        <v>095F</v>
      </c>
      <c r="C93" t="s">
        <v>38</v>
      </c>
      <c r="D93" t="s">
        <v>160</v>
      </c>
    </row>
    <row r="94" spans="1:5" x14ac:dyDescent="0.25">
      <c r="A94">
        <f>A93+1</f>
        <v>2400</v>
      </c>
      <c r="B94" t="str">
        <f t="shared" si="3"/>
        <v>0960</v>
      </c>
      <c r="C94" t="s">
        <v>126</v>
      </c>
      <c r="D94" t="s">
        <v>160</v>
      </c>
      <c r="E94" t="s">
        <v>139</v>
      </c>
    </row>
    <row r="95" spans="1:5" x14ac:dyDescent="0.25">
      <c r="A95">
        <f>A94+31</f>
        <v>2431</v>
      </c>
      <c r="B95" t="str">
        <f t="shared" si="3"/>
        <v>097F</v>
      </c>
      <c r="C95" t="s">
        <v>38</v>
      </c>
      <c r="D95" t="s">
        <v>160</v>
      </c>
    </row>
    <row r="96" spans="1:5" x14ac:dyDescent="0.25">
      <c r="A96">
        <f>A95+1</f>
        <v>2432</v>
      </c>
      <c r="B96" t="str">
        <f t="shared" si="3"/>
        <v>0980</v>
      </c>
      <c r="C96" t="s">
        <v>126</v>
      </c>
      <c r="D96" t="s">
        <v>160</v>
      </c>
      <c r="E96" t="s">
        <v>140</v>
      </c>
    </row>
    <row r="97" spans="1:5" x14ac:dyDescent="0.25">
      <c r="A97">
        <f>A96+31</f>
        <v>2463</v>
      </c>
      <c r="B97" t="str">
        <f t="shared" si="3"/>
        <v>099F</v>
      </c>
      <c r="C97" t="s">
        <v>38</v>
      </c>
      <c r="D97" t="s">
        <v>160</v>
      </c>
    </row>
    <row r="98" spans="1:5" x14ac:dyDescent="0.25">
      <c r="A98">
        <f>A97+1</f>
        <v>2464</v>
      </c>
      <c r="B98" t="str">
        <f t="shared" si="3"/>
        <v>09A0</v>
      </c>
      <c r="C98" t="s">
        <v>126</v>
      </c>
      <c r="D98" t="s">
        <v>160</v>
      </c>
      <c r="E98" t="s">
        <v>141</v>
      </c>
    </row>
    <row r="99" spans="1:5" x14ac:dyDescent="0.25">
      <c r="A99">
        <f>A98+31</f>
        <v>2495</v>
      </c>
      <c r="B99" t="str">
        <f t="shared" si="3"/>
        <v>09BF</v>
      </c>
      <c r="C99" t="s">
        <v>38</v>
      </c>
      <c r="D99" t="s">
        <v>160</v>
      </c>
    </row>
    <row r="100" spans="1:5" x14ac:dyDescent="0.25">
      <c r="A100">
        <f>A99+1</f>
        <v>2496</v>
      </c>
      <c r="B100" t="str">
        <f t="shared" si="3"/>
        <v>09C0</v>
      </c>
      <c r="C100" t="s">
        <v>126</v>
      </c>
      <c r="D100" t="s">
        <v>160</v>
      </c>
      <c r="E100" t="s">
        <v>142</v>
      </c>
    </row>
    <row r="101" spans="1:5" x14ac:dyDescent="0.25">
      <c r="A101">
        <f>A100+31</f>
        <v>2527</v>
      </c>
      <c r="B101" t="str">
        <f t="shared" si="3"/>
        <v>09DF</v>
      </c>
      <c r="C101" t="s">
        <v>38</v>
      </c>
      <c r="D101" t="s">
        <v>160</v>
      </c>
    </row>
    <row r="102" spans="1:5" x14ac:dyDescent="0.25">
      <c r="A102">
        <f>A101+1</f>
        <v>2528</v>
      </c>
      <c r="B102" t="str">
        <f t="shared" si="3"/>
        <v>09E0</v>
      </c>
      <c r="C102" t="s">
        <v>126</v>
      </c>
      <c r="D102" t="s">
        <v>160</v>
      </c>
      <c r="E102" t="s">
        <v>143</v>
      </c>
    </row>
    <row r="103" spans="1:5" x14ac:dyDescent="0.25">
      <c r="A103">
        <f>A102+31</f>
        <v>2559</v>
      </c>
      <c r="B103" t="str">
        <f t="shared" si="3"/>
        <v>09FF</v>
      </c>
      <c r="C103" t="s">
        <v>38</v>
      </c>
      <c r="D103" t="s">
        <v>160</v>
      </c>
    </row>
    <row r="104" spans="1:5" x14ac:dyDescent="0.25">
      <c r="A104">
        <f>A103+1</f>
        <v>2560</v>
      </c>
      <c r="B104" t="str">
        <f t="shared" si="3"/>
        <v>0A00</v>
      </c>
      <c r="C104" t="s">
        <v>126</v>
      </c>
      <c r="D104" t="s">
        <v>160</v>
      </c>
      <c r="E104" t="s">
        <v>144</v>
      </c>
    </row>
    <row r="105" spans="1:5" x14ac:dyDescent="0.25">
      <c r="A105">
        <f>A104+31</f>
        <v>2591</v>
      </c>
      <c r="B105" t="str">
        <f t="shared" si="3"/>
        <v>0A1F</v>
      </c>
      <c r="C105" t="s">
        <v>38</v>
      </c>
      <c r="D105" t="s">
        <v>160</v>
      </c>
    </row>
    <row r="106" spans="1:5" x14ac:dyDescent="0.25">
      <c r="A106">
        <f>A105+1</f>
        <v>2592</v>
      </c>
      <c r="B106" t="str">
        <f t="shared" si="3"/>
        <v>0A20</v>
      </c>
      <c r="C106" t="s">
        <v>126</v>
      </c>
      <c r="D106" t="s">
        <v>160</v>
      </c>
      <c r="E106" t="s">
        <v>145</v>
      </c>
    </row>
    <row r="107" spans="1:5" x14ac:dyDescent="0.25">
      <c r="A107">
        <f>A106+31</f>
        <v>2623</v>
      </c>
      <c r="B107" t="str">
        <f t="shared" si="3"/>
        <v>0A3F</v>
      </c>
      <c r="C107" t="s">
        <v>38</v>
      </c>
      <c r="D107" t="s">
        <v>160</v>
      </c>
    </row>
    <row r="108" spans="1:5" x14ac:dyDescent="0.25">
      <c r="A108">
        <f>A107+1</f>
        <v>2624</v>
      </c>
      <c r="B108" t="str">
        <f t="shared" si="3"/>
        <v>0A40</v>
      </c>
      <c r="C108" t="s">
        <v>126</v>
      </c>
      <c r="D108" t="s">
        <v>160</v>
      </c>
      <c r="E108" t="s">
        <v>146</v>
      </c>
    </row>
    <row r="109" spans="1:5" x14ac:dyDescent="0.25">
      <c r="A109">
        <f>A108+31</f>
        <v>2655</v>
      </c>
      <c r="B109" t="str">
        <f t="shared" si="3"/>
        <v>0A5F</v>
      </c>
      <c r="C109" t="s">
        <v>38</v>
      </c>
      <c r="D109" t="s">
        <v>160</v>
      </c>
    </row>
    <row r="110" spans="1:5" x14ac:dyDescent="0.25">
      <c r="A110">
        <f>A109+1</f>
        <v>2656</v>
      </c>
      <c r="B110" t="str">
        <f t="shared" si="3"/>
        <v>0A60</v>
      </c>
      <c r="C110" t="s">
        <v>126</v>
      </c>
      <c r="D110" t="s">
        <v>160</v>
      </c>
      <c r="E110" t="s">
        <v>147</v>
      </c>
    </row>
    <row r="111" spans="1:5" x14ac:dyDescent="0.25">
      <c r="A111">
        <f>A110+31</f>
        <v>2687</v>
      </c>
      <c r="B111" t="str">
        <f t="shared" si="3"/>
        <v>0A7F</v>
      </c>
      <c r="C111" t="s">
        <v>38</v>
      </c>
      <c r="D111" t="s">
        <v>160</v>
      </c>
    </row>
    <row r="112" spans="1:5" x14ac:dyDescent="0.25">
      <c r="A112">
        <f>A111+1</f>
        <v>2688</v>
      </c>
      <c r="B112" t="str">
        <f t="shared" si="3"/>
        <v>0A80</v>
      </c>
      <c r="C112" t="s">
        <v>126</v>
      </c>
      <c r="D112" t="s">
        <v>160</v>
      </c>
      <c r="E112" t="s">
        <v>148</v>
      </c>
    </row>
    <row r="113" spans="1:5" x14ac:dyDescent="0.25">
      <c r="A113">
        <f>A112+31</f>
        <v>2719</v>
      </c>
      <c r="B113" t="str">
        <f t="shared" si="3"/>
        <v>0A9F</v>
      </c>
      <c r="C113" t="s">
        <v>38</v>
      </c>
      <c r="D113" t="s">
        <v>160</v>
      </c>
    </row>
    <row r="114" spans="1:5" x14ac:dyDescent="0.25">
      <c r="A114">
        <f>A113+1</f>
        <v>2720</v>
      </c>
      <c r="B114" t="str">
        <f t="shared" si="3"/>
        <v>0AA0</v>
      </c>
      <c r="C114" t="s">
        <v>126</v>
      </c>
      <c r="D114" t="s">
        <v>160</v>
      </c>
      <c r="E114" t="s">
        <v>149</v>
      </c>
    </row>
    <row r="115" spans="1:5" x14ac:dyDescent="0.25">
      <c r="A115">
        <f>A114+31</f>
        <v>2751</v>
      </c>
      <c r="B115" t="str">
        <f t="shared" si="3"/>
        <v>0ABF</v>
      </c>
      <c r="C115" t="s">
        <v>38</v>
      </c>
      <c r="D115" t="s">
        <v>160</v>
      </c>
    </row>
    <row r="116" spans="1:5" x14ac:dyDescent="0.25">
      <c r="A116">
        <f>A115+1</f>
        <v>2752</v>
      </c>
      <c r="B116" t="str">
        <f t="shared" si="3"/>
        <v>0AC0</v>
      </c>
      <c r="C116" t="s">
        <v>126</v>
      </c>
      <c r="D116" t="s">
        <v>160</v>
      </c>
      <c r="E116" t="s">
        <v>150</v>
      </c>
    </row>
    <row r="117" spans="1:5" x14ac:dyDescent="0.25">
      <c r="A117">
        <f>A116+31</f>
        <v>2783</v>
      </c>
      <c r="B117" t="str">
        <f t="shared" si="3"/>
        <v>0ADF</v>
      </c>
      <c r="C117" t="s">
        <v>38</v>
      </c>
      <c r="D117" t="s">
        <v>160</v>
      </c>
    </row>
    <row r="118" spans="1:5" x14ac:dyDescent="0.25">
      <c r="A118">
        <f>A117+1</f>
        <v>2784</v>
      </c>
      <c r="B118" t="str">
        <f t="shared" si="3"/>
        <v>0AE0</v>
      </c>
      <c r="C118" t="s">
        <v>126</v>
      </c>
      <c r="D118" t="s">
        <v>160</v>
      </c>
      <c r="E118" t="s">
        <v>151</v>
      </c>
    </row>
    <row r="119" spans="1:5" x14ac:dyDescent="0.25">
      <c r="A119">
        <f>A118+31</f>
        <v>2815</v>
      </c>
      <c r="B119" t="str">
        <f t="shared" si="3"/>
        <v>0AFF</v>
      </c>
      <c r="C119" t="s">
        <v>38</v>
      </c>
      <c r="D119" t="s">
        <v>160</v>
      </c>
    </row>
    <row r="120" spans="1:5" x14ac:dyDescent="0.25">
      <c r="A120">
        <f>A119+1</f>
        <v>2816</v>
      </c>
      <c r="B120" t="str">
        <f t="shared" si="3"/>
        <v>0B00</v>
      </c>
      <c r="C120" t="s">
        <v>126</v>
      </c>
      <c r="D120" t="s">
        <v>160</v>
      </c>
      <c r="E120" t="s">
        <v>152</v>
      </c>
    </row>
    <row r="121" spans="1:5" x14ac:dyDescent="0.25">
      <c r="A121">
        <f>A120+31</f>
        <v>2847</v>
      </c>
      <c r="B121" t="str">
        <f t="shared" si="3"/>
        <v>0B1F</v>
      </c>
      <c r="C121" t="s">
        <v>38</v>
      </c>
      <c r="D121" t="s">
        <v>160</v>
      </c>
    </row>
    <row r="122" spans="1:5" x14ac:dyDescent="0.25">
      <c r="A122">
        <f>A121+1</f>
        <v>2848</v>
      </c>
      <c r="B122" t="str">
        <f t="shared" si="3"/>
        <v>0B20</v>
      </c>
      <c r="C122" t="s">
        <v>126</v>
      </c>
      <c r="D122" t="s">
        <v>160</v>
      </c>
      <c r="E122" t="s">
        <v>153</v>
      </c>
    </row>
    <row r="123" spans="1:5" x14ac:dyDescent="0.25">
      <c r="A123">
        <f>A122+31</f>
        <v>2879</v>
      </c>
      <c r="B123" t="str">
        <f t="shared" si="3"/>
        <v>0B3F</v>
      </c>
      <c r="C123" t="s">
        <v>38</v>
      </c>
      <c r="D123" t="s">
        <v>160</v>
      </c>
    </row>
    <row r="124" spans="1:5" x14ac:dyDescent="0.25">
      <c r="A124">
        <f>A123+1</f>
        <v>2880</v>
      </c>
      <c r="B124" t="str">
        <f t="shared" si="3"/>
        <v>0B40</v>
      </c>
      <c r="C124" t="s">
        <v>126</v>
      </c>
      <c r="D124" t="s">
        <v>160</v>
      </c>
      <c r="E124" t="s">
        <v>154</v>
      </c>
    </row>
    <row r="125" spans="1:5" x14ac:dyDescent="0.25">
      <c r="A125">
        <f>A124+31</f>
        <v>2911</v>
      </c>
      <c r="B125" t="str">
        <f t="shared" si="3"/>
        <v>0B5F</v>
      </c>
      <c r="C125" t="s">
        <v>38</v>
      </c>
      <c r="D125" t="s">
        <v>160</v>
      </c>
    </row>
    <row r="126" spans="1:5" x14ac:dyDescent="0.25">
      <c r="A126">
        <f>A125+1</f>
        <v>2912</v>
      </c>
      <c r="B126" t="str">
        <f t="shared" si="3"/>
        <v>0B60</v>
      </c>
      <c r="C126" t="s">
        <v>126</v>
      </c>
      <c r="D126" t="s">
        <v>160</v>
      </c>
      <c r="E126" t="s">
        <v>155</v>
      </c>
    </row>
    <row r="127" spans="1:5" x14ac:dyDescent="0.25">
      <c r="A127">
        <f>A126+31</f>
        <v>2943</v>
      </c>
      <c r="B127" t="str">
        <f t="shared" si="3"/>
        <v>0B7F</v>
      </c>
      <c r="C127" t="s">
        <v>38</v>
      </c>
      <c r="D127" t="s">
        <v>160</v>
      </c>
    </row>
    <row r="128" spans="1:5" x14ac:dyDescent="0.25">
      <c r="A128">
        <f>A127+1</f>
        <v>2944</v>
      </c>
      <c r="B128" t="str">
        <f t="shared" si="3"/>
        <v>0B80</v>
      </c>
      <c r="C128" t="s">
        <v>126</v>
      </c>
      <c r="D128" t="s">
        <v>160</v>
      </c>
      <c r="E128" t="s">
        <v>156</v>
      </c>
    </row>
    <row r="129" spans="1:5" x14ac:dyDescent="0.25">
      <c r="A129">
        <f>A128+31</f>
        <v>2975</v>
      </c>
      <c r="B129" t="str">
        <f t="shared" si="3"/>
        <v>0B9F</v>
      </c>
      <c r="C129" t="s">
        <v>38</v>
      </c>
      <c r="D129" t="s">
        <v>160</v>
      </c>
    </row>
    <row r="130" spans="1:5" x14ac:dyDescent="0.25">
      <c r="A130">
        <f>A129+1</f>
        <v>2976</v>
      </c>
      <c r="B130" t="str">
        <f t="shared" si="3"/>
        <v>0BA0</v>
      </c>
      <c r="C130" t="s">
        <v>126</v>
      </c>
      <c r="D130" t="s">
        <v>160</v>
      </c>
      <c r="E130" t="s">
        <v>157</v>
      </c>
    </row>
    <row r="131" spans="1:5" x14ac:dyDescent="0.25">
      <c r="A131">
        <f>A130+31</f>
        <v>3007</v>
      </c>
      <c r="B131" t="str">
        <f t="shared" si="3"/>
        <v>0BBF</v>
      </c>
      <c r="C131" t="s">
        <v>38</v>
      </c>
      <c r="D131" t="s">
        <v>160</v>
      </c>
    </row>
    <row r="132" spans="1:5" x14ac:dyDescent="0.25">
      <c r="A132">
        <f>A131+1</f>
        <v>3008</v>
      </c>
      <c r="B132" t="str">
        <f t="shared" si="3"/>
        <v>0BC0</v>
      </c>
      <c r="C132" t="s">
        <v>126</v>
      </c>
      <c r="D132" t="s">
        <v>160</v>
      </c>
      <c r="E132" t="s">
        <v>158</v>
      </c>
    </row>
    <row r="133" spans="1:5" x14ac:dyDescent="0.25">
      <c r="A133">
        <f>A132+31</f>
        <v>3039</v>
      </c>
      <c r="B133" t="str">
        <f t="shared" si="3"/>
        <v>0BDF</v>
      </c>
      <c r="C133" t="s">
        <v>38</v>
      </c>
      <c r="D133" t="s">
        <v>160</v>
      </c>
    </row>
    <row r="134" spans="1:5" x14ac:dyDescent="0.25">
      <c r="A134">
        <f>A133+1</f>
        <v>3040</v>
      </c>
      <c r="B134" t="str">
        <f t="shared" si="3"/>
        <v>0BE0</v>
      </c>
      <c r="C134" t="s">
        <v>126</v>
      </c>
      <c r="D134" t="s">
        <v>160</v>
      </c>
      <c r="E134" t="s">
        <v>129</v>
      </c>
    </row>
    <row r="135" spans="1:5" x14ac:dyDescent="0.25">
      <c r="A135">
        <f>A134+31</f>
        <v>3071</v>
      </c>
      <c r="B135" t="str">
        <f t="shared" si="3"/>
        <v>0BFF</v>
      </c>
      <c r="C135" t="s">
        <v>38</v>
      </c>
      <c r="D135" t="s">
        <v>160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31"/>
  <sheetViews>
    <sheetView topLeftCell="I4" workbookViewId="0">
      <selection activeCell="AC65537" sqref="AC65537"/>
    </sheetView>
  </sheetViews>
  <sheetFormatPr defaultRowHeight="15" x14ac:dyDescent="0.25"/>
  <cols>
    <col min="5" max="5" width="12" bestFit="1" customWidth="1"/>
    <col min="11" max="11" width="2.140625" style="22" customWidth="1"/>
    <col min="12" max="12" width="2.140625" style="12" customWidth="1"/>
    <col min="13" max="14" width="2.140625" style="13" customWidth="1"/>
    <col min="15" max="15" width="2.140625" style="14" customWidth="1"/>
    <col min="16" max="16" width="2.140625" style="12" customWidth="1"/>
    <col min="17" max="17" width="2.140625" style="2" customWidth="1"/>
    <col min="18" max="18" width="2.140625" style="18" customWidth="1"/>
    <col min="19" max="19" width="2.140625" style="19" customWidth="1"/>
    <col min="20" max="20" width="2.140625" style="20" customWidth="1"/>
    <col min="21" max="22" width="2.140625" style="18" customWidth="1"/>
    <col min="23" max="23" width="2.140625" style="6" customWidth="1"/>
    <col min="24" max="24" width="2.140625" style="7" customWidth="1"/>
    <col min="25" max="26" width="2.140625" style="8" customWidth="1"/>
    <col min="27" max="27" width="2.140625" style="6" customWidth="1"/>
    <col min="28" max="32" width="2.140625" customWidth="1"/>
    <col min="34" max="34" width="3.28515625" bestFit="1" customWidth="1"/>
    <col min="35" max="35" width="3" bestFit="1" customWidth="1"/>
  </cols>
  <sheetData>
    <row r="1" spans="1:37" x14ac:dyDescent="0.25">
      <c r="A1" t="s">
        <v>27</v>
      </c>
      <c r="K1" s="21"/>
      <c r="L1" s="9"/>
      <c r="M1" s="10"/>
      <c r="N1" s="10"/>
      <c r="O1" s="11"/>
      <c r="P1" s="9"/>
      <c r="Q1" s="1"/>
      <c r="R1" s="15"/>
      <c r="S1" s="16"/>
      <c r="T1" s="17"/>
      <c r="U1" s="15"/>
      <c r="V1" s="15"/>
      <c r="W1" s="3"/>
      <c r="X1" s="4"/>
      <c r="Y1" s="5"/>
      <c r="Z1" s="5"/>
      <c r="AA1" s="3"/>
    </row>
    <row r="2" spans="1:37" x14ac:dyDescent="0.25">
      <c r="A2" t="s">
        <v>28</v>
      </c>
      <c r="I2">
        <v>32</v>
      </c>
    </row>
    <row r="3" spans="1:37" x14ac:dyDescent="0.25">
      <c r="A3" t="s">
        <v>29</v>
      </c>
      <c r="I3">
        <v>30</v>
      </c>
      <c r="AJ3" s="80"/>
      <c r="AK3" t="s">
        <v>123</v>
      </c>
    </row>
    <row r="4" spans="1:37" x14ac:dyDescent="0.25">
      <c r="F4" t="s">
        <v>30</v>
      </c>
      <c r="I4">
        <f>I3*I2</f>
        <v>960</v>
      </c>
      <c r="AJ4" s="13"/>
      <c r="AK4" t="s">
        <v>326</v>
      </c>
    </row>
    <row r="5" spans="1:37" x14ac:dyDescent="0.25">
      <c r="AJ5" s="2"/>
      <c r="AK5" t="s">
        <v>327</v>
      </c>
    </row>
    <row r="6" spans="1:37" x14ac:dyDescent="0.25">
      <c r="C6" s="82" t="s">
        <v>39</v>
      </c>
      <c r="D6" s="82"/>
      <c r="AJ6" s="18"/>
      <c r="AK6" t="s">
        <v>328</v>
      </c>
    </row>
    <row r="7" spans="1:37" x14ac:dyDescent="0.25">
      <c r="A7" t="s">
        <v>31</v>
      </c>
      <c r="B7" t="s">
        <v>33</v>
      </c>
      <c r="E7" t="s">
        <v>32</v>
      </c>
      <c r="AJ7" s="8"/>
      <c r="AK7" t="s">
        <v>329</v>
      </c>
    </row>
    <row r="8" spans="1:37" x14ac:dyDescent="0.25">
      <c r="A8">
        <v>0</v>
      </c>
      <c r="B8" t="str">
        <f>CONCATENATE("0x",DEC2HEX(A8,3))</f>
        <v>0x000</v>
      </c>
      <c r="C8">
        <f>HEX2DEC(D8)</f>
        <v>47167</v>
      </c>
      <c r="D8" t="s">
        <v>104</v>
      </c>
      <c r="E8" t="s">
        <v>40</v>
      </c>
      <c r="F8" t="s">
        <v>111</v>
      </c>
      <c r="K8" s="22">
        <v>0</v>
      </c>
      <c r="L8" s="12">
        <v>1</v>
      </c>
      <c r="M8" s="13">
        <v>0</v>
      </c>
      <c r="N8" s="13">
        <v>0</v>
      </c>
      <c r="O8" s="14">
        <v>0</v>
      </c>
      <c r="P8" s="12">
        <v>1</v>
      </c>
      <c r="Q8" s="2">
        <v>1</v>
      </c>
      <c r="R8" s="18">
        <v>0</v>
      </c>
      <c r="S8" s="19">
        <v>0</v>
      </c>
      <c r="T8" s="20">
        <v>0</v>
      </c>
      <c r="U8" s="18">
        <v>0</v>
      </c>
      <c r="V8" s="18">
        <v>1</v>
      </c>
      <c r="W8" s="6">
        <v>1</v>
      </c>
      <c r="X8" s="7">
        <v>1</v>
      </c>
      <c r="Y8" s="8">
        <v>1</v>
      </c>
      <c r="Z8" s="8">
        <v>1</v>
      </c>
      <c r="AA8" s="6">
        <v>1</v>
      </c>
      <c r="AG8" t="str">
        <f>CONCATENATE(L8,M8,N8,O8,P8,Q8,R8,S8)</f>
        <v>10001100</v>
      </c>
      <c r="AH8" t="str">
        <f>BIN2HEX(AG8,2)</f>
        <v>8C</v>
      </c>
      <c r="AI8" t="str">
        <f>BIN2HEX(CONCATENATE(T8,U8,V8,W8,X8,Y8,Z8,AA8),2)</f>
        <v>3F</v>
      </c>
    </row>
    <row r="9" spans="1:37" x14ac:dyDescent="0.25">
      <c r="A9">
        <f>A8+1</f>
        <v>1</v>
      </c>
      <c r="B9" t="str">
        <f t="shared" ref="B9:B72" si="0">CONCATENATE("0x",DEC2HEX(A9,3))</f>
        <v>0x001</v>
      </c>
      <c r="C9">
        <f t="shared" ref="C9:C15" si="1">HEX2DEC(D9)</f>
        <v>48223</v>
      </c>
      <c r="D9" t="s">
        <v>105</v>
      </c>
      <c r="E9" t="s">
        <v>41</v>
      </c>
      <c r="K9" s="22">
        <v>0</v>
      </c>
      <c r="L9" s="12">
        <v>1</v>
      </c>
      <c r="M9" s="13">
        <v>0</v>
      </c>
      <c r="N9" s="13">
        <v>0</v>
      </c>
      <c r="O9" s="14">
        <v>0</v>
      </c>
      <c r="P9" s="12">
        <v>1</v>
      </c>
      <c r="Q9" s="2">
        <v>1</v>
      </c>
      <c r="R9" s="18">
        <v>0</v>
      </c>
      <c r="S9" s="19">
        <v>0</v>
      </c>
      <c r="T9" s="20">
        <v>0</v>
      </c>
      <c r="U9" s="18">
        <v>0</v>
      </c>
      <c r="V9" s="18">
        <v>1</v>
      </c>
      <c r="W9" s="6">
        <v>0</v>
      </c>
      <c r="X9" s="7">
        <v>0</v>
      </c>
      <c r="Y9" s="8">
        <v>0</v>
      </c>
      <c r="Z9" s="8">
        <v>0</v>
      </c>
      <c r="AA9" s="6">
        <v>1</v>
      </c>
      <c r="AG9" t="str">
        <f t="shared" ref="AG9:AG15" si="2">CONCATENATE(L9,M9,N9,O9,P9,Q9,R9,S9)</f>
        <v>10001100</v>
      </c>
      <c r="AH9" t="str">
        <f t="shared" ref="AH9:AH15" si="3">BIN2HEX(AG9,2)</f>
        <v>8C</v>
      </c>
      <c r="AI9" t="str">
        <f t="shared" ref="AI9:AI15" si="4">BIN2HEX(CONCATENATE(T9,U9,V9,W9,X9,Y9,Z9,AA9),2)</f>
        <v>21</v>
      </c>
      <c r="AJ9" t="s">
        <v>330</v>
      </c>
    </row>
    <row r="10" spans="1:37" x14ac:dyDescent="0.25">
      <c r="A10">
        <f t="shared" ref="A10:A73" si="5">A9+1</f>
        <v>2</v>
      </c>
      <c r="B10" t="str">
        <f t="shared" si="0"/>
        <v>0x002</v>
      </c>
      <c r="C10">
        <f t="shared" si="1"/>
        <v>112766</v>
      </c>
      <c r="D10" t="s">
        <v>106</v>
      </c>
      <c r="E10" t="s">
        <v>42</v>
      </c>
      <c r="K10" s="22">
        <v>0</v>
      </c>
      <c r="L10" s="12">
        <v>1</v>
      </c>
      <c r="M10" s="13">
        <v>0</v>
      </c>
      <c r="N10" s="13">
        <v>0</v>
      </c>
      <c r="O10" s="14">
        <v>0</v>
      </c>
      <c r="P10" s="12">
        <v>1</v>
      </c>
      <c r="Q10" s="2">
        <v>0</v>
      </c>
      <c r="R10" s="18">
        <v>0</v>
      </c>
      <c r="S10" s="19">
        <v>0</v>
      </c>
      <c r="T10" s="20">
        <v>0</v>
      </c>
      <c r="U10" s="18">
        <v>0</v>
      </c>
      <c r="V10" s="18">
        <v>1</v>
      </c>
      <c r="W10" s="6">
        <v>0</v>
      </c>
      <c r="X10" s="7">
        <v>0</v>
      </c>
      <c r="Y10" s="8">
        <v>0</v>
      </c>
      <c r="Z10" s="8">
        <v>0</v>
      </c>
      <c r="AA10" s="6">
        <v>1</v>
      </c>
      <c r="AG10" t="str">
        <f t="shared" si="2"/>
        <v>10001000</v>
      </c>
      <c r="AH10" t="str">
        <f t="shared" si="3"/>
        <v>88</v>
      </c>
      <c r="AI10" t="str">
        <f t="shared" si="4"/>
        <v>21</v>
      </c>
      <c r="AJ10" t="s">
        <v>331</v>
      </c>
    </row>
    <row r="11" spans="1:37" x14ac:dyDescent="0.25">
      <c r="A11">
        <f t="shared" si="5"/>
        <v>3</v>
      </c>
      <c r="B11" t="str">
        <f t="shared" si="0"/>
        <v>0x003</v>
      </c>
      <c r="C11">
        <f t="shared" si="1"/>
        <v>51326</v>
      </c>
      <c r="D11" t="s">
        <v>107</v>
      </c>
      <c r="E11" t="s">
        <v>43</v>
      </c>
      <c r="K11" s="22">
        <v>1</v>
      </c>
      <c r="L11" s="12">
        <v>1</v>
      </c>
      <c r="M11" s="13">
        <v>0</v>
      </c>
      <c r="N11" s="13">
        <v>0</v>
      </c>
      <c r="O11" s="14">
        <v>0</v>
      </c>
      <c r="P11" s="12">
        <v>1</v>
      </c>
      <c r="Q11" s="2">
        <v>0</v>
      </c>
      <c r="R11" s="18">
        <v>0</v>
      </c>
      <c r="S11" s="19">
        <v>0</v>
      </c>
      <c r="T11" s="20">
        <v>0</v>
      </c>
      <c r="U11" s="18">
        <v>0</v>
      </c>
      <c r="V11" s="18">
        <v>1</v>
      </c>
      <c r="W11" s="6">
        <v>0</v>
      </c>
      <c r="X11" s="7">
        <v>0</v>
      </c>
      <c r="Y11" s="8">
        <v>0</v>
      </c>
      <c r="Z11" s="8">
        <v>0</v>
      </c>
      <c r="AA11" s="6">
        <v>1</v>
      </c>
      <c r="AG11" t="str">
        <f t="shared" si="2"/>
        <v>10001000</v>
      </c>
      <c r="AH11" t="str">
        <f t="shared" si="3"/>
        <v>88</v>
      </c>
      <c r="AI11" t="str">
        <f t="shared" si="4"/>
        <v>21</v>
      </c>
      <c r="AJ11" t="s">
        <v>333</v>
      </c>
    </row>
    <row r="12" spans="1:37" x14ac:dyDescent="0.25">
      <c r="A12">
        <f t="shared" si="5"/>
        <v>4</v>
      </c>
      <c r="B12" t="str">
        <f t="shared" si="0"/>
        <v>0x004</v>
      </c>
      <c r="C12">
        <f t="shared" si="1"/>
        <v>48130</v>
      </c>
      <c r="D12" t="s">
        <v>119</v>
      </c>
      <c r="E12" t="s">
        <v>44</v>
      </c>
      <c r="F12" t="s">
        <v>110</v>
      </c>
      <c r="K12" s="22">
        <v>1</v>
      </c>
      <c r="L12" s="12">
        <v>1</v>
      </c>
      <c r="M12" s="13">
        <v>0</v>
      </c>
      <c r="N12" s="13">
        <v>0</v>
      </c>
      <c r="O12" s="14">
        <v>1</v>
      </c>
      <c r="P12" s="12">
        <v>0</v>
      </c>
      <c r="Q12" s="2">
        <v>1</v>
      </c>
      <c r="R12" s="18">
        <v>0</v>
      </c>
      <c r="S12" s="19">
        <v>0</v>
      </c>
      <c r="T12" s="20">
        <v>0</v>
      </c>
      <c r="U12" s="18">
        <v>0</v>
      </c>
      <c r="V12" s="18">
        <v>1</v>
      </c>
      <c r="W12" s="6">
        <v>0</v>
      </c>
      <c r="X12" s="7">
        <v>0</v>
      </c>
      <c r="Y12" s="8">
        <v>0</v>
      </c>
      <c r="Z12" s="8">
        <v>0</v>
      </c>
      <c r="AA12" s="6">
        <v>1</v>
      </c>
      <c r="AG12" t="str">
        <f t="shared" si="2"/>
        <v>10010100</v>
      </c>
      <c r="AH12" t="str">
        <f t="shared" si="3"/>
        <v>94</v>
      </c>
      <c r="AI12" t="str">
        <f t="shared" si="4"/>
        <v>21</v>
      </c>
      <c r="AJ12" t="s">
        <v>334</v>
      </c>
    </row>
    <row r="13" spans="1:37" x14ac:dyDescent="0.25">
      <c r="A13">
        <f t="shared" si="5"/>
        <v>5</v>
      </c>
      <c r="B13" t="str">
        <f t="shared" si="0"/>
        <v>0x005</v>
      </c>
      <c r="C13">
        <f t="shared" si="1"/>
        <v>48129</v>
      </c>
      <c r="D13" t="s">
        <v>120</v>
      </c>
      <c r="E13" t="s">
        <v>45</v>
      </c>
      <c r="K13" s="22">
        <v>0</v>
      </c>
      <c r="L13" s="12">
        <v>1</v>
      </c>
      <c r="M13" s="13">
        <v>0</v>
      </c>
      <c r="N13" s="13">
        <v>0</v>
      </c>
      <c r="O13" s="14">
        <v>0</v>
      </c>
      <c r="P13" s="12">
        <v>1</v>
      </c>
      <c r="Q13" s="2">
        <v>1</v>
      </c>
      <c r="R13" s="18">
        <v>0</v>
      </c>
      <c r="S13" s="19">
        <v>0</v>
      </c>
      <c r="T13" s="20">
        <v>0</v>
      </c>
      <c r="U13" s="18">
        <v>0</v>
      </c>
      <c r="V13" s="18">
        <v>0</v>
      </c>
      <c r="W13" s="6">
        <v>0</v>
      </c>
      <c r="X13" s="7">
        <v>0</v>
      </c>
      <c r="Y13" s="8">
        <v>0</v>
      </c>
      <c r="Z13" s="8">
        <v>0</v>
      </c>
      <c r="AA13" s="6">
        <v>1</v>
      </c>
      <c r="AG13" t="str">
        <f t="shared" si="2"/>
        <v>10001100</v>
      </c>
      <c r="AH13" t="str">
        <f t="shared" si="3"/>
        <v>8C</v>
      </c>
      <c r="AI13" t="str">
        <f t="shared" si="4"/>
        <v>01</v>
      </c>
      <c r="AJ13" t="s">
        <v>332</v>
      </c>
    </row>
    <row r="14" spans="1:37" x14ac:dyDescent="0.25">
      <c r="A14">
        <f t="shared" si="5"/>
        <v>6</v>
      </c>
      <c r="B14" t="str">
        <f t="shared" si="0"/>
        <v>0x006</v>
      </c>
      <c r="C14">
        <f t="shared" si="1"/>
        <v>48144</v>
      </c>
      <c r="D14" t="s">
        <v>121</v>
      </c>
      <c r="E14" t="s">
        <v>46</v>
      </c>
      <c r="K14" s="22">
        <v>0</v>
      </c>
      <c r="L14" s="12">
        <v>1</v>
      </c>
      <c r="M14" s="13">
        <v>0</v>
      </c>
      <c r="N14" s="13">
        <v>1</v>
      </c>
      <c r="O14" s="14">
        <v>1</v>
      </c>
      <c r="P14" s="12">
        <v>1</v>
      </c>
      <c r="Q14" s="2">
        <v>0</v>
      </c>
      <c r="R14" s="18">
        <v>0</v>
      </c>
      <c r="S14" s="19">
        <v>0</v>
      </c>
      <c r="T14" s="20">
        <v>0</v>
      </c>
      <c r="U14" s="18">
        <v>0</v>
      </c>
      <c r="V14" s="18">
        <v>1</v>
      </c>
      <c r="W14" s="6">
        <v>0</v>
      </c>
      <c r="X14" s="7">
        <v>0</v>
      </c>
      <c r="Y14" s="8">
        <v>0</v>
      </c>
      <c r="Z14" s="8">
        <v>0</v>
      </c>
      <c r="AA14" s="6">
        <v>0</v>
      </c>
      <c r="AG14" t="str">
        <f t="shared" si="2"/>
        <v>10111000</v>
      </c>
      <c r="AH14" t="str">
        <f t="shared" si="3"/>
        <v>B8</v>
      </c>
      <c r="AI14" t="str">
        <f t="shared" si="4"/>
        <v>20</v>
      </c>
    </row>
    <row r="15" spans="1:37" x14ac:dyDescent="0.25">
      <c r="A15">
        <f t="shared" si="5"/>
        <v>7</v>
      </c>
      <c r="B15" t="str">
        <f t="shared" si="0"/>
        <v>0x007</v>
      </c>
      <c r="C15">
        <f t="shared" si="1"/>
        <v>48148</v>
      </c>
      <c r="D15" t="s">
        <v>122</v>
      </c>
      <c r="E15" t="s">
        <v>47</v>
      </c>
      <c r="K15" s="22">
        <v>0</v>
      </c>
      <c r="L15" s="12">
        <v>1</v>
      </c>
      <c r="M15" s="13">
        <v>0</v>
      </c>
      <c r="N15" s="13">
        <v>1</v>
      </c>
      <c r="O15" s="14">
        <v>1</v>
      </c>
      <c r="P15" s="12">
        <v>1</v>
      </c>
      <c r="Q15" s="2">
        <v>0</v>
      </c>
      <c r="R15" s="18">
        <v>0</v>
      </c>
      <c r="S15" s="19">
        <v>0</v>
      </c>
      <c r="T15" s="20">
        <v>0</v>
      </c>
      <c r="U15" s="18">
        <v>0</v>
      </c>
      <c r="V15" s="18">
        <v>1</v>
      </c>
      <c r="W15" s="6">
        <v>0</v>
      </c>
      <c r="X15" s="7">
        <v>0</v>
      </c>
      <c r="Y15" s="8">
        <v>0</v>
      </c>
      <c r="Z15" s="8">
        <v>0</v>
      </c>
      <c r="AA15" s="6">
        <v>0</v>
      </c>
      <c r="AG15" t="str">
        <f t="shared" si="2"/>
        <v>10111000</v>
      </c>
      <c r="AH15" t="str">
        <f t="shared" si="3"/>
        <v>B8</v>
      </c>
      <c r="AI15" t="str">
        <f t="shared" si="4"/>
        <v>20</v>
      </c>
    </row>
    <row r="16" spans="1:37" x14ac:dyDescent="0.25">
      <c r="A16">
        <f t="shared" si="5"/>
        <v>8</v>
      </c>
      <c r="B16" t="str">
        <f t="shared" si="0"/>
        <v>0x008</v>
      </c>
      <c r="C16">
        <v>0</v>
      </c>
      <c r="D16" t="str">
        <f t="shared" ref="D16:D72" si="6">DEC2HEX(C16,5)</f>
        <v>00000</v>
      </c>
      <c r="E16" t="s">
        <v>48</v>
      </c>
      <c r="AG16" t="str">
        <f t="shared" ref="AG16:AG26" si="7">CONCATENATE(L16,M16,N16,O16,P16,Q16,R16,S16)</f>
        <v/>
      </c>
      <c r="AH16" t="str">
        <f t="shared" ref="AH16:AH26" si="8">BIN2HEX(AG16,2)</f>
        <v>00</v>
      </c>
      <c r="AI16" t="str">
        <f t="shared" ref="AI16:AI26" si="9">BIN2HEX(CONCATENATE(T16,U16,V16,W16,X16,Y16,Z16,AA16),2)</f>
        <v>00</v>
      </c>
    </row>
    <row r="17" spans="1:35" x14ac:dyDescent="0.25">
      <c r="A17">
        <f t="shared" si="5"/>
        <v>9</v>
      </c>
      <c r="B17" t="str">
        <f t="shared" si="0"/>
        <v>0x009</v>
      </c>
      <c r="C17">
        <v>0</v>
      </c>
      <c r="D17" t="str">
        <f t="shared" si="6"/>
        <v>00000</v>
      </c>
      <c r="E17" t="s">
        <v>49</v>
      </c>
      <c r="F17" t="s">
        <v>110</v>
      </c>
      <c r="K17" s="22">
        <v>0</v>
      </c>
      <c r="L17" s="12">
        <v>1</v>
      </c>
      <c r="M17" s="13">
        <v>1</v>
      </c>
      <c r="N17" s="13">
        <v>0</v>
      </c>
      <c r="O17" s="14">
        <v>1</v>
      </c>
      <c r="P17" s="12">
        <v>0</v>
      </c>
      <c r="Q17" s="2">
        <v>0</v>
      </c>
      <c r="R17" s="18">
        <v>0</v>
      </c>
      <c r="S17" s="19">
        <v>0</v>
      </c>
      <c r="T17" s="20">
        <v>1</v>
      </c>
      <c r="U17" s="18">
        <v>0</v>
      </c>
      <c r="V17" s="18">
        <v>1</v>
      </c>
      <c r="W17" s="6">
        <v>0</v>
      </c>
      <c r="X17" s="7">
        <v>0</v>
      </c>
      <c r="Y17" s="8">
        <v>0</v>
      </c>
      <c r="Z17" s="8">
        <v>0</v>
      </c>
      <c r="AA17" s="6">
        <v>0</v>
      </c>
      <c r="AG17" t="str">
        <f t="shared" si="7"/>
        <v>11010000</v>
      </c>
      <c r="AH17" t="str">
        <f t="shared" si="8"/>
        <v>D0</v>
      </c>
      <c r="AI17" t="str">
        <f t="shared" si="9"/>
        <v>A0</v>
      </c>
    </row>
    <row r="18" spans="1:35" x14ac:dyDescent="0.25">
      <c r="A18">
        <f t="shared" si="5"/>
        <v>10</v>
      </c>
      <c r="B18" t="str">
        <f t="shared" si="0"/>
        <v>0x00A</v>
      </c>
      <c r="C18">
        <v>0</v>
      </c>
      <c r="D18" t="str">
        <f t="shared" si="6"/>
        <v>00000</v>
      </c>
      <c r="E18" t="s">
        <v>50</v>
      </c>
      <c r="AG18" t="str">
        <f t="shared" si="7"/>
        <v/>
      </c>
      <c r="AH18" t="str">
        <f t="shared" si="8"/>
        <v>00</v>
      </c>
      <c r="AI18" t="str">
        <f t="shared" si="9"/>
        <v>00</v>
      </c>
    </row>
    <row r="19" spans="1:35" x14ac:dyDescent="0.25">
      <c r="A19">
        <f t="shared" si="5"/>
        <v>11</v>
      </c>
      <c r="B19" t="str">
        <f t="shared" si="0"/>
        <v>0x00B</v>
      </c>
      <c r="C19">
        <v>0</v>
      </c>
      <c r="D19" t="str">
        <f t="shared" si="6"/>
        <v>00000</v>
      </c>
      <c r="E19" t="s">
        <v>51</v>
      </c>
      <c r="F19" t="s">
        <v>108</v>
      </c>
      <c r="AG19" t="str">
        <f t="shared" si="7"/>
        <v/>
      </c>
      <c r="AH19" t="str">
        <f t="shared" si="8"/>
        <v>00</v>
      </c>
      <c r="AI19" t="str">
        <f t="shared" si="9"/>
        <v>00</v>
      </c>
    </row>
    <row r="20" spans="1:35" x14ac:dyDescent="0.25">
      <c r="A20">
        <f t="shared" si="5"/>
        <v>12</v>
      </c>
      <c r="B20" t="str">
        <f t="shared" si="0"/>
        <v>0x00C</v>
      </c>
      <c r="C20">
        <v>0</v>
      </c>
      <c r="D20" t="str">
        <f t="shared" si="6"/>
        <v>00000</v>
      </c>
      <c r="E20" t="s">
        <v>52</v>
      </c>
      <c r="F20" t="s">
        <v>109</v>
      </c>
      <c r="AG20" t="str">
        <f t="shared" si="7"/>
        <v/>
      </c>
      <c r="AH20" t="str">
        <f t="shared" si="8"/>
        <v>00</v>
      </c>
      <c r="AI20" t="str">
        <f t="shared" si="9"/>
        <v>00</v>
      </c>
    </row>
    <row r="21" spans="1:35" x14ac:dyDescent="0.25">
      <c r="A21">
        <f t="shared" si="5"/>
        <v>13</v>
      </c>
      <c r="B21" t="str">
        <f t="shared" si="0"/>
        <v>0x00D</v>
      </c>
      <c r="C21">
        <v>0</v>
      </c>
      <c r="D21" t="str">
        <f t="shared" si="6"/>
        <v>00000</v>
      </c>
      <c r="E21" t="s">
        <v>53</v>
      </c>
      <c r="F21" t="s">
        <v>112</v>
      </c>
      <c r="H21" t="s">
        <v>113</v>
      </c>
      <c r="K21" s="22">
        <v>0</v>
      </c>
      <c r="L21" s="12">
        <v>1</v>
      </c>
      <c r="M21" s="13">
        <v>0</v>
      </c>
      <c r="N21" s="13">
        <v>1</v>
      </c>
      <c r="O21" s="14">
        <v>1</v>
      </c>
      <c r="P21" s="12">
        <v>1</v>
      </c>
      <c r="Q21" s="2">
        <v>1</v>
      </c>
      <c r="R21" s="18">
        <v>0</v>
      </c>
      <c r="S21" s="19">
        <v>0</v>
      </c>
      <c r="T21" s="20">
        <v>0</v>
      </c>
      <c r="U21" s="18">
        <v>0</v>
      </c>
      <c r="V21" s="18">
        <v>0</v>
      </c>
      <c r="W21" s="6">
        <v>0</v>
      </c>
      <c r="X21" s="7">
        <v>0</v>
      </c>
      <c r="Y21" s="8">
        <v>0</v>
      </c>
      <c r="Z21" s="8">
        <v>1</v>
      </c>
      <c r="AA21" s="6">
        <v>0</v>
      </c>
      <c r="AG21" t="str">
        <f t="shared" si="7"/>
        <v>10111100</v>
      </c>
      <c r="AH21" t="str">
        <f t="shared" si="8"/>
        <v>BC</v>
      </c>
      <c r="AI21" t="str">
        <f t="shared" si="9"/>
        <v>02</v>
      </c>
    </row>
    <row r="22" spans="1:35" x14ac:dyDescent="0.25">
      <c r="A22">
        <f t="shared" si="5"/>
        <v>14</v>
      </c>
      <c r="B22" t="str">
        <f t="shared" si="0"/>
        <v>0x00E</v>
      </c>
      <c r="C22">
        <v>0</v>
      </c>
      <c r="D22" t="str">
        <f t="shared" si="6"/>
        <v>00000</v>
      </c>
      <c r="E22" t="s">
        <v>54</v>
      </c>
      <c r="F22" t="s">
        <v>112</v>
      </c>
      <c r="H22" t="s">
        <v>114</v>
      </c>
      <c r="K22" s="22">
        <v>0</v>
      </c>
      <c r="L22" s="12">
        <v>1</v>
      </c>
      <c r="M22" s="13">
        <v>0</v>
      </c>
      <c r="N22" s="13">
        <v>1</v>
      </c>
      <c r="O22" s="14">
        <v>1</v>
      </c>
      <c r="P22" s="12">
        <v>1</v>
      </c>
      <c r="Q22" s="2">
        <v>1</v>
      </c>
      <c r="R22" s="18">
        <v>0</v>
      </c>
      <c r="S22" s="19">
        <v>0</v>
      </c>
      <c r="T22" s="20">
        <v>0</v>
      </c>
      <c r="U22" s="18">
        <v>0</v>
      </c>
      <c r="V22" s="18">
        <v>0</v>
      </c>
      <c r="W22" s="6">
        <v>0</v>
      </c>
      <c r="X22" s="7">
        <v>0</v>
      </c>
      <c r="Y22" s="8">
        <v>0</v>
      </c>
      <c r="Z22" s="8">
        <v>0</v>
      </c>
      <c r="AA22" s="6">
        <v>1</v>
      </c>
      <c r="AG22" t="str">
        <f t="shared" si="7"/>
        <v>10111100</v>
      </c>
      <c r="AH22" t="str">
        <f t="shared" si="8"/>
        <v>BC</v>
      </c>
      <c r="AI22" t="str">
        <f t="shared" si="9"/>
        <v>01</v>
      </c>
    </row>
    <row r="23" spans="1:35" x14ac:dyDescent="0.25">
      <c r="A23">
        <f t="shared" si="5"/>
        <v>15</v>
      </c>
      <c r="B23" t="str">
        <f t="shared" si="0"/>
        <v>0x00F</v>
      </c>
      <c r="C23">
        <v>0</v>
      </c>
      <c r="D23" t="str">
        <f t="shared" si="6"/>
        <v>00000</v>
      </c>
      <c r="E23" t="s">
        <v>55</v>
      </c>
      <c r="F23" t="s">
        <v>115</v>
      </c>
      <c r="H23" t="s">
        <v>116</v>
      </c>
      <c r="K23" s="22">
        <v>0</v>
      </c>
      <c r="L23" s="12">
        <v>1</v>
      </c>
      <c r="M23" s="13">
        <v>0</v>
      </c>
      <c r="N23" s="13">
        <v>1</v>
      </c>
      <c r="O23" s="14">
        <v>1</v>
      </c>
      <c r="P23" s="12">
        <v>1</v>
      </c>
      <c r="Q23" s="2">
        <v>1</v>
      </c>
      <c r="R23" s="18">
        <v>0</v>
      </c>
      <c r="S23" s="19">
        <v>0</v>
      </c>
      <c r="T23" s="20">
        <v>0</v>
      </c>
      <c r="U23" s="18">
        <v>0</v>
      </c>
      <c r="V23" s="18">
        <v>0</v>
      </c>
      <c r="W23" s="6">
        <v>1</v>
      </c>
      <c r="X23" s="7">
        <v>0</v>
      </c>
      <c r="Y23" s="8">
        <v>0</v>
      </c>
      <c r="Z23" s="8">
        <v>0</v>
      </c>
      <c r="AA23" s="6">
        <v>0</v>
      </c>
      <c r="AG23" t="str">
        <f t="shared" si="7"/>
        <v>10111100</v>
      </c>
      <c r="AH23" t="str">
        <f t="shared" si="8"/>
        <v>BC</v>
      </c>
      <c r="AI23" t="str">
        <f t="shared" si="9"/>
        <v>10</v>
      </c>
    </row>
    <row r="24" spans="1:35" x14ac:dyDescent="0.25">
      <c r="A24">
        <f t="shared" si="5"/>
        <v>16</v>
      </c>
      <c r="B24" t="str">
        <f t="shared" si="0"/>
        <v>0x010</v>
      </c>
      <c r="C24">
        <v>0</v>
      </c>
      <c r="D24" t="str">
        <f t="shared" si="6"/>
        <v>00000</v>
      </c>
      <c r="E24" t="s">
        <v>56</v>
      </c>
      <c r="F24" t="s">
        <v>117</v>
      </c>
      <c r="H24" t="s">
        <v>118</v>
      </c>
      <c r="K24" s="22">
        <v>0</v>
      </c>
      <c r="L24" s="12">
        <v>1</v>
      </c>
      <c r="M24" s="13">
        <v>0</v>
      </c>
      <c r="N24" s="13">
        <v>1</v>
      </c>
      <c r="O24" s="14">
        <v>1</v>
      </c>
      <c r="P24" s="12">
        <v>1</v>
      </c>
      <c r="Q24" s="2">
        <v>0</v>
      </c>
      <c r="R24" s="18">
        <v>0</v>
      </c>
      <c r="S24" s="19">
        <v>0</v>
      </c>
      <c r="T24" s="20">
        <v>0</v>
      </c>
      <c r="U24" s="18">
        <v>0</v>
      </c>
      <c r="V24" s="18">
        <v>0</v>
      </c>
      <c r="W24" s="6">
        <v>1</v>
      </c>
      <c r="X24" s="7">
        <v>0</v>
      </c>
      <c r="Y24" s="8">
        <v>1</v>
      </c>
      <c r="Z24" s="8">
        <v>0</v>
      </c>
      <c r="AA24" s="6">
        <v>0</v>
      </c>
      <c r="AG24" t="str">
        <f t="shared" si="7"/>
        <v>10111000</v>
      </c>
      <c r="AH24" t="str">
        <f t="shared" si="8"/>
        <v>B8</v>
      </c>
      <c r="AI24" t="str">
        <f t="shared" si="9"/>
        <v>14</v>
      </c>
    </row>
    <row r="25" spans="1:35" x14ac:dyDescent="0.25">
      <c r="A25">
        <f t="shared" si="5"/>
        <v>17</v>
      </c>
      <c r="B25" t="str">
        <f t="shared" si="0"/>
        <v>0x011</v>
      </c>
      <c r="C25">
        <v>0</v>
      </c>
      <c r="D25" t="str">
        <f t="shared" si="6"/>
        <v>00000</v>
      </c>
      <c r="E25" t="s">
        <v>57</v>
      </c>
      <c r="AG25" t="str">
        <f t="shared" si="7"/>
        <v/>
      </c>
      <c r="AH25" t="str">
        <f t="shared" si="8"/>
        <v>00</v>
      </c>
      <c r="AI25" t="str">
        <f t="shared" si="9"/>
        <v>00</v>
      </c>
    </row>
    <row r="26" spans="1:35" x14ac:dyDescent="0.25">
      <c r="A26">
        <f t="shared" si="5"/>
        <v>18</v>
      </c>
      <c r="B26" t="str">
        <f t="shared" si="0"/>
        <v>0x012</v>
      </c>
      <c r="C26">
        <v>0</v>
      </c>
      <c r="D26" t="str">
        <f t="shared" si="6"/>
        <v>00000</v>
      </c>
      <c r="E26" t="s">
        <v>58</v>
      </c>
      <c r="F26" t="s">
        <v>178</v>
      </c>
      <c r="H26" t="s">
        <v>179</v>
      </c>
      <c r="I26" t="s">
        <v>180</v>
      </c>
      <c r="K26" s="22">
        <v>0</v>
      </c>
      <c r="L26" s="12">
        <v>1</v>
      </c>
      <c r="M26" s="13">
        <v>1</v>
      </c>
      <c r="N26" s="13">
        <v>1</v>
      </c>
      <c r="O26" s="14">
        <v>1</v>
      </c>
      <c r="P26" s="12">
        <v>1</v>
      </c>
      <c r="Q26" s="2">
        <v>0</v>
      </c>
      <c r="R26" s="18">
        <v>0</v>
      </c>
      <c r="S26" s="19">
        <v>0</v>
      </c>
      <c r="T26" s="20">
        <v>0</v>
      </c>
      <c r="U26" s="18">
        <v>0</v>
      </c>
      <c r="V26" s="18">
        <v>1</v>
      </c>
      <c r="W26" s="6">
        <v>1</v>
      </c>
      <c r="X26" s="7">
        <v>1</v>
      </c>
      <c r="Y26" s="8">
        <v>1</v>
      </c>
      <c r="Z26" s="8">
        <v>1</v>
      </c>
      <c r="AA26" s="6">
        <v>0</v>
      </c>
      <c r="AG26" t="str">
        <f t="shared" si="7"/>
        <v>11111000</v>
      </c>
      <c r="AH26" t="str">
        <f t="shared" si="8"/>
        <v>F8</v>
      </c>
      <c r="AI26" t="str">
        <f t="shared" si="9"/>
        <v>3E</v>
      </c>
    </row>
    <row r="27" spans="1:35" x14ac:dyDescent="0.25">
      <c r="A27">
        <f t="shared" si="5"/>
        <v>19</v>
      </c>
      <c r="B27" t="str">
        <f t="shared" si="0"/>
        <v>0x013</v>
      </c>
      <c r="C27">
        <v>0</v>
      </c>
      <c r="D27" t="str">
        <f t="shared" si="6"/>
        <v>00000</v>
      </c>
      <c r="E27" t="s">
        <v>59</v>
      </c>
      <c r="F27" t="s">
        <v>178</v>
      </c>
      <c r="H27" t="s">
        <v>123</v>
      </c>
      <c r="I27" t="s">
        <v>180</v>
      </c>
      <c r="J27" t="s">
        <v>181</v>
      </c>
      <c r="K27" s="22">
        <v>1</v>
      </c>
      <c r="AG27" t="str">
        <f t="shared" ref="AG27:AG30" si="10">CONCATENATE(L27,M27,N27,O27,P27,Q27,R27,S27)</f>
        <v/>
      </c>
      <c r="AH27" t="str">
        <f t="shared" ref="AH27:AH30" si="11">BIN2HEX(AG27,2)</f>
        <v>00</v>
      </c>
      <c r="AI27" t="str">
        <f t="shared" ref="AI27:AI30" si="12">BIN2HEX(CONCATENATE(T27,U27,V27,W27,X27,Y27,Z27,AA27),2)</f>
        <v>00</v>
      </c>
    </row>
    <row r="28" spans="1:35" x14ac:dyDescent="0.25">
      <c r="A28">
        <f t="shared" si="5"/>
        <v>20</v>
      </c>
      <c r="B28" t="str">
        <f t="shared" si="0"/>
        <v>0x014</v>
      </c>
      <c r="C28">
        <v>0</v>
      </c>
      <c r="D28" t="str">
        <f t="shared" si="6"/>
        <v>00000</v>
      </c>
      <c r="E28" t="s">
        <v>60</v>
      </c>
      <c r="H28" t="s">
        <v>123</v>
      </c>
      <c r="I28" t="s">
        <v>180</v>
      </c>
      <c r="J28" t="s">
        <v>182</v>
      </c>
      <c r="AG28" t="str">
        <f t="shared" si="10"/>
        <v/>
      </c>
      <c r="AH28" t="str">
        <f t="shared" si="11"/>
        <v>00</v>
      </c>
      <c r="AI28" t="str">
        <f t="shared" si="12"/>
        <v>00</v>
      </c>
    </row>
    <row r="29" spans="1:35" x14ac:dyDescent="0.25">
      <c r="A29">
        <f t="shared" si="5"/>
        <v>21</v>
      </c>
      <c r="B29" t="str">
        <f t="shared" si="0"/>
        <v>0x015</v>
      </c>
      <c r="C29">
        <v>0</v>
      </c>
      <c r="D29" t="str">
        <f t="shared" si="6"/>
        <v>00000</v>
      </c>
      <c r="E29" t="s">
        <v>61</v>
      </c>
      <c r="F29" t="s">
        <v>178</v>
      </c>
      <c r="H29" t="s">
        <v>183</v>
      </c>
      <c r="J29" t="s">
        <v>184</v>
      </c>
      <c r="K29" s="22">
        <v>0</v>
      </c>
      <c r="L29" s="12">
        <v>1</v>
      </c>
      <c r="M29" s="13">
        <v>1</v>
      </c>
      <c r="N29" s="13">
        <v>1</v>
      </c>
      <c r="O29" s="14">
        <v>1</v>
      </c>
      <c r="P29" s="12">
        <v>1</v>
      </c>
      <c r="Q29" s="2">
        <v>1</v>
      </c>
      <c r="R29" s="18">
        <v>0</v>
      </c>
      <c r="S29" s="19">
        <v>0</v>
      </c>
      <c r="T29" s="20">
        <v>0</v>
      </c>
      <c r="U29" s="18">
        <v>0</v>
      </c>
      <c r="V29" s="18">
        <v>0</v>
      </c>
      <c r="W29" s="6">
        <v>0</v>
      </c>
      <c r="X29" s="7">
        <v>0</v>
      </c>
      <c r="Y29" s="8">
        <v>0</v>
      </c>
      <c r="Z29" s="8">
        <v>0</v>
      </c>
      <c r="AA29" s="6">
        <v>1</v>
      </c>
      <c r="AG29" t="str">
        <f t="shared" si="10"/>
        <v>11111100</v>
      </c>
      <c r="AH29" t="str">
        <f t="shared" si="11"/>
        <v>FC</v>
      </c>
      <c r="AI29" t="str">
        <f t="shared" si="12"/>
        <v>01</v>
      </c>
    </row>
    <row r="30" spans="1:35" x14ac:dyDescent="0.25">
      <c r="A30">
        <f t="shared" si="5"/>
        <v>22</v>
      </c>
      <c r="B30" t="str">
        <f t="shared" si="0"/>
        <v>0x016</v>
      </c>
      <c r="C30">
        <v>0</v>
      </c>
      <c r="D30" t="str">
        <f t="shared" si="6"/>
        <v>00000</v>
      </c>
      <c r="E30" t="s">
        <v>62</v>
      </c>
      <c r="F30" t="s">
        <v>178</v>
      </c>
      <c r="H30" t="s">
        <v>185</v>
      </c>
      <c r="J30" t="s">
        <v>184</v>
      </c>
      <c r="K30" s="22">
        <v>0</v>
      </c>
      <c r="L30" s="12">
        <v>1</v>
      </c>
      <c r="M30" s="13">
        <v>1</v>
      </c>
      <c r="N30" s="13">
        <v>1</v>
      </c>
      <c r="O30" s="14">
        <v>1</v>
      </c>
      <c r="P30" s="12">
        <v>1</v>
      </c>
      <c r="Q30" s="2">
        <v>0</v>
      </c>
      <c r="R30" s="18">
        <v>0</v>
      </c>
      <c r="S30" s="19">
        <v>0</v>
      </c>
      <c r="T30" s="20">
        <v>0</v>
      </c>
      <c r="U30" s="18">
        <v>0</v>
      </c>
      <c r="V30" s="18">
        <v>0</v>
      </c>
      <c r="W30" s="6">
        <v>1</v>
      </c>
      <c r="X30" s="7">
        <v>0</v>
      </c>
      <c r="Y30" s="8">
        <v>0</v>
      </c>
      <c r="Z30" s="8">
        <v>0</v>
      </c>
      <c r="AA30" s="6">
        <v>1</v>
      </c>
      <c r="AG30" t="str">
        <f t="shared" si="10"/>
        <v>11111000</v>
      </c>
      <c r="AH30" t="str">
        <f t="shared" si="11"/>
        <v>F8</v>
      </c>
      <c r="AI30" t="str">
        <f t="shared" si="12"/>
        <v>11</v>
      </c>
    </row>
    <row r="31" spans="1:35" x14ac:dyDescent="0.25">
      <c r="A31">
        <f t="shared" si="5"/>
        <v>23</v>
      </c>
      <c r="B31" t="str">
        <f t="shared" si="0"/>
        <v>0x017</v>
      </c>
      <c r="C31">
        <v>0</v>
      </c>
      <c r="D31" t="str">
        <f t="shared" si="6"/>
        <v>00000</v>
      </c>
      <c r="E31" t="s">
        <v>63</v>
      </c>
    </row>
    <row r="32" spans="1:35" x14ac:dyDescent="0.25">
      <c r="A32">
        <f t="shared" si="5"/>
        <v>24</v>
      </c>
      <c r="B32" t="str">
        <f t="shared" si="0"/>
        <v>0x018</v>
      </c>
      <c r="C32">
        <v>0</v>
      </c>
      <c r="D32" t="str">
        <f t="shared" si="6"/>
        <v>00000</v>
      </c>
      <c r="E32" t="s">
        <v>64</v>
      </c>
      <c r="F32" t="s">
        <v>110</v>
      </c>
      <c r="G32" t="s">
        <v>35</v>
      </c>
      <c r="K32" s="22">
        <v>0</v>
      </c>
      <c r="L32" s="12">
        <v>1</v>
      </c>
      <c r="M32" s="13">
        <v>0</v>
      </c>
      <c r="N32" s="13">
        <v>1</v>
      </c>
      <c r="O32" s="14">
        <v>1</v>
      </c>
      <c r="P32" s="12">
        <v>1</v>
      </c>
      <c r="Q32" s="2">
        <v>0</v>
      </c>
      <c r="R32" s="18">
        <v>0</v>
      </c>
      <c r="S32" s="19">
        <v>0</v>
      </c>
      <c r="T32" s="20">
        <v>0</v>
      </c>
      <c r="U32" s="18">
        <v>1</v>
      </c>
      <c r="V32" s="18">
        <v>0</v>
      </c>
      <c r="W32" s="6">
        <v>1</v>
      </c>
      <c r="X32" s="7">
        <v>1</v>
      </c>
      <c r="Y32" s="8">
        <v>1</v>
      </c>
      <c r="Z32" s="8">
        <v>1</v>
      </c>
      <c r="AA32" s="6">
        <v>1</v>
      </c>
      <c r="AG32" t="str">
        <f>CONCATENATE(L32,M32,N32,O32,P32,Q32,R32,S32)</f>
        <v>10111000</v>
      </c>
      <c r="AH32" t="str">
        <f>BIN2HEX(AG32,2)</f>
        <v>B8</v>
      </c>
      <c r="AI32" t="str">
        <f>BIN2HEX(CONCATENATE(T32,U32,V32,W32,X32,Y32,Z32,AA32),2)</f>
        <v>5F</v>
      </c>
    </row>
    <row r="33" spans="1:35" x14ac:dyDescent="0.25">
      <c r="A33">
        <f t="shared" si="5"/>
        <v>25</v>
      </c>
      <c r="B33" t="str">
        <f t="shared" si="0"/>
        <v>0x019</v>
      </c>
      <c r="C33">
        <v>0</v>
      </c>
      <c r="D33" t="str">
        <f t="shared" si="6"/>
        <v>00000</v>
      </c>
      <c r="E33" t="s">
        <v>65</v>
      </c>
    </row>
    <row r="34" spans="1:35" x14ac:dyDescent="0.25">
      <c r="A34">
        <f t="shared" si="5"/>
        <v>26</v>
      </c>
      <c r="B34" t="str">
        <f t="shared" si="0"/>
        <v>0x01A</v>
      </c>
      <c r="C34">
        <v>0</v>
      </c>
      <c r="D34" t="str">
        <f t="shared" si="6"/>
        <v>00000</v>
      </c>
      <c r="E34" t="s">
        <v>66</v>
      </c>
      <c r="F34" t="s">
        <v>112</v>
      </c>
      <c r="H34" t="s">
        <v>201</v>
      </c>
      <c r="K34" s="22">
        <v>0</v>
      </c>
      <c r="L34" s="12">
        <v>1</v>
      </c>
      <c r="M34" s="13">
        <v>0</v>
      </c>
      <c r="N34" s="13">
        <v>0</v>
      </c>
      <c r="O34" s="14">
        <v>0</v>
      </c>
      <c r="P34" s="12">
        <v>1</v>
      </c>
      <c r="Q34" s="2">
        <v>1</v>
      </c>
      <c r="R34" s="18">
        <v>0</v>
      </c>
      <c r="S34" s="19">
        <v>0</v>
      </c>
      <c r="T34" s="20">
        <v>0</v>
      </c>
      <c r="U34" s="18">
        <v>0</v>
      </c>
      <c r="V34" s="18">
        <v>0</v>
      </c>
      <c r="W34" s="6">
        <v>0</v>
      </c>
      <c r="X34" s="7">
        <v>0</v>
      </c>
      <c r="Y34" s="8">
        <v>0</v>
      </c>
      <c r="Z34" s="8">
        <v>0</v>
      </c>
      <c r="AA34" s="6">
        <v>0</v>
      </c>
      <c r="AG34" t="str">
        <f t="shared" ref="AG34:AG36" si="13">CONCATENATE(L34,M34,N34,O34,P34,Q34,R34,S34)</f>
        <v>10001100</v>
      </c>
      <c r="AH34" t="str">
        <f t="shared" ref="AH34:AH36" si="14">BIN2HEX(AG34,2)</f>
        <v>8C</v>
      </c>
      <c r="AI34" t="str">
        <f t="shared" ref="AI34:AI36" si="15">BIN2HEX(CONCATENATE(T34,U34,V34,W34,X34,Y34,Z34,AA34),2)</f>
        <v>00</v>
      </c>
    </row>
    <row r="35" spans="1:35" x14ac:dyDescent="0.25">
      <c r="A35">
        <f t="shared" si="5"/>
        <v>27</v>
      </c>
      <c r="B35" t="str">
        <f t="shared" si="0"/>
        <v>0x01B</v>
      </c>
      <c r="C35">
        <v>0</v>
      </c>
      <c r="D35" t="str">
        <f t="shared" si="6"/>
        <v>00000</v>
      </c>
      <c r="E35" t="s">
        <v>67</v>
      </c>
      <c r="F35" t="s">
        <v>112</v>
      </c>
      <c r="H35" t="s">
        <v>114</v>
      </c>
      <c r="K35" s="22">
        <v>0</v>
      </c>
      <c r="L35" s="12">
        <v>1</v>
      </c>
      <c r="M35" s="13">
        <v>0</v>
      </c>
      <c r="N35" s="13">
        <v>1</v>
      </c>
      <c r="O35" s="14">
        <v>1</v>
      </c>
      <c r="P35" s="12">
        <v>1</v>
      </c>
      <c r="Q35" s="2">
        <v>1</v>
      </c>
      <c r="R35" s="18">
        <v>0</v>
      </c>
      <c r="S35" s="19">
        <v>0</v>
      </c>
      <c r="T35" s="20">
        <v>0</v>
      </c>
      <c r="U35" s="18">
        <v>0</v>
      </c>
      <c r="V35" s="18">
        <v>0</v>
      </c>
      <c r="W35" s="6">
        <v>0</v>
      </c>
      <c r="X35" s="7">
        <v>0</v>
      </c>
      <c r="Y35" s="8">
        <v>0</v>
      </c>
      <c r="Z35" s="8">
        <v>0</v>
      </c>
      <c r="AA35" s="6">
        <v>1</v>
      </c>
      <c r="AG35" t="str">
        <f t="shared" si="13"/>
        <v>10111100</v>
      </c>
      <c r="AH35" t="str">
        <f t="shared" si="14"/>
        <v>BC</v>
      </c>
      <c r="AI35" t="str">
        <f t="shared" si="15"/>
        <v>01</v>
      </c>
    </row>
    <row r="36" spans="1:35" x14ac:dyDescent="0.25">
      <c r="A36">
        <f t="shared" si="5"/>
        <v>28</v>
      </c>
      <c r="B36" t="str">
        <f t="shared" si="0"/>
        <v>0x01C</v>
      </c>
      <c r="C36">
        <v>0</v>
      </c>
      <c r="D36" t="str">
        <f t="shared" si="6"/>
        <v>00000</v>
      </c>
      <c r="E36" t="s">
        <v>68</v>
      </c>
      <c r="F36" t="s">
        <v>110</v>
      </c>
      <c r="K36" s="22">
        <v>0</v>
      </c>
      <c r="L36" s="12">
        <v>1</v>
      </c>
      <c r="M36" s="13">
        <v>0</v>
      </c>
      <c r="N36" s="13">
        <v>1</v>
      </c>
      <c r="O36" s="14">
        <v>1</v>
      </c>
      <c r="P36" s="12">
        <v>1</v>
      </c>
      <c r="Q36" s="2">
        <v>0</v>
      </c>
      <c r="R36" s="18">
        <v>0</v>
      </c>
      <c r="S36" s="19">
        <v>0</v>
      </c>
      <c r="T36" s="20">
        <v>0</v>
      </c>
      <c r="U36" s="18">
        <v>1</v>
      </c>
      <c r="V36" s="18">
        <v>0</v>
      </c>
      <c r="W36" s="6">
        <v>0</v>
      </c>
      <c r="X36" s="7">
        <v>0</v>
      </c>
      <c r="Y36" s="8">
        <v>0</v>
      </c>
      <c r="Z36" s="8">
        <v>1</v>
      </c>
      <c r="AA36" s="6">
        <v>1</v>
      </c>
      <c r="AG36" t="str">
        <f t="shared" si="13"/>
        <v>10111000</v>
      </c>
      <c r="AH36" t="str">
        <f t="shared" si="14"/>
        <v>B8</v>
      </c>
      <c r="AI36" t="str">
        <f t="shared" si="15"/>
        <v>43</v>
      </c>
    </row>
    <row r="37" spans="1:35" x14ac:dyDescent="0.25">
      <c r="A37">
        <f t="shared" si="5"/>
        <v>29</v>
      </c>
      <c r="B37" t="str">
        <f t="shared" si="0"/>
        <v>0x01D</v>
      </c>
      <c r="C37">
        <v>0</v>
      </c>
      <c r="D37" t="str">
        <f t="shared" si="6"/>
        <v>00000</v>
      </c>
      <c r="E37" t="s">
        <v>69</v>
      </c>
      <c r="F37" t="s">
        <v>112</v>
      </c>
      <c r="H37" t="s">
        <v>207</v>
      </c>
      <c r="K37" s="22">
        <v>0</v>
      </c>
      <c r="L37" s="12">
        <v>1</v>
      </c>
      <c r="M37" s="13">
        <v>0</v>
      </c>
      <c r="N37" s="13">
        <v>1</v>
      </c>
      <c r="O37" s="14">
        <v>1</v>
      </c>
      <c r="P37" s="12">
        <v>1</v>
      </c>
      <c r="Q37" s="2">
        <v>1</v>
      </c>
      <c r="R37" s="18">
        <v>0</v>
      </c>
      <c r="S37" s="19">
        <v>0</v>
      </c>
      <c r="T37" s="20">
        <v>0</v>
      </c>
      <c r="U37" s="18">
        <v>0</v>
      </c>
      <c r="V37" s="18">
        <v>0</v>
      </c>
      <c r="W37" s="6">
        <v>0</v>
      </c>
      <c r="X37" s="7">
        <v>0</v>
      </c>
      <c r="Y37" s="8">
        <v>0</v>
      </c>
      <c r="Z37" s="8">
        <v>1</v>
      </c>
      <c r="AA37" s="6">
        <v>0</v>
      </c>
      <c r="AG37" t="str">
        <f t="shared" ref="AG37:AG38" si="16">CONCATENATE(L37,M37,N37,O37,P37,Q37,R37,S37)</f>
        <v>10111100</v>
      </c>
      <c r="AH37" t="str">
        <f t="shared" ref="AH37:AH38" si="17">BIN2HEX(AG37,2)</f>
        <v>BC</v>
      </c>
      <c r="AI37" t="str">
        <f t="shared" ref="AI37:AI38" si="18">BIN2HEX(CONCATENATE(T37,U37,V37,W37,X37,Y37,Z37,AA37),2)</f>
        <v>02</v>
      </c>
    </row>
    <row r="38" spans="1:35" x14ac:dyDescent="0.25">
      <c r="A38">
        <f t="shared" si="5"/>
        <v>30</v>
      </c>
      <c r="B38" t="str">
        <f t="shared" si="0"/>
        <v>0x01E</v>
      </c>
      <c r="C38">
        <v>0</v>
      </c>
      <c r="D38" t="str">
        <f t="shared" si="6"/>
        <v>00000</v>
      </c>
      <c r="E38" t="s">
        <v>70</v>
      </c>
      <c r="F38" t="s">
        <v>112</v>
      </c>
      <c r="H38" t="s">
        <v>208</v>
      </c>
      <c r="K38" s="22">
        <v>0</v>
      </c>
      <c r="L38" s="12">
        <v>1</v>
      </c>
      <c r="M38" s="13">
        <v>0</v>
      </c>
      <c r="N38" s="13">
        <v>1</v>
      </c>
      <c r="O38" s="14">
        <v>1</v>
      </c>
      <c r="P38" s="12">
        <v>1</v>
      </c>
      <c r="Q38" s="2">
        <v>1</v>
      </c>
      <c r="R38" s="18">
        <v>0</v>
      </c>
      <c r="S38" s="19">
        <v>0</v>
      </c>
      <c r="T38" s="20">
        <v>0</v>
      </c>
      <c r="U38" s="18">
        <v>0</v>
      </c>
      <c r="V38" s="18">
        <v>0</v>
      </c>
      <c r="W38" s="6">
        <v>0</v>
      </c>
      <c r="X38" s="7">
        <v>0</v>
      </c>
      <c r="Y38" s="8">
        <v>0</v>
      </c>
      <c r="Z38" s="8">
        <v>1</v>
      </c>
      <c r="AA38" s="6">
        <v>1</v>
      </c>
      <c r="AG38" t="str">
        <f t="shared" si="16"/>
        <v>10111100</v>
      </c>
      <c r="AH38" t="str">
        <f t="shared" si="17"/>
        <v>BC</v>
      </c>
      <c r="AI38" t="str">
        <f t="shared" si="18"/>
        <v>03</v>
      </c>
    </row>
    <row r="39" spans="1:35" x14ac:dyDescent="0.25">
      <c r="A39">
        <f t="shared" si="5"/>
        <v>31</v>
      </c>
      <c r="B39" t="str">
        <f t="shared" si="0"/>
        <v>0x01F</v>
      </c>
      <c r="C39">
        <v>0</v>
      </c>
      <c r="D39" t="str">
        <f t="shared" si="6"/>
        <v>00000</v>
      </c>
      <c r="E39" t="s">
        <v>71</v>
      </c>
    </row>
    <row r="40" spans="1:35" x14ac:dyDescent="0.25">
      <c r="A40">
        <f t="shared" si="5"/>
        <v>32</v>
      </c>
      <c r="B40" t="str">
        <f t="shared" si="0"/>
        <v>0x020</v>
      </c>
      <c r="C40">
        <v>0</v>
      </c>
      <c r="D40" t="str">
        <f t="shared" si="6"/>
        <v>00000</v>
      </c>
      <c r="E40" t="s">
        <v>34</v>
      </c>
      <c r="F40" t="s">
        <v>37</v>
      </c>
    </row>
    <row r="41" spans="1:35" x14ac:dyDescent="0.25">
      <c r="A41">
        <f t="shared" si="5"/>
        <v>33</v>
      </c>
      <c r="B41" t="str">
        <f t="shared" si="0"/>
        <v>0x021</v>
      </c>
      <c r="C41">
        <f>C40+1</f>
        <v>1</v>
      </c>
      <c r="D41" t="str">
        <f t="shared" si="6"/>
        <v>00001</v>
      </c>
      <c r="E41" t="s">
        <v>34</v>
      </c>
    </row>
    <row r="42" spans="1:35" x14ac:dyDescent="0.25">
      <c r="A42">
        <f t="shared" si="5"/>
        <v>34</v>
      </c>
      <c r="B42" t="str">
        <f t="shared" si="0"/>
        <v>0x022</v>
      </c>
      <c r="C42">
        <f t="shared" ref="C42:C71" si="19">C41+1</f>
        <v>2</v>
      </c>
      <c r="D42" t="str">
        <f t="shared" si="6"/>
        <v>00002</v>
      </c>
      <c r="E42" t="s">
        <v>34</v>
      </c>
    </row>
    <row r="43" spans="1:35" x14ac:dyDescent="0.25">
      <c r="A43">
        <f t="shared" si="5"/>
        <v>35</v>
      </c>
      <c r="B43" t="str">
        <f t="shared" si="0"/>
        <v>0x023</v>
      </c>
      <c r="C43">
        <f t="shared" si="19"/>
        <v>3</v>
      </c>
      <c r="D43" t="str">
        <f t="shared" si="6"/>
        <v>00003</v>
      </c>
      <c r="E43" t="s">
        <v>34</v>
      </c>
    </row>
    <row r="44" spans="1:35" x14ac:dyDescent="0.25">
      <c r="A44">
        <f t="shared" si="5"/>
        <v>36</v>
      </c>
      <c r="B44" t="str">
        <f t="shared" si="0"/>
        <v>0x024</v>
      </c>
      <c r="C44">
        <f t="shared" si="19"/>
        <v>4</v>
      </c>
      <c r="D44" t="str">
        <f t="shared" si="6"/>
        <v>00004</v>
      </c>
      <c r="E44" t="s">
        <v>34</v>
      </c>
    </row>
    <row r="45" spans="1:35" x14ac:dyDescent="0.25">
      <c r="A45">
        <f t="shared" si="5"/>
        <v>37</v>
      </c>
      <c r="B45" t="str">
        <f t="shared" si="0"/>
        <v>0x025</v>
      </c>
      <c r="C45">
        <f t="shared" si="19"/>
        <v>5</v>
      </c>
      <c r="D45" t="str">
        <f t="shared" si="6"/>
        <v>00005</v>
      </c>
      <c r="E45" t="s">
        <v>34</v>
      </c>
    </row>
    <row r="46" spans="1:35" x14ac:dyDescent="0.25">
      <c r="A46">
        <f t="shared" si="5"/>
        <v>38</v>
      </c>
      <c r="B46" t="str">
        <f t="shared" si="0"/>
        <v>0x026</v>
      </c>
      <c r="C46">
        <f t="shared" si="19"/>
        <v>6</v>
      </c>
      <c r="D46" t="str">
        <f t="shared" si="6"/>
        <v>00006</v>
      </c>
      <c r="E46" t="s">
        <v>34</v>
      </c>
    </row>
    <row r="47" spans="1:35" x14ac:dyDescent="0.25">
      <c r="A47">
        <f t="shared" si="5"/>
        <v>39</v>
      </c>
      <c r="B47" t="str">
        <f t="shared" si="0"/>
        <v>0x027</v>
      </c>
      <c r="C47">
        <f t="shared" si="19"/>
        <v>7</v>
      </c>
      <c r="D47" t="str">
        <f t="shared" si="6"/>
        <v>00007</v>
      </c>
      <c r="E47" t="s">
        <v>34</v>
      </c>
    </row>
    <row r="48" spans="1:35" x14ac:dyDescent="0.25">
      <c r="A48">
        <f t="shared" si="5"/>
        <v>40</v>
      </c>
      <c r="B48" t="str">
        <f t="shared" si="0"/>
        <v>0x028</v>
      </c>
      <c r="C48">
        <f t="shared" si="19"/>
        <v>8</v>
      </c>
      <c r="D48" t="str">
        <f t="shared" si="6"/>
        <v>00008</v>
      </c>
      <c r="E48" t="s">
        <v>34</v>
      </c>
    </row>
    <row r="49" spans="1:5" x14ac:dyDescent="0.25">
      <c r="A49">
        <f t="shared" si="5"/>
        <v>41</v>
      </c>
      <c r="B49" t="str">
        <f t="shared" si="0"/>
        <v>0x029</v>
      </c>
      <c r="C49">
        <f t="shared" si="19"/>
        <v>9</v>
      </c>
      <c r="D49" t="str">
        <f t="shared" si="6"/>
        <v>00009</v>
      </c>
      <c r="E49" t="s">
        <v>34</v>
      </c>
    </row>
    <row r="50" spans="1:5" x14ac:dyDescent="0.25">
      <c r="A50">
        <f t="shared" si="5"/>
        <v>42</v>
      </c>
      <c r="B50" t="str">
        <f t="shared" si="0"/>
        <v>0x02A</v>
      </c>
      <c r="C50">
        <f t="shared" si="19"/>
        <v>10</v>
      </c>
      <c r="D50" t="str">
        <f t="shared" si="6"/>
        <v>0000A</v>
      </c>
      <c r="E50" t="s">
        <v>34</v>
      </c>
    </row>
    <row r="51" spans="1:5" x14ac:dyDescent="0.25">
      <c r="A51">
        <f t="shared" si="5"/>
        <v>43</v>
      </c>
      <c r="B51" t="str">
        <f t="shared" si="0"/>
        <v>0x02B</v>
      </c>
      <c r="C51">
        <f t="shared" si="19"/>
        <v>11</v>
      </c>
      <c r="D51" t="str">
        <f t="shared" si="6"/>
        <v>0000B</v>
      </c>
      <c r="E51" t="s">
        <v>34</v>
      </c>
    </row>
    <row r="52" spans="1:5" x14ac:dyDescent="0.25">
      <c r="A52">
        <f t="shared" si="5"/>
        <v>44</v>
      </c>
      <c r="B52" t="str">
        <f t="shared" si="0"/>
        <v>0x02C</v>
      </c>
      <c r="C52">
        <f t="shared" si="19"/>
        <v>12</v>
      </c>
      <c r="D52" t="str">
        <f t="shared" si="6"/>
        <v>0000C</v>
      </c>
      <c r="E52" t="s">
        <v>34</v>
      </c>
    </row>
    <row r="53" spans="1:5" x14ac:dyDescent="0.25">
      <c r="A53">
        <f t="shared" si="5"/>
        <v>45</v>
      </c>
      <c r="B53" t="str">
        <f t="shared" si="0"/>
        <v>0x02D</v>
      </c>
      <c r="C53">
        <f t="shared" si="19"/>
        <v>13</v>
      </c>
      <c r="D53" t="str">
        <f t="shared" si="6"/>
        <v>0000D</v>
      </c>
      <c r="E53" t="s">
        <v>34</v>
      </c>
    </row>
    <row r="54" spans="1:5" x14ac:dyDescent="0.25">
      <c r="A54">
        <f t="shared" si="5"/>
        <v>46</v>
      </c>
      <c r="B54" t="str">
        <f t="shared" si="0"/>
        <v>0x02E</v>
      </c>
      <c r="C54">
        <f t="shared" si="19"/>
        <v>14</v>
      </c>
      <c r="D54" t="str">
        <f t="shared" si="6"/>
        <v>0000E</v>
      </c>
      <c r="E54" t="s">
        <v>34</v>
      </c>
    </row>
    <row r="55" spans="1:5" x14ac:dyDescent="0.25">
      <c r="A55">
        <f t="shared" si="5"/>
        <v>47</v>
      </c>
      <c r="B55" t="str">
        <f t="shared" si="0"/>
        <v>0x02F</v>
      </c>
      <c r="C55">
        <f t="shared" si="19"/>
        <v>15</v>
      </c>
      <c r="D55" t="str">
        <f t="shared" si="6"/>
        <v>0000F</v>
      </c>
      <c r="E55" t="s">
        <v>34</v>
      </c>
    </row>
    <row r="56" spans="1:5" x14ac:dyDescent="0.25">
      <c r="A56">
        <f t="shared" si="5"/>
        <v>48</v>
      </c>
      <c r="B56" t="str">
        <f t="shared" si="0"/>
        <v>0x030</v>
      </c>
      <c r="C56">
        <f t="shared" si="19"/>
        <v>16</v>
      </c>
      <c r="D56" t="str">
        <f t="shared" si="6"/>
        <v>00010</v>
      </c>
      <c r="E56" t="s">
        <v>34</v>
      </c>
    </row>
    <row r="57" spans="1:5" x14ac:dyDescent="0.25">
      <c r="A57">
        <f t="shared" si="5"/>
        <v>49</v>
      </c>
      <c r="B57" t="str">
        <f t="shared" si="0"/>
        <v>0x031</v>
      </c>
      <c r="C57">
        <f t="shared" si="19"/>
        <v>17</v>
      </c>
      <c r="D57" t="str">
        <f t="shared" si="6"/>
        <v>00011</v>
      </c>
      <c r="E57" t="s">
        <v>34</v>
      </c>
    </row>
    <row r="58" spans="1:5" x14ac:dyDescent="0.25">
      <c r="A58">
        <f t="shared" si="5"/>
        <v>50</v>
      </c>
      <c r="B58" t="str">
        <f t="shared" si="0"/>
        <v>0x032</v>
      </c>
      <c r="C58">
        <f t="shared" si="19"/>
        <v>18</v>
      </c>
      <c r="D58" t="str">
        <f t="shared" si="6"/>
        <v>00012</v>
      </c>
      <c r="E58" t="s">
        <v>34</v>
      </c>
    </row>
    <row r="59" spans="1:5" x14ac:dyDescent="0.25">
      <c r="A59">
        <f t="shared" si="5"/>
        <v>51</v>
      </c>
      <c r="B59" t="str">
        <f t="shared" si="0"/>
        <v>0x033</v>
      </c>
      <c r="C59">
        <f t="shared" si="19"/>
        <v>19</v>
      </c>
      <c r="D59" t="str">
        <f t="shared" si="6"/>
        <v>00013</v>
      </c>
      <c r="E59" t="s">
        <v>34</v>
      </c>
    </row>
    <row r="60" spans="1:5" x14ac:dyDescent="0.25">
      <c r="A60">
        <f t="shared" si="5"/>
        <v>52</v>
      </c>
      <c r="B60" t="str">
        <f t="shared" si="0"/>
        <v>0x034</v>
      </c>
      <c r="C60">
        <f t="shared" si="19"/>
        <v>20</v>
      </c>
      <c r="D60" t="str">
        <f t="shared" si="6"/>
        <v>00014</v>
      </c>
      <c r="E60" t="s">
        <v>34</v>
      </c>
    </row>
    <row r="61" spans="1:5" x14ac:dyDescent="0.25">
      <c r="A61">
        <f t="shared" si="5"/>
        <v>53</v>
      </c>
      <c r="B61" t="str">
        <f t="shared" si="0"/>
        <v>0x035</v>
      </c>
      <c r="C61">
        <f t="shared" si="19"/>
        <v>21</v>
      </c>
      <c r="D61" t="str">
        <f t="shared" si="6"/>
        <v>00015</v>
      </c>
      <c r="E61" t="s">
        <v>34</v>
      </c>
    </row>
    <row r="62" spans="1:5" x14ac:dyDescent="0.25">
      <c r="A62">
        <f t="shared" si="5"/>
        <v>54</v>
      </c>
      <c r="B62" t="str">
        <f t="shared" si="0"/>
        <v>0x036</v>
      </c>
      <c r="C62">
        <f t="shared" si="19"/>
        <v>22</v>
      </c>
      <c r="D62" t="str">
        <f t="shared" si="6"/>
        <v>00016</v>
      </c>
      <c r="E62" t="s">
        <v>34</v>
      </c>
    </row>
    <row r="63" spans="1:5" x14ac:dyDescent="0.25">
      <c r="A63">
        <f t="shared" si="5"/>
        <v>55</v>
      </c>
      <c r="B63" t="str">
        <f t="shared" si="0"/>
        <v>0x037</v>
      </c>
      <c r="C63">
        <f t="shared" si="19"/>
        <v>23</v>
      </c>
      <c r="D63" t="str">
        <f t="shared" si="6"/>
        <v>00017</v>
      </c>
      <c r="E63" t="s">
        <v>34</v>
      </c>
    </row>
    <row r="64" spans="1:5" x14ac:dyDescent="0.25">
      <c r="A64">
        <f t="shared" si="5"/>
        <v>56</v>
      </c>
      <c r="B64" t="str">
        <f t="shared" si="0"/>
        <v>0x038</v>
      </c>
      <c r="C64">
        <f t="shared" si="19"/>
        <v>24</v>
      </c>
      <c r="D64" t="str">
        <f t="shared" si="6"/>
        <v>00018</v>
      </c>
      <c r="E64" t="s">
        <v>34</v>
      </c>
    </row>
    <row r="65" spans="1:6" x14ac:dyDescent="0.25">
      <c r="A65">
        <f t="shared" si="5"/>
        <v>57</v>
      </c>
      <c r="B65" t="str">
        <f t="shared" si="0"/>
        <v>0x039</v>
      </c>
      <c r="C65">
        <f t="shared" si="19"/>
        <v>25</v>
      </c>
      <c r="D65" t="str">
        <f t="shared" si="6"/>
        <v>00019</v>
      </c>
      <c r="E65" t="s">
        <v>34</v>
      </c>
    </row>
    <row r="66" spans="1:6" x14ac:dyDescent="0.25">
      <c r="A66">
        <f t="shared" si="5"/>
        <v>58</v>
      </c>
      <c r="B66" t="str">
        <f t="shared" si="0"/>
        <v>0x03A</v>
      </c>
      <c r="C66">
        <f t="shared" si="19"/>
        <v>26</v>
      </c>
      <c r="D66" t="str">
        <f t="shared" si="6"/>
        <v>0001A</v>
      </c>
      <c r="E66" t="s">
        <v>34</v>
      </c>
    </row>
    <row r="67" spans="1:6" x14ac:dyDescent="0.25">
      <c r="A67">
        <f t="shared" si="5"/>
        <v>59</v>
      </c>
      <c r="B67" t="str">
        <f t="shared" si="0"/>
        <v>0x03B</v>
      </c>
      <c r="C67">
        <f t="shared" si="19"/>
        <v>27</v>
      </c>
      <c r="D67" t="str">
        <f t="shared" si="6"/>
        <v>0001B</v>
      </c>
      <c r="E67" t="s">
        <v>34</v>
      </c>
    </row>
    <row r="68" spans="1:6" x14ac:dyDescent="0.25">
      <c r="A68">
        <f t="shared" si="5"/>
        <v>60</v>
      </c>
      <c r="B68" t="str">
        <f t="shared" si="0"/>
        <v>0x03C</v>
      </c>
      <c r="C68">
        <f t="shared" si="19"/>
        <v>28</v>
      </c>
      <c r="D68" t="str">
        <f t="shared" si="6"/>
        <v>0001C</v>
      </c>
      <c r="E68" t="s">
        <v>34</v>
      </c>
    </row>
    <row r="69" spans="1:6" x14ac:dyDescent="0.25">
      <c r="A69">
        <f t="shared" si="5"/>
        <v>61</v>
      </c>
      <c r="B69" t="str">
        <f t="shared" si="0"/>
        <v>0x03D</v>
      </c>
      <c r="C69">
        <f t="shared" si="19"/>
        <v>29</v>
      </c>
      <c r="D69" t="str">
        <f t="shared" si="6"/>
        <v>0001D</v>
      </c>
      <c r="E69" t="s">
        <v>34</v>
      </c>
    </row>
    <row r="70" spans="1:6" x14ac:dyDescent="0.25">
      <c r="A70">
        <f t="shared" si="5"/>
        <v>62</v>
      </c>
      <c r="B70" t="str">
        <f t="shared" si="0"/>
        <v>0x03E</v>
      </c>
      <c r="C70">
        <f t="shared" si="19"/>
        <v>30</v>
      </c>
      <c r="D70" t="str">
        <f t="shared" si="6"/>
        <v>0001E</v>
      </c>
      <c r="E70" t="s">
        <v>34</v>
      </c>
    </row>
    <row r="71" spans="1:6" x14ac:dyDescent="0.25">
      <c r="A71">
        <f t="shared" si="5"/>
        <v>63</v>
      </c>
      <c r="B71" t="str">
        <f t="shared" si="0"/>
        <v>0x03F</v>
      </c>
      <c r="C71">
        <f t="shared" si="19"/>
        <v>31</v>
      </c>
      <c r="D71" t="str">
        <f t="shared" si="6"/>
        <v>0001F</v>
      </c>
      <c r="E71" t="s">
        <v>34</v>
      </c>
      <c r="F71" t="s">
        <v>38</v>
      </c>
    </row>
    <row r="72" spans="1:6" x14ac:dyDescent="0.25">
      <c r="A72">
        <f t="shared" si="5"/>
        <v>64</v>
      </c>
      <c r="B72" t="str">
        <f t="shared" si="0"/>
        <v>0x040</v>
      </c>
      <c r="C72">
        <f ca="1">RANDBETWEEN(0,65535)</f>
        <v>62885</v>
      </c>
      <c r="D72" t="str">
        <f t="shared" ca="1" si="6"/>
        <v>0F5A5</v>
      </c>
      <c r="E72" t="s">
        <v>35</v>
      </c>
      <c r="F72" t="s">
        <v>37</v>
      </c>
    </row>
    <row r="73" spans="1:6" x14ac:dyDescent="0.25">
      <c r="A73">
        <f t="shared" si="5"/>
        <v>65</v>
      </c>
      <c r="B73" t="str">
        <f t="shared" ref="B73:B136" si="20">CONCATENATE("0x",DEC2HEX(A73,3))</f>
        <v>0x041</v>
      </c>
      <c r="C73">
        <f t="shared" ref="C73:C103" ca="1" si="21">RANDBETWEEN(0,65535)</f>
        <v>13457</v>
      </c>
      <c r="D73" t="str">
        <f t="shared" ref="D73:D136" ca="1" si="22">DEC2HEX(C73,5)</f>
        <v>03491</v>
      </c>
      <c r="E73" t="s">
        <v>35</v>
      </c>
    </row>
    <row r="74" spans="1:6" x14ac:dyDescent="0.25">
      <c r="A74">
        <f t="shared" ref="A74:A137" si="23">A73+1</f>
        <v>66</v>
      </c>
      <c r="B74" t="str">
        <f t="shared" si="20"/>
        <v>0x042</v>
      </c>
      <c r="C74">
        <f t="shared" ca="1" si="21"/>
        <v>37594</v>
      </c>
      <c r="D74" t="str">
        <f t="shared" ca="1" si="22"/>
        <v>092DA</v>
      </c>
      <c r="E74" t="s">
        <v>35</v>
      </c>
    </row>
    <row r="75" spans="1:6" x14ac:dyDescent="0.25">
      <c r="A75">
        <f t="shared" si="23"/>
        <v>67</v>
      </c>
      <c r="B75" t="str">
        <f t="shared" si="20"/>
        <v>0x043</v>
      </c>
      <c r="C75">
        <f t="shared" ca="1" si="21"/>
        <v>519</v>
      </c>
      <c r="D75" t="str">
        <f t="shared" ca="1" si="22"/>
        <v>00207</v>
      </c>
      <c r="E75" t="s">
        <v>35</v>
      </c>
    </row>
    <row r="76" spans="1:6" x14ac:dyDescent="0.25">
      <c r="A76">
        <f t="shared" si="23"/>
        <v>68</v>
      </c>
      <c r="B76" t="str">
        <f t="shared" si="20"/>
        <v>0x044</v>
      </c>
      <c r="C76">
        <f t="shared" ca="1" si="21"/>
        <v>15499</v>
      </c>
      <c r="D76" t="str">
        <f t="shared" ca="1" si="22"/>
        <v>03C8B</v>
      </c>
      <c r="E76" t="s">
        <v>35</v>
      </c>
    </row>
    <row r="77" spans="1:6" x14ac:dyDescent="0.25">
      <c r="A77">
        <f t="shared" si="23"/>
        <v>69</v>
      </c>
      <c r="B77" t="str">
        <f t="shared" si="20"/>
        <v>0x045</v>
      </c>
      <c r="C77">
        <f t="shared" ca="1" si="21"/>
        <v>25600</v>
      </c>
      <c r="D77" t="str">
        <f t="shared" ca="1" si="22"/>
        <v>06400</v>
      </c>
      <c r="E77" t="s">
        <v>35</v>
      </c>
    </row>
    <row r="78" spans="1:6" x14ac:dyDescent="0.25">
      <c r="A78">
        <f t="shared" si="23"/>
        <v>70</v>
      </c>
      <c r="B78" t="str">
        <f t="shared" si="20"/>
        <v>0x046</v>
      </c>
      <c r="C78">
        <f t="shared" ca="1" si="21"/>
        <v>59023</v>
      </c>
      <c r="D78" t="str">
        <f t="shared" ca="1" si="22"/>
        <v>0E68F</v>
      </c>
      <c r="E78" t="s">
        <v>35</v>
      </c>
    </row>
    <row r="79" spans="1:6" x14ac:dyDescent="0.25">
      <c r="A79">
        <f t="shared" si="23"/>
        <v>71</v>
      </c>
      <c r="B79" t="str">
        <f t="shared" si="20"/>
        <v>0x047</v>
      </c>
      <c r="C79">
        <f t="shared" ca="1" si="21"/>
        <v>5448</v>
      </c>
      <c r="D79" t="str">
        <f t="shared" ca="1" si="22"/>
        <v>01548</v>
      </c>
      <c r="E79" t="s">
        <v>35</v>
      </c>
    </row>
    <row r="80" spans="1:6" x14ac:dyDescent="0.25">
      <c r="A80">
        <f t="shared" si="23"/>
        <v>72</v>
      </c>
      <c r="B80" t="str">
        <f t="shared" si="20"/>
        <v>0x048</v>
      </c>
      <c r="C80">
        <f t="shared" ca="1" si="21"/>
        <v>10601</v>
      </c>
      <c r="D80" t="str">
        <f t="shared" ca="1" si="22"/>
        <v>02969</v>
      </c>
      <c r="E80" t="s">
        <v>35</v>
      </c>
    </row>
    <row r="81" spans="1:5" x14ac:dyDescent="0.25">
      <c r="A81">
        <f t="shared" si="23"/>
        <v>73</v>
      </c>
      <c r="B81" t="str">
        <f t="shared" si="20"/>
        <v>0x049</v>
      </c>
      <c r="C81">
        <f t="shared" ca="1" si="21"/>
        <v>63041</v>
      </c>
      <c r="D81" t="str">
        <f t="shared" ca="1" si="22"/>
        <v>0F641</v>
      </c>
      <c r="E81" t="s">
        <v>35</v>
      </c>
    </row>
    <row r="82" spans="1:5" x14ac:dyDescent="0.25">
      <c r="A82">
        <f t="shared" si="23"/>
        <v>74</v>
      </c>
      <c r="B82" t="str">
        <f t="shared" si="20"/>
        <v>0x04A</v>
      </c>
      <c r="C82">
        <f t="shared" ca="1" si="21"/>
        <v>14352</v>
      </c>
      <c r="D82" t="str">
        <f t="shared" ca="1" si="22"/>
        <v>03810</v>
      </c>
      <c r="E82" t="s">
        <v>35</v>
      </c>
    </row>
    <row r="83" spans="1:5" x14ac:dyDescent="0.25">
      <c r="A83">
        <f t="shared" si="23"/>
        <v>75</v>
      </c>
      <c r="B83" t="str">
        <f t="shared" si="20"/>
        <v>0x04B</v>
      </c>
      <c r="C83">
        <f t="shared" ca="1" si="21"/>
        <v>34152</v>
      </c>
      <c r="D83" t="str">
        <f t="shared" ca="1" si="22"/>
        <v>08568</v>
      </c>
      <c r="E83" t="s">
        <v>35</v>
      </c>
    </row>
    <row r="84" spans="1:5" x14ac:dyDescent="0.25">
      <c r="A84">
        <f t="shared" si="23"/>
        <v>76</v>
      </c>
      <c r="B84" t="str">
        <f t="shared" si="20"/>
        <v>0x04C</v>
      </c>
      <c r="C84">
        <f t="shared" ca="1" si="21"/>
        <v>37558</v>
      </c>
      <c r="D84" t="str">
        <f t="shared" ca="1" si="22"/>
        <v>092B6</v>
      </c>
      <c r="E84" t="s">
        <v>35</v>
      </c>
    </row>
    <row r="85" spans="1:5" x14ac:dyDescent="0.25">
      <c r="A85">
        <f t="shared" si="23"/>
        <v>77</v>
      </c>
      <c r="B85" t="str">
        <f t="shared" si="20"/>
        <v>0x04D</v>
      </c>
      <c r="C85">
        <f t="shared" ca="1" si="21"/>
        <v>16456</v>
      </c>
      <c r="D85" t="str">
        <f t="shared" ca="1" si="22"/>
        <v>04048</v>
      </c>
      <c r="E85" t="s">
        <v>35</v>
      </c>
    </row>
    <row r="86" spans="1:5" x14ac:dyDescent="0.25">
      <c r="A86">
        <f t="shared" si="23"/>
        <v>78</v>
      </c>
      <c r="B86" t="str">
        <f t="shared" si="20"/>
        <v>0x04E</v>
      </c>
      <c r="C86">
        <f t="shared" ca="1" si="21"/>
        <v>60033</v>
      </c>
      <c r="D86" t="str">
        <f t="shared" ca="1" si="22"/>
        <v>0EA81</v>
      </c>
      <c r="E86" t="s">
        <v>35</v>
      </c>
    </row>
    <row r="87" spans="1:5" x14ac:dyDescent="0.25">
      <c r="A87">
        <f t="shared" si="23"/>
        <v>79</v>
      </c>
      <c r="B87" t="str">
        <f t="shared" si="20"/>
        <v>0x04F</v>
      </c>
      <c r="C87">
        <f t="shared" ca="1" si="21"/>
        <v>21297</v>
      </c>
      <c r="D87" t="str">
        <f t="shared" ca="1" si="22"/>
        <v>05331</v>
      </c>
      <c r="E87" t="s">
        <v>35</v>
      </c>
    </row>
    <row r="88" spans="1:5" x14ac:dyDescent="0.25">
      <c r="A88">
        <f t="shared" si="23"/>
        <v>80</v>
      </c>
      <c r="B88" t="str">
        <f t="shared" si="20"/>
        <v>0x050</v>
      </c>
      <c r="C88">
        <f t="shared" ca="1" si="21"/>
        <v>2734</v>
      </c>
      <c r="D88" t="str">
        <f t="shared" ca="1" si="22"/>
        <v>00AAE</v>
      </c>
      <c r="E88" t="s">
        <v>35</v>
      </c>
    </row>
    <row r="89" spans="1:5" x14ac:dyDescent="0.25">
      <c r="A89">
        <f t="shared" si="23"/>
        <v>81</v>
      </c>
      <c r="B89" t="str">
        <f t="shared" si="20"/>
        <v>0x051</v>
      </c>
      <c r="C89">
        <f t="shared" ca="1" si="21"/>
        <v>63991</v>
      </c>
      <c r="D89" t="str">
        <f t="shared" ca="1" si="22"/>
        <v>0F9F7</v>
      </c>
      <c r="E89" t="s">
        <v>35</v>
      </c>
    </row>
    <row r="90" spans="1:5" x14ac:dyDescent="0.25">
      <c r="A90">
        <f t="shared" si="23"/>
        <v>82</v>
      </c>
      <c r="B90" t="str">
        <f t="shared" si="20"/>
        <v>0x052</v>
      </c>
      <c r="C90">
        <f t="shared" ca="1" si="21"/>
        <v>27716</v>
      </c>
      <c r="D90" t="str">
        <f t="shared" ca="1" si="22"/>
        <v>06C44</v>
      </c>
      <c r="E90" t="s">
        <v>35</v>
      </c>
    </row>
    <row r="91" spans="1:5" x14ac:dyDescent="0.25">
      <c r="A91">
        <f t="shared" si="23"/>
        <v>83</v>
      </c>
      <c r="B91" t="str">
        <f t="shared" si="20"/>
        <v>0x053</v>
      </c>
      <c r="C91">
        <f t="shared" ca="1" si="21"/>
        <v>44084</v>
      </c>
      <c r="D91" t="str">
        <f t="shared" ca="1" si="22"/>
        <v>0AC34</v>
      </c>
      <c r="E91" t="s">
        <v>35</v>
      </c>
    </row>
    <row r="92" spans="1:5" x14ac:dyDescent="0.25">
      <c r="A92">
        <f t="shared" si="23"/>
        <v>84</v>
      </c>
      <c r="B92" t="str">
        <f t="shared" si="20"/>
        <v>0x054</v>
      </c>
      <c r="C92">
        <f t="shared" ca="1" si="21"/>
        <v>24355</v>
      </c>
      <c r="D92" t="str">
        <f t="shared" ca="1" si="22"/>
        <v>05F23</v>
      </c>
      <c r="E92" t="s">
        <v>35</v>
      </c>
    </row>
    <row r="93" spans="1:5" x14ac:dyDescent="0.25">
      <c r="A93">
        <f t="shared" si="23"/>
        <v>85</v>
      </c>
      <c r="B93" t="str">
        <f t="shared" si="20"/>
        <v>0x055</v>
      </c>
      <c r="C93">
        <f t="shared" ca="1" si="21"/>
        <v>41345</v>
      </c>
      <c r="D93" t="str">
        <f t="shared" ca="1" si="22"/>
        <v>0A181</v>
      </c>
      <c r="E93" t="s">
        <v>35</v>
      </c>
    </row>
    <row r="94" spans="1:5" x14ac:dyDescent="0.25">
      <c r="A94">
        <f t="shared" si="23"/>
        <v>86</v>
      </c>
      <c r="B94" t="str">
        <f t="shared" si="20"/>
        <v>0x056</v>
      </c>
      <c r="C94">
        <f t="shared" ca="1" si="21"/>
        <v>58000</v>
      </c>
      <c r="D94" t="str">
        <f t="shared" ca="1" si="22"/>
        <v>0E290</v>
      </c>
      <c r="E94" t="s">
        <v>35</v>
      </c>
    </row>
    <row r="95" spans="1:5" x14ac:dyDescent="0.25">
      <c r="A95">
        <f t="shared" si="23"/>
        <v>87</v>
      </c>
      <c r="B95" t="str">
        <f t="shared" si="20"/>
        <v>0x057</v>
      </c>
      <c r="C95">
        <f t="shared" ca="1" si="21"/>
        <v>28864</v>
      </c>
      <c r="D95" t="str">
        <f t="shared" ca="1" si="22"/>
        <v>070C0</v>
      </c>
      <c r="E95" t="s">
        <v>35</v>
      </c>
    </row>
    <row r="96" spans="1:5" x14ac:dyDescent="0.25">
      <c r="A96">
        <f t="shared" si="23"/>
        <v>88</v>
      </c>
      <c r="B96" t="str">
        <f t="shared" si="20"/>
        <v>0x058</v>
      </c>
      <c r="C96">
        <f t="shared" ca="1" si="21"/>
        <v>54496</v>
      </c>
      <c r="D96" t="str">
        <f t="shared" ca="1" si="22"/>
        <v>0D4E0</v>
      </c>
      <c r="E96" t="s">
        <v>35</v>
      </c>
    </row>
    <row r="97" spans="1:6" x14ac:dyDescent="0.25">
      <c r="A97">
        <f t="shared" si="23"/>
        <v>89</v>
      </c>
      <c r="B97" t="str">
        <f t="shared" si="20"/>
        <v>0x059</v>
      </c>
      <c r="C97">
        <f t="shared" ca="1" si="21"/>
        <v>4239</v>
      </c>
      <c r="D97" t="str">
        <f t="shared" ca="1" si="22"/>
        <v>0108F</v>
      </c>
      <c r="E97" t="s">
        <v>35</v>
      </c>
    </row>
    <row r="98" spans="1:6" x14ac:dyDescent="0.25">
      <c r="A98">
        <f t="shared" si="23"/>
        <v>90</v>
      </c>
      <c r="B98" t="str">
        <f t="shared" si="20"/>
        <v>0x05A</v>
      </c>
      <c r="C98">
        <f t="shared" ca="1" si="21"/>
        <v>10391</v>
      </c>
      <c r="D98" t="str">
        <f t="shared" ca="1" si="22"/>
        <v>02897</v>
      </c>
      <c r="E98" t="s">
        <v>35</v>
      </c>
    </row>
    <row r="99" spans="1:6" x14ac:dyDescent="0.25">
      <c r="A99">
        <f t="shared" si="23"/>
        <v>91</v>
      </c>
      <c r="B99" t="str">
        <f t="shared" si="20"/>
        <v>0x05B</v>
      </c>
      <c r="C99">
        <f t="shared" ca="1" si="21"/>
        <v>11869</v>
      </c>
      <c r="D99" t="str">
        <f t="shared" ca="1" si="22"/>
        <v>02E5D</v>
      </c>
      <c r="E99" t="s">
        <v>35</v>
      </c>
    </row>
    <row r="100" spans="1:6" x14ac:dyDescent="0.25">
      <c r="A100">
        <f t="shared" si="23"/>
        <v>92</v>
      </c>
      <c r="B100" t="str">
        <f t="shared" si="20"/>
        <v>0x05C</v>
      </c>
      <c r="C100">
        <f t="shared" ca="1" si="21"/>
        <v>57023</v>
      </c>
      <c r="D100" t="str">
        <f t="shared" ca="1" si="22"/>
        <v>0DEBF</v>
      </c>
      <c r="E100" t="s">
        <v>35</v>
      </c>
    </row>
    <row r="101" spans="1:6" x14ac:dyDescent="0.25">
      <c r="A101">
        <f t="shared" si="23"/>
        <v>93</v>
      </c>
      <c r="B101" t="str">
        <f t="shared" si="20"/>
        <v>0x05D</v>
      </c>
      <c r="C101">
        <f t="shared" ca="1" si="21"/>
        <v>64091</v>
      </c>
      <c r="D101" t="str">
        <f t="shared" ca="1" si="22"/>
        <v>0FA5B</v>
      </c>
      <c r="E101" t="s">
        <v>35</v>
      </c>
    </row>
    <row r="102" spans="1:6" x14ac:dyDescent="0.25">
      <c r="A102">
        <f t="shared" si="23"/>
        <v>94</v>
      </c>
      <c r="B102" t="str">
        <f t="shared" si="20"/>
        <v>0x05E</v>
      </c>
      <c r="C102">
        <f t="shared" ca="1" si="21"/>
        <v>1902</v>
      </c>
      <c r="D102" t="str">
        <f t="shared" ca="1" si="22"/>
        <v>0076E</v>
      </c>
      <c r="E102" t="s">
        <v>35</v>
      </c>
    </row>
    <row r="103" spans="1:6" x14ac:dyDescent="0.25">
      <c r="A103">
        <f t="shared" si="23"/>
        <v>95</v>
      </c>
      <c r="B103" t="str">
        <f t="shared" si="20"/>
        <v>0x05F</v>
      </c>
      <c r="C103">
        <f t="shared" ca="1" si="21"/>
        <v>52546</v>
      </c>
      <c r="D103" t="str">
        <f t="shared" ca="1" si="22"/>
        <v>0CD42</v>
      </c>
      <c r="E103" t="s">
        <v>35</v>
      </c>
      <c r="F103" t="s">
        <v>38</v>
      </c>
    </row>
    <row r="104" spans="1:6" x14ac:dyDescent="0.25">
      <c r="A104">
        <f t="shared" si="23"/>
        <v>96</v>
      </c>
      <c r="B104" t="str">
        <f t="shared" si="20"/>
        <v>0x060</v>
      </c>
      <c r="C104">
        <v>65536</v>
      </c>
      <c r="D104" t="str">
        <f t="shared" si="22"/>
        <v>10000</v>
      </c>
      <c r="E104" t="s">
        <v>36</v>
      </c>
      <c r="F104" t="s">
        <v>37</v>
      </c>
    </row>
    <row r="105" spans="1:6" x14ac:dyDescent="0.25">
      <c r="A105">
        <f t="shared" si="23"/>
        <v>97</v>
      </c>
      <c r="B105" t="str">
        <f t="shared" si="20"/>
        <v>0x061</v>
      </c>
      <c r="C105">
        <f>C104+1</f>
        <v>65537</v>
      </c>
      <c r="D105" t="str">
        <f t="shared" si="22"/>
        <v>10001</v>
      </c>
      <c r="E105" t="s">
        <v>36</v>
      </c>
    </row>
    <row r="106" spans="1:6" x14ac:dyDescent="0.25">
      <c r="A106">
        <f t="shared" si="23"/>
        <v>98</v>
      </c>
      <c r="B106" t="str">
        <f t="shared" si="20"/>
        <v>0x062</v>
      </c>
      <c r="C106">
        <f t="shared" ref="C106:C135" si="24">C105+1</f>
        <v>65538</v>
      </c>
      <c r="D106" t="str">
        <f t="shared" si="22"/>
        <v>10002</v>
      </c>
      <c r="E106" t="s">
        <v>36</v>
      </c>
    </row>
    <row r="107" spans="1:6" x14ac:dyDescent="0.25">
      <c r="A107">
        <f t="shared" si="23"/>
        <v>99</v>
      </c>
      <c r="B107" t="str">
        <f t="shared" si="20"/>
        <v>0x063</v>
      </c>
      <c r="C107">
        <f t="shared" si="24"/>
        <v>65539</v>
      </c>
      <c r="D107" t="str">
        <f t="shared" si="22"/>
        <v>10003</v>
      </c>
      <c r="E107" t="s">
        <v>36</v>
      </c>
    </row>
    <row r="108" spans="1:6" x14ac:dyDescent="0.25">
      <c r="A108">
        <f t="shared" si="23"/>
        <v>100</v>
      </c>
      <c r="B108" t="str">
        <f t="shared" si="20"/>
        <v>0x064</v>
      </c>
      <c r="C108">
        <f t="shared" si="24"/>
        <v>65540</v>
      </c>
      <c r="D108" t="str">
        <f t="shared" si="22"/>
        <v>10004</v>
      </c>
      <c r="E108" t="s">
        <v>36</v>
      </c>
    </row>
    <row r="109" spans="1:6" x14ac:dyDescent="0.25">
      <c r="A109">
        <f t="shared" si="23"/>
        <v>101</v>
      </c>
      <c r="B109" t="str">
        <f t="shared" si="20"/>
        <v>0x065</v>
      </c>
      <c r="C109">
        <f t="shared" si="24"/>
        <v>65541</v>
      </c>
      <c r="D109" t="str">
        <f t="shared" si="22"/>
        <v>10005</v>
      </c>
      <c r="E109" t="s">
        <v>36</v>
      </c>
    </row>
    <row r="110" spans="1:6" x14ac:dyDescent="0.25">
      <c r="A110">
        <f t="shared" si="23"/>
        <v>102</v>
      </c>
      <c r="B110" t="str">
        <f t="shared" si="20"/>
        <v>0x066</v>
      </c>
      <c r="C110">
        <f t="shared" si="24"/>
        <v>65542</v>
      </c>
      <c r="D110" t="str">
        <f t="shared" si="22"/>
        <v>10006</v>
      </c>
      <c r="E110" t="s">
        <v>36</v>
      </c>
    </row>
    <row r="111" spans="1:6" x14ac:dyDescent="0.25">
      <c r="A111">
        <f t="shared" si="23"/>
        <v>103</v>
      </c>
      <c r="B111" t="str">
        <f t="shared" si="20"/>
        <v>0x067</v>
      </c>
      <c r="C111">
        <f t="shared" si="24"/>
        <v>65543</v>
      </c>
      <c r="D111" t="str">
        <f t="shared" si="22"/>
        <v>10007</v>
      </c>
      <c r="E111" t="s">
        <v>36</v>
      </c>
    </row>
    <row r="112" spans="1:6" x14ac:dyDescent="0.25">
      <c r="A112">
        <f t="shared" si="23"/>
        <v>104</v>
      </c>
      <c r="B112" t="str">
        <f t="shared" si="20"/>
        <v>0x068</v>
      </c>
      <c r="C112">
        <f t="shared" si="24"/>
        <v>65544</v>
      </c>
      <c r="D112" t="str">
        <f t="shared" si="22"/>
        <v>10008</v>
      </c>
      <c r="E112" t="s">
        <v>36</v>
      </c>
    </row>
    <row r="113" spans="1:5" x14ac:dyDescent="0.25">
      <c r="A113">
        <f t="shared" si="23"/>
        <v>105</v>
      </c>
      <c r="B113" t="str">
        <f t="shared" si="20"/>
        <v>0x069</v>
      </c>
      <c r="C113">
        <f t="shared" si="24"/>
        <v>65545</v>
      </c>
      <c r="D113" t="str">
        <f t="shared" si="22"/>
        <v>10009</v>
      </c>
      <c r="E113" t="s">
        <v>36</v>
      </c>
    </row>
    <row r="114" spans="1:5" x14ac:dyDescent="0.25">
      <c r="A114">
        <f t="shared" si="23"/>
        <v>106</v>
      </c>
      <c r="B114" t="str">
        <f t="shared" si="20"/>
        <v>0x06A</v>
      </c>
      <c r="C114">
        <f t="shared" si="24"/>
        <v>65546</v>
      </c>
      <c r="D114" t="str">
        <f t="shared" si="22"/>
        <v>1000A</v>
      </c>
      <c r="E114" t="s">
        <v>36</v>
      </c>
    </row>
    <row r="115" spans="1:5" x14ac:dyDescent="0.25">
      <c r="A115">
        <f t="shared" si="23"/>
        <v>107</v>
      </c>
      <c r="B115" t="str">
        <f t="shared" si="20"/>
        <v>0x06B</v>
      </c>
      <c r="C115">
        <f t="shared" si="24"/>
        <v>65547</v>
      </c>
      <c r="D115" t="str">
        <f t="shared" si="22"/>
        <v>1000B</v>
      </c>
      <c r="E115" t="s">
        <v>36</v>
      </c>
    </row>
    <row r="116" spans="1:5" x14ac:dyDescent="0.25">
      <c r="A116">
        <f t="shared" si="23"/>
        <v>108</v>
      </c>
      <c r="B116" t="str">
        <f t="shared" si="20"/>
        <v>0x06C</v>
      </c>
      <c r="C116">
        <f t="shared" si="24"/>
        <v>65548</v>
      </c>
      <c r="D116" t="str">
        <f t="shared" si="22"/>
        <v>1000C</v>
      </c>
      <c r="E116" t="s">
        <v>36</v>
      </c>
    </row>
    <row r="117" spans="1:5" x14ac:dyDescent="0.25">
      <c r="A117">
        <f t="shared" si="23"/>
        <v>109</v>
      </c>
      <c r="B117" t="str">
        <f t="shared" si="20"/>
        <v>0x06D</v>
      </c>
      <c r="C117">
        <f t="shared" si="24"/>
        <v>65549</v>
      </c>
      <c r="D117" t="str">
        <f t="shared" si="22"/>
        <v>1000D</v>
      </c>
      <c r="E117" t="s">
        <v>36</v>
      </c>
    </row>
    <row r="118" spans="1:5" x14ac:dyDescent="0.25">
      <c r="A118">
        <f t="shared" si="23"/>
        <v>110</v>
      </c>
      <c r="B118" t="str">
        <f t="shared" si="20"/>
        <v>0x06E</v>
      </c>
      <c r="C118">
        <f t="shared" si="24"/>
        <v>65550</v>
      </c>
      <c r="D118" t="str">
        <f t="shared" si="22"/>
        <v>1000E</v>
      </c>
      <c r="E118" t="s">
        <v>36</v>
      </c>
    </row>
    <row r="119" spans="1:5" x14ac:dyDescent="0.25">
      <c r="A119">
        <f t="shared" si="23"/>
        <v>111</v>
      </c>
      <c r="B119" t="str">
        <f t="shared" si="20"/>
        <v>0x06F</v>
      </c>
      <c r="C119">
        <f t="shared" si="24"/>
        <v>65551</v>
      </c>
      <c r="D119" t="str">
        <f t="shared" si="22"/>
        <v>1000F</v>
      </c>
      <c r="E119" t="s">
        <v>36</v>
      </c>
    </row>
    <row r="120" spans="1:5" x14ac:dyDescent="0.25">
      <c r="A120">
        <f t="shared" si="23"/>
        <v>112</v>
      </c>
      <c r="B120" t="str">
        <f t="shared" si="20"/>
        <v>0x070</v>
      </c>
      <c r="C120">
        <f t="shared" si="24"/>
        <v>65552</v>
      </c>
      <c r="D120" t="str">
        <f t="shared" si="22"/>
        <v>10010</v>
      </c>
      <c r="E120" t="s">
        <v>36</v>
      </c>
    </row>
    <row r="121" spans="1:5" x14ac:dyDescent="0.25">
      <c r="A121">
        <f t="shared" si="23"/>
        <v>113</v>
      </c>
      <c r="B121" t="str">
        <f t="shared" si="20"/>
        <v>0x071</v>
      </c>
      <c r="C121">
        <f t="shared" si="24"/>
        <v>65553</v>
      </c>
      <c r="D121" t="str">
        <f t="shared" si="22"/>
        <v>10011</v>
      </c>
      <c r="E121" t="s">
        <v>36</v>
      </c>
    </row>
    <row r="122" spans="1:5" x14ac:dyDescent="0.25">
      <c r="A122">
        <f t="shared" si="23"/>
        <v>114</v>
      </c>
      <c r="B122" t="str">
        <f t="shared" si="20"/>
        <v>0x072</v>
      </c>
      <c r="C122">
        <f t="shared" si="24"/>
        <v>65554</v>
      </c>
      <c r="D122" t="str">
        <f t="shared" si="22"/>
        <v>10012</v>
      </c>
      <c r="E122" t="s">
        <v>36</v>
      </c>
    </row>
    <row r="123" spans="1:5" x14ac:dyDescent="0.25">
      <c r="A123">
        <f t="shared" si="23"/>
        <v>115</v>
      </c>
      <c r="B123" t="str">
        <f t="shared" si="20"/>
        <v>0x073</v>
      </c>
      <c r="C123">
        <f t="shared" si="24"/>
        <v>65555</v>
      </c>
      <c r="D123" t="str">
        <f t="shared" si="22"/>
        <v>10013</v>
      </c>
      <c r="E123" t="s">
        <v>36</v>
      </c>
    </row>
    <row r="124" spans="1:5" x14ac:dyDescent="0.25">
      <c r="A124">
        <f t="shared" si="23"/>
        <v>116</v>
      </c>
      <c r="B124" t="str">
        <f t="shared" si="20"/>
        <v>0x074</v>
      </c>
      <c r="C124">
        <f t="shared" si="24"/>
        <v>65556</v>
      </c>
      <c r="D124" t="str">
        <f t="shared" si="22"/>
        <v>10014</v>
      </c>
      <c r="E124" t="s">
        <v>36</v>
      </c>
    </row>
    <row r="125" spans="1:5" x14ac:dyDescent="0.25">
      <c r="A125">
        <f t="shared" si="23"/>
        <v>117</v>
      </c>
      <c r="B125" t="str">
        <f t="shared" si="20"/>
        <v>0x075</v>
      </c>
      <c r="C125">
        <f t="shared" si="24"/>
        <v>65557</v>
      </c>
      <c r="D125" t="str">
        <f t="shared" si="22"/>
        <v>10015</v>
      </c>
      <c r="E125" t="s">
        <v>36</v>
      </c>
    </row>
    <row r="126" spans="1:5" x14ac:dyDescent="0.25">
      <c r="A126">
        <f t="shared" si="23"/>
        <v>118</v>
      </c>
      <c r="B126" t="str">
        <f t="shared" si="20"/>
        <v>0x076</v>
      </c>
      <c r="C126">
        <f t="shared" si="24"/>
        <v>65558</v>
      </c>
      <c r="D126" t="str">
        <f t="shared" si="22"/>
        <v>10016</v>
      </c>
      <c r="E126" t="s">
        <v>36</v>
      </c>
    </row>
    <row r="127" spans="1:5" x14ac:dyDescent="0.25">
      <c r="A127">
        <f t="shared" si="23"/>
        <v>119</v>
      </c>
      <c r="B127" t="str">
        <f t="shared" si="20"/>
        <v>0x077</v>
      </c>
      <c r="C127">
        <f t="shared" si="24"/>
        <v>65559</v>
      </c>
      <c r="D127" t="str">
        <f t="shared" si="22"/>
        <v>10017</v>
      </c>
      <c r="E127" t="s">
        <v>36</v>
      </c>
    </row>
    <row r="128" spans="1:5" x14ac:dyDescent="0.25">
      <c r="A128">
        <f t="shared" si="23"/>
        <v>120</v>
      </c>
      <c r="B128" t="str">
        <f t="shared" si="20"/>
        <v>0x078</v>
      </c>
      <c r="C128">
        <f t="shared" si="24"/>
        <v>65560</v>
      </c>
      <c r="D128" t="str">
        <f t="shared" si="22"/>
        <v>10018</v>
      </c>
      <c r="E128" t="s">
        <v>36</v>
      </c>
    </row>
    <row r="129" spans="1:6" x14ac:dyDescent="0.25">
      <c r="A129">
        <f t="shared" si="23"/>
        <v>121</v>
      </c>
      <c r="B129" t="str">
        <f t="shared" si="20"/>
        <v>0x079</v>
      </c>
      <c r="C129">
        <f t="shared" si="24"/>
        <v>65561</v>
      </c>
      <c r="D129" t="str">
        <f t="shared" si="22"/>
        <v>10019</v>
      </c>
      <c r="E129" t="s">
        <v>36</v>
      </c>
    </row>
    <row r="130" spans="1:6" x14ac:dyDescent="0.25">
      <c r="A130">
        <f t="shared" si="23"/>
        <v>122</v>
      </c>
      <c r="B130" t="str">
        <f t="shared" si="20"/>
        <v>0x07A</v>
      </c>
      <c r="C130">
        <f t="shared" si="24"/>
        <v>65562</v>
      </c>
      <c r="D130" t="str">
        <f t="shared" si="22"/>
        <v>1001A</v>
      </c>
      <c r="E130" t="s">
        <v>36</v>
      </c>
    </row>
    <row r="131" spans="1:6" x14ac:dyDescent="0.25">
      <c r="A131">
        <f t="shared" si="23"/>
        <v>123</v>
      </c>
      <c r="B131" t="str">
        <f t="shared" si="20"/>
        <v>0x07B</v>
      </c>
      <c r="C131">
        <f t="shared" si="24"/>
        <v>65563</v>
      </c>
      <c r="D131" t="str">
        <f t="shared" si="22"/>
        <v>1001B</v>
      </c>
      <c r="E131" t="s">
        <v>36</v>
      </c>
    </row>
    <row r="132" spans="1:6" x14ac:dyDescent="0.25">
      <c r="A132">
        <f t="shared" si="23"/>
        <v>124</v>
      </c>
      <c r="B132" t="str">
        <f t="shared" si="20"/>
        <v>0x07C</v>
      </c>
      <c r="C132">
        <f t="shared" si="24"/>
        <v>65564</v>
      </c>
      <c r="D132" t="str">
        <f t="shared" si="22"/>
        <v>1001C</v>
      </c>
      <c r="E132" t="s">
        <v>36</v>
      </c>
    </row>
    <row r="133" spans="1:6" x14ac:dyDescent="0.25">
      <c r="A133">
        <f t="shared" si="23"/>
        <v>125</v>
      </c>
      <c r="B133" t="str">
        <f t="shared" si="20"/>
        <v>0x07D</v>
      </c>
      <c r="C133">
        <f t="shared" si="24"/>
        <v>65565</v>
      </c>
      <c r="D133" t="str">
        <f t="shared" si="22"/>
        <v>1001D</v>
      </c>
      <c r="E133" t="s">
        <v>36</v>
      </c>
    </row>
    <row r="134" spans="1:6" x14ac:dyDescent="0.25">
      <c r="A134">
        <f t="shared" si="23"/>
        <v>126</v>
      </c>
      <c r="B134" t="str">
        <f t="shared" si="20"/>
        <v>0x07E</v>
      </c>
      <c r="C134">
        <f t="shared" si="24"/>
        <v>65566</v>
      </c>
      <c r="D134" t="str">
        <f t="shared" si="22"/>
        <v>1001E</v>
      </c>
      <c r="E134" t="s">
        <v>36</v>
      </c>
    </row>
    <row r="135" spans="1:6" x14ac:dyDescent="0.25">
      <c r="A135">
        <f t="shared" si="23"/>
        <v>127</v>
      </c>
      <c r="B135" t="str">
        <f t="shared" si="20"/>
        <v>0x07F</v>
      </c>
      <c r="C135">
        <f t="shared" si="24"/>
        <v>65567</v>
      </c>
      <c r="D135" t="str">
        <f t="shared" si="22"/>
        <v>1001F</v>
      </c>
      <c r="E135" t="s">
        <v>36</v>
      </c>
      <c r="F135" t="s">
        <v>38</v>
      </c>
    </row>
    <row r="136" spans="1:6" x14ac:dyDescent="0.25">
      <c r="A136">
        <f t="shared" si="23"/>
        <v>128</v>
      </c>
      <c r="B136" t="str">
        <f t="shared" si="20"/>
        <v>0x080</v>
      </c>
      <c r="C136">
        <v>0</v>
      </c>
      <c r="D136" t="str">
        <f t="shared" si="22"/>
        <v>00000</v>
      </c>
    </row>
    <row r="137" spans="1:6" x14ac:dyDescent="0.25">
      <c r="A137">
        <f t="shared" si="23"/>
        <v>129</v>
      </c>
      <c r="B137" t="str">
        <f t="shared" ref="B137:B200" si="25">CONCATENATE("0x",DEC2HEX(A137,3))</f>
        <v>0x081</v>
      </c>
      <c r="C137">
        <f>C136+1</f>
        <v>1</v>
      </c>
      <c r="D137" t="str">
        <f t="shared" ref="D137:D200" si="26">DEC2HEX(C137,5)</f>
        <v>00001</v>
      </c>
    </row>
    <row r="138" spans="1:6" x14ac:dyDescent="0.25">
      <c r="A138">
        <f t="shared" ref="A138:A201" si="27">A137+1</f>
        <v>130</v>
      </c>
      <c r="B138" t="str">
        <f t="shared" si="25"/>
        <v>0x082</v>
      </c>
      <c r="C138">
        <f t="shared" ref="C138:C167" si="28">C137+1</f>
        <v>2</v>
      </c>
      <c r="D138" t="str">
        <f t="shared" si="26"/>
        <v>00002</v>
      </c>
    </row>
    <row r="139" spans="1:6" x14ac:dyDescent="0.25">
      <c r="A139">
        <f t="shared" si="27"/>
        <v>131</v>
      </c>
      <c r="B139" t="str">
        <f t="shared" si="25"/>
        <v>0x083</v>
      </c>
      <c r="C139">
        <f t="shared" si="28"/>
        <v>3</v>
      </c>
      <c r="D139" t="str">
        <f t="shared" si="26"/>
        <v>00003</v>
      </c>
    </row>
    <row r="140" spans="1:6" x14ac:dyDescent="0.25">
      <c r="A140">
        <f t="shared" si="27"/>
        <v>132</v>
      </c>
      <c r="B140" t="str">
        <f t="shared" si="25"/>
        <v>0x084</v>
      </c>
      <c r="C140">
        <f t="shared" si="28"/>
        <v>4</v>
      </c>
      <c r="D140" t="str">
        <f t="shared" si="26"/>
        <v>00004</v>
      </c>
    </row>
    <row r="141" spans="1:6" x14ac:dyDescent="0.25">
      <c r="A141">
        <f t="shared" si="27"/>
        <v>133</v>
      </c>
      <c r="B141" t="str">
        <f t="shared" si="25"/>
        <v>0x085</v>
      </c>
      <c r="C141">
        <f t="shared" si="28"/>
        <v>5</v>
      </c>
      <c r="D141" t="str">
        <f t="shared" si="26"/>
        <v>00005</v>
      </c>
    </row>
    <row r="142" spans="1:6" x14ac:dyDescent="0.25">
      <c r="A142">
        <f t="shared" si="27"/>
        <v>134</v>
      </c>
      <c r="B142" t="str">
        <f t="shared" si="25"/>
        <v>0x086</v>
      </c>
      <c r="C142">
        <f t="shared" si="28"/>
        <v>6</v>
      </c>
      <c r="D142" t="str">
        <f t="shared" si="26"/>
        <v>00006</v>
      </c>
    </row>
    <row r="143" spans="1:6" x14ac:dyDescent="0.25">
      <c r="A143">
        <f t="shared" si="27"/>
        <v>135</v>
      </c>
      <c r="B143" t="str">
        <f t="shared" si="25"/>
        <v>0x087</v>
      </c>
      <c r="C143">
        <f t="shared" si="28"/>
        <v>7</v>
      </c>
      <c r="D143" t="str">
        <f t="shared" si="26"/>
        <v>00007</v>
      </c>
    </row>
    <row r="144" spans="1:6" x14ac:dyDescent="0.25">
      <c r="A144">
        <f t="shared" si="27"/>
        <v>136</v>
      </c>
      <c r="B144" t="str">
        <f t="shared" si="25"/>
        <v>0x088</v>
      </c>
      <c r="C144">
        <f t="shared" si="28"/>
        <v>8</v>
      </c>
      <c r="D144" t="str">
        <f t="shared" si="26"/>
        <v>00008</v>
      </c>
    </row>
    <row r="145" spans="1:4" x14ac:dyDescent="0.25">
      <c r="A145">
        <f t="shared" si="27"/>
        <v>137</v>
      </c>
      <c r="B145" t="str">
        <f t="shared" si="25"/>
        <v>0x089</v>
      </c>
      <c r="C145">
        <f t="shared" si="28"/>
        <v>9</v>
      </c>
      <c r="D145" t="str">
        <f t="shared" si="26"/>
        <v>00009</v>
      </c>
    </row>
    <row r="146" spans="1:4" x14ac:dyDescent="0.25">
      <c r="A146">
        <f t="shared" si="27"/>
        <v>138</v>
      </c>
      <c r="B146" t="str">
        <f t="shared" si="25"/>
        <v>0x08A</v>
      </c>
      <c r="C146">
        <f t="shared" si="28"/>
        <v>10</v>
      </c>
      <c r="D146" t="str">
        <f t="shared" si="26"/>
        <v>0000A</v>
      </c>
    </row>
    <row r="147" spans="1:4" x14ac:dyDescent="0.25">
      <c r="A147">
        <f t="shared" si="27"/>
        <v>139</v>
      </c>
      <c r="B147" t="str">
        <f t="shared" si="25"/>
        <v>0x08B</v>
      </c>
      <c r="C147">
        <f t="shared" si="28"/>
        <v>11</v>
      </c>
      <c r="D147" t="str">
        <f t="shared" si="26"/>
        <v>0000B</v>
      </c>
    </row>
    <row r="148" spans="1:4" x14ac:dyDescent="0.25">
      <c r="A148">
        <f t="shared" si="27"/>
        <v>140</v>
      </c>
      <c r="B148" t="str">
        <f t="shared" si="25"/>
        <v>0x08C</v>
      </c>
      <c r="C148">
        <f t="shared" si="28"/>
        <v>12</v>
      </c>
      <c r="D148" t="str">
        <f t="shared" si="26"/>
        <v>0000C</v>
      </c>
    </row>
    <row r="149" spans="1:4" x14ac:dyDescent="0.25">
      <c r="A149">
        <f t="shared" si="27"/>
        <v>141</v>
      </c>
      <c r="B149" t="str">
        <f t="shared" si="25"/>
        <v>0x08D</v>
      </c>
      <c r="C149">
        <f t="shared" si="28"/>
        <v>13</v>
      </c>
      <c r="D149" t="str">
        <f t="shared" si="26"/>
        <v>0000D</v>
      </c>
    </row>
    <row r="150" spans="1:4" x14ac:dyDescent="0.25">
      <c r="A150">
        <f t="shared" si="27"/>
        <v>142</v>
      </c>
      <c r="B150" t="str">
        <f t="shared" si="25"/>
        <v>0x08E</v>
      </c>
      <c r="C150">
        <f t="shared" si="28"/>
        <v>14</v>
      </c>
      <c r="D150" t="str">
        <f t="shared" si="26"/>
        <v>0000E</v>
      </c>
    </row>
    <row r="151" spans="1:4" x14ac:dyDescent="0.25">
      <c r="A151">
        <f t="shared" si="27"/>
        <v>143</v>
      </c>
      <c r="B151" t="str">
        <f t="shared" si="25"/>
        <v>0x08F</v>
      </c>
      <c r="C151">
        <f t="shared" si="28"/>
        <v>15</v>
      </c>
      <c r="D151" t="str">
        <f t="shared" si="26"/>
        <v>0000F</v>
      </c>
    </row>
    <row r="152" spans="1:4" x14ac:dyDescent="0.25">
      <c r="A152">
        <f t="shared" si="27"/>
        <v>144</v>
      </c>
      <c r="B152" t="str">
        <f t="shared" si="25"/>
        <v>0x090</v>
      </c>
      <c r="C152">
        <f t="shared" si="28"/>
        <v>16</v>
      </c>
      <c r="D152" t="str">
        <f t="shared" si="26"/>
        <v>00010</v>
      </c>
    </row>
    <row r="153" spans="1:4" x14ac:dyDescent="0.25">
      <c r="A153">
        <f t="shared" si="27"/>
        <v>145</v>
      </c>
      <c r="B153" t="str">
        <f t="shared" si="25"/>
        <v>0x091</v>
      </c>
      <c r="C153">
        <f t="shared" si="28"/>
        <v>17</v>
      </c>
      <c r="D153" t="str">
        <f t="shared" si="26"/>
        <v>00011</v>
      </c>
    </row>
    <row r="154" spans="1:4" x14ac:dyDescent="0.25">
      <c r="A154">
        <f t="shared" si="27"/>
        <v>146</v>
      </c>
      <c r="B154" t="str">
        <f t="shared" si="25"/>
        <v>0x092</v>
      </c>
      <c r="C154">
        <f t="shared" si="28"/>
        <v>18</v>
      </c>
      <c r="D154" t="str">
        <f t="shared" si="26"/>
        <v>00012</v>
      </c>
    </row>
    <row r="155" spans="1:4" x14ac:dyDescent="0.25">
      <c r="A155">
        <f t="shared" si="27"/>
        <v>147</v>
      </c>
      <c r="B155" t="str">
        <f t="shared" si="25"/>
        <v>0x093</v>
      </c>
      <c r="C155">
        <f t="shared" si="28"/>
        <v>19</v>
      </c>
      <c r="D155" t="str">
        <f t="shared" si="26"/>
        <v>00013</v>
      </c>
    </row>
    <row r="156" spans="1:4" x14ac:dyDescent="0.25">
      <c r="A156">
        <f t="shared" si="27"/>
        <v>148</v>
      </c>
      <c r="B156" t="str">
        <f t="shared" si="25"/>
        <v>0x094</v>
      </c>
      <c r="C156">
        <f t="shared" si="28"/>
        <v>20</v>
      </c>
      <c r="D156" t="str">
        <f t="shared" si="26"/>
        <v>00014</v>
      </c>
    </row>
    <row r="157" spans="1:4" x14ac:dyDescent="0.25">
      <c r="A157">
        <f t="shared" si="27"/>
        <v>149</v>
      </c>
      <c r="B157" t="str">
        <f t="shared" si="25"/>
        <v>0x095</v>
      </c>
      <c r="C157">
        <f t="shared" si="28"/>
        <v>21</v>
      </c>
      <c r="D157" t="str">
        <f t="shared" si="26"/>
        <v>00015</v>
      </c>
    </row>
    <row r="158" spans="1:4" x14ac:dyDescent="0.25">
      <c r="A158">
        <f t="shared" si="27"/>
        <v>150</v>
      </c>
      <c r="B158" t="str">
        <f t="shared" si="25"/>
        <v>0x096</v>
      </c>
      <c r="C158">
        <f t="shared" si="28"/>
        <v>22</v>
      </c>
      <c r="D158" t="str">
        <f t="shared" si="26"/>
        <v>00016</v>
      </c>
    </row>
    <row r="159" spans="1:4" x14ac:dyDescent="0.25">
      <c r="A159">
        <f t="shared" si="27"/>
        <v>151</v>
      </c>
      <c r="B159" t="str">
        <f t="shared" si="25"/>
        <v>0x097</v>
      </c>
      <c r="C159">
        <f t="shared" si="28"/>
        <v>23</v>
      </c>
      <c r="D159" t="str">
        <f t="shared" si="26"/>
        <v>00017</v>
      </c>
    </row>
    <row r="160" spans="1:4" x14ac:dyDescent="0.25">
      <c r="A160">
        <f t="shared" si="27"/>
        <v>152</v>
      </c>
      <c r="B160" t="str">
        <f t="shared" si="25"/>
        <v>0x098</v>
      </c>
      <c r="C160">
        <f t="shared" si="28"/>
        <v>24</v>
      </c>
      <c r="D160" t="str">
        <f t="shared" si="26"/>
        <v>00018</v>
      </c>
    </row>
    <row r="161" spans="1:4" x14ac:dyDescent="0.25">
      <c r="A161">
        <f t="shared" si="27"/>
        <v>153</v>
      </c>
      <c r="B161" t="str">
        <f t="shared" si="25"/>
        <v>0x099</v>
      </c>
      <c r="C161">
        <f t="shared" si="28"/>
        <v>25</v>
      </c>
      <c r="D161" t="str">
        <f t="shared" si="26"/>
        <v>00019</v>
      </c>
    </row>
    <row r="162" spans="1:4" x14ac:dyDescent="0.25">
      <c r="A162">
        <f t="shared" si="27"/>
        <v>154</v>
      </c>
      <c r="B162" t="str">
        <f t="shared" si="25"/>
        <v>0x09A</v>
      </c>
      <c r="C162">
        <f t="shared" si="28"/>
        <v>26</v>
      </c>
      <c r="D162" t="str">
        <f t="shared" si="26"/>
        <v>0001A</v>
      </c>
    </row>
    <row r="163" spans="1:4" x14ac:dyDescent="0.25">
      <c r="A163">
        <f t="shared" si="27"/>
        <v>155</v>
      </c>
      <c r="B163" t="str">
        <f t="shared" si="25"/>
        <v>0x09B</v>
      </c>
      <c r="C163">
        <f t="shared" si="28"/>
        <v>27</v>
      </c>
      <c r="D163" t="str">
        <f t="shared" si="26"/>
        <v>0001B</v>
      </c>
    </row>
    <row r="164" spans="1:4" x14ac:dyDescent="0.25">
      <c r="A164">
        <f t="shared" si="27"/>
        <v>156</v>
      </c>
      <c r="B164" t="str">
        <f t="shared" si="25"/>
        <v>0x09C</v>
      </c>
      <c r="C164">
        <f t="shared" si="28"/>
        <v>28</v>
      </c>
      <c r="D164" t="str">
        <f t="shared" si="26"/>
        <v>0001C</v>
      </c>
    </row>
    <row r="165" spans="1:4" x14ac:dyDescent="0.25">
      <c r="A165">
        <f t="shared" si="27"/>
        <v>157</v>
      </c>
      <c r="B165" t="str">
        <f t="shared" si="25"/>
        <v>0x09D</v>
      </c>
      <c r="C165">
        <f t="shared" si="28"/>
        <v>29</v>
      </c>
      <c r="D165" t="str">
        <f t="shared" si="26"/>
        <v>0001D</v>
      </c>
    </row>
    <row r="166" spans="1:4" x14ac:dyDescent="0.25">
      <c r="A166">
        <f t="shared" si="27"/>
        <v>158</v>
      </c>
      <c r="B166" t="str">
        <f t="shared" si="25"/>
        <v>0x09E</v>
      </c>
      <c r="C166">
        <f t="shared" si="28"/>
        <v>30</v>
      </c>
      <c r="D166" t="str">
        <f t="shared" si="26"/>
        <v>0001E</v>
      </c>
    </row>
    <row r="167" spans="1:4" x14ac:dyDescent="0.25">
      <c r="A167">
        <f t="shared" si="27"/>
        <v>159</v>
      </c>
      <c r="B167" t="str">
        <f t="shared" si="25"/>
        <v>0x09F</v>
      </c>
      <c r="C167">
        <f t="shared" si="28"/>
        <v>31</v>
      </c>
      <c r="D167" t="str">
        <f t="shared" si="26"/>
        <v>0001F</v>
      </c>
    </row>
    <row r="168" spans="1:4" x14ac:dyDescent="0.25">
      <c r="A168">
        <f t="shared" si="27"/>
        <v>160</v>
      </c>
      <c r="B168" t="str">
        <f t="shared" si="25"/>
        <v>0x0A0</v>
      </c>
      <c r="C168">
        <v>0</v>
      </c>
      <c r="D168" t="str">
        <f t="shared" si="26"/>
        <v>00000</v>
      </c>
    </row>
    <row r="169" spans="1:4" x14ac:dyDescent="0.25">
      <c r="A169">
        <f t="shared" si="27"/>
        <v>161</v>
      </c>
      <c r="B169" t="str">
        <f t="shared" si="25"/>
        <v>0x0A1</v>
      </c>
      <c r="C169">
        <f>C168+1</f>
        <v>1</v>
      </c>
      <c r="D169" t="str">
        <f t="shared" si="26"/>
        <v>00001</v>
      </c>
    </row>
    <row r="170" spans="1:4" x14ac:dyDescent="0.25">
      <c r="A170">
        <f t="shared" si="27"/>
        <v>162</v>
      </c>
      <c r="B170" t="str">
        <f t="shared" si="25"/>
        <v>0x0A2</v>
      </c>
      <c r="C170">
        <f t="shared" ref="C170:C199" si="29">C169+1</f>
        <v>2</v>
      </c>
      <c r="D170" t="str">
        <f t="shared" si="26"/>
        <v>00002</v>
      </c>
    </row>
    <row r="171" spans="1:4" x14ac:dyDescent="0.25">
      <c r="A171">
        <f t="shared" si="27"/>
        <v>163</v>
      </c>
      <c r="B171" t="str">
        <f t="shared" si="25"/>
        <v>0x0A3</v>
      </c>
      <c r="C171">
        <f t="shared" si="29"/>
        <v>3</v>
      </c>
      <c r="D171" t="str">
        <f t="shared" si="26"/>
        <v>00003</v>
      </c>
    </row>
    <row r="172" spans="1:4" x14ac:dyDescent="0.25">
      <c r="A172">
        <f t="shared" si="27"/>
        <v>164</v>
      </c>
      <c r="B172" t="str">
        <f t="shared" si="25"/>
        <v>0x0A4</v>
      </c>
      <c r="C172">
        <f t="shared" si="29"/>
        <v>4</v>
      </c>
      <c r="D172" t="str">
        <f t="shared" si="26"/>
        <v>00004</v>
      </c>
    </row>
    <row r="173" spans="1:4" x14ac:dyDescent="0.25">
      <c r="A173">
        <f t="shared" si="27"/>
        <v>165</v>
      </c>
      <c r="B173" t="str">
        <f t="shared" si="25"/>
        <v>0x0A5</v>
      </c>
      <c r="C173">
        <f t="shared" si="29"/>
        <v>5</v>
      </c>
      <c r="D173" t="str">
        <f t="shared" si="26"/>
        <v>00005</v>
      </c>
    </row>
    <row r="174" spans="1:4" x14ac:dyDescent="0.25">
      <c r="A174">
        <f t="shared" si="27"/>
        <v>166</v>
      </c>
      <c r="B174" t="str">
        <f t="shared" si="25"/>
        <v>0x0A6</v>
      </c>
      <c r="C174">
        <f t="shared" si="29"/>
        <v>6</v>
      </c>
      <c r="D174" t="str">
        <f t="shared" si="26"/>
        <v>00006</v>
      </c>
    </row>
    <row r="175" spans="1:4" x14ac:dyDescent="0.25">
      <c r="A175">
        <f t="shared" si="27"/>
        <v>167</v>
      </c>
      <c r="B175" t="str">
        <f t="shared" si="25"/>
        <v>0x0A7</v>
      </c>
      <c r="C175">
        <f t="shared" si="29"/>
        <v>7</v>
      </c>
      <c r="D175" t="str">
        <f t="shared" si="26"/>
        <v>00007</v>
      </c>
    </row>
    <row r="176" spans="1:4" x14ac:dyDescent="0.25">
      <c r="A176">
        <f t="shared" si="27"/>
        <v>168</v>
      </c>
      <c r="B176" t="str">
        <f t="shared" si="25"/>
        <v>0x0A8</v>
      </c>
      <c r="C176">
        <f t="shared" si="29"/>
        <v>8</v>
      </c>
      <c r="D176" t="str">
        <f t="shared" si="26"/>
        <v>00008</v>
      </c>
    </row>
    <row r="177" spans="1:4" x14ac:dyDescent="0.25">
      <c r="A177">
        <f t="shared" si="27"/>
        <v>169</v>
      </c>
      <c r="B177" t="str">
        <f t="shared" si="25"/>
        <v>0x0A9</v>
      </c>
      <c r="C177">
        <f t="shared" si="29"/>
        <v>9</v>
      </c>
      <c r="D177" t="str">
        <f t="shared" si="26"/>
        <v>00009</v>
      </c>
    </row>
    <row r="178" spans="1:4" x14ac:dyDescent="0.25">
      <c r="A178">
        <f t="shared" si="27"/>
        <v>170</v>
      </c>
      <c r="B178" t="str">
        <f t="shared" si="25"/>
        <v>0x0AA</v>
      </c>
      <c r="C178">
        <f t="shared" si="29"/>
        <v>10</v>
      </c>
      <c r="D178" t="str">
        <f t="shared" si="26"/>
        <v>0000A</v>
      </c>
    </row>
    <row r="179" spans="1:4" x14ac:dyDescent="0.25">
      <c r="A179">
        <f t="shared" si="27"/>
        <v>171</v>
      </c>
      <c r="B179" t="str">
        <f t="shared" si="25"/>
        <v>0x0AB</v>
      </c>
      <c r="C179">
        <f t="shared" si="29"/>
        <v>11</v>
      </c>
      <c r="D179" t="str">
        <f t="shared" si="26"/>
        <v>0000B</v>
      </c>
    </row>
    <row r="180" spans="1:4" x14ac:dyDescent="0.25">
      <c r="A180">
        <f t="shared" si="27"/>
        <v>172</v>
      </c>
      <c r="B180" t="str">
        <f t="shared" si="25"/>
        <v>0x0AC</v>
      </c>
      <c r="C180">
        <f t="shared" si="29"/>
        <v>12</v>
      </c>
      <c r="D180" t="str">
        <f t="shared" si="26"/>
        <v>0000C</v>
      </c>
    </row>
    <row r="181" spans="1:4" x14ac:dyDescent="0.25">
      <c r="A181">
        <f t="shared" si="27"/>
        <v>173</v>
      </c>
      <c r="B181" t="str">
        <f t="shared" si="25"/>
        <v>0x0AD</v>
      </c>
      <c r="C181">
        <f t="shared" si="29"/>
        <v>13</v>
      </c>
      <c r="D181" t="str">
        <f t="shared" si="26"/>
        <v>0000D</v>
      </c>
    </row>
    <row r="182" spans="1:4" x14ac:dyDescent="0.25">
      <c r="A182">
        <f t="shared" si="27"/>
        <v>174</v>
      </c>
      <c r="B182" t="str">
        <f t="shared" si="25"/>
        <v>0x0AE</v>
      </c>
      <c r="C182">
        <f t="shared" si="29"/>
        <v>14</v>
      </c>
      <c r="D182" t="str">
        <f t="shared" si="26"/>
        <v>0000E</v>
      </c>
    </row>
    <row r="183" spans="1:4" x14ac:dyDescent="0.25">
      <c r="A183">
        <f t="shared" si="27"/>
        <v>175</v>
      </c>
      <c r="B183" t="str">
        <f t="shared" si="25"/>
        <v>0x0AF</v>
      </c>
      <c r="C183">
        <f t="shared" si="29"/>
        <v>15</v>
      </c>
      <c r="D183" t="str">
        <f t="shared" si="26"/>
        <v>0000F</v>
      </c>
    </row>
    <row r="184" spans="1:4" x14ac:dyDescent="0.25">
      <c r="A184">
        <f t="shared" si="27"/>
        <v>176</v>
      </c>
      <c r="B184" t="str">
        <f t="shared" si="25"/>
        <v>0x0B0</v>
      </c>
      <c r="C184">
        <f t="shared" si="29"/>
        <v>16</v>
      </c>
      <c r="D184" t="str">
        <f t="shared" si="26"/>
        <v>00010</v>
      </c>
    </row>
    <row r="185" spans="1:4" x14ac:dyDescent="0.25">
      <c r="A185">
        <f t="shared" si="27"/>
        <v>177</v>
      </c>
      <c r="B185" t="str">
        <f t="shared" si="25"/>
        <v>0x0B1</v>
      </c>
      <c r="C185">
        <f t="shared" si="29"/>
        <v>17</v>
      </c>
      <c r="D185" t="str">
        <f t="shared" si="26"/>
        <v>00011</v>
      </c>
    </row>
    <row r="186" spans="1:4" x14ac:dyDescent="0.25">
      <c r="A186">
        <f t="shared" si="27"/>
        <v>178</v>
      </c>
      <c r="B186" t="str">
        <f t="shared" si="25"/>
        <v>0x0B2</v>
      </c>
      <c r="C186">
        <f t="shared" si="29"/>
        <v>18</v>
      </c>
      <c r="D186" t="str">
        <f t="shared" si="26"/>
        <v>00012</v>
      </c>
    </row>
    <row r="187" spans="1:4" x14ac:dyDescent="0.25">
      <c r="A187">
        <f t="shared" si="27"/>
        <v>179</v>
      </c>
      <c r="B187" t="str">
        <f t="shared" si="25"/>
        <v>0x0B3</v>
      </c>
      <c r="C187">
        <f t="shared" si="29"/>
        <v>19</v>
      </c>
      <c r="D187" t="str">
        <f t="shared" si="26"/>
        <v>00013</v>
      </c>
    </row>
    <row r="188" spans="1:4" x14ac:dyDescent="0.25">
      <c r="A188">
        <f t="shared" si="27"/>
        <v>180</v>
      </c>
      <c r="B188" t="str">
        <f t="shared" si="25"/>
        <v>0x0B4</v>
      </c>
      <c r="C188">
        <f t="shared" si="29"/>
        <v>20</v>
      </c>
      <c r="D188" t="str">
        <f t="shared" si="26"/>
        <v>00014</v>
      </c>
    </row>
    <row r="189" spans="1:4" x14ac:dyDescent="0.25">
      <c r="A189">
        <f t="shared" si="27"/>
        <v>181</v>
      </c>
      <c r="B189" t="str">
        <f t="shared" si="25"/>
        <v>0x0B5</v>
      </c>
      <c r="C189">
        <f t="shared" si="29"/>
        <v>21</v>
      </c>
      <c r="D189" t="str">
        <f t="shared" si="26"/>
        <v>00015</v>
      </c>
    </row>
    <row r="190" spans="1:4" x14ac:dyDescent="0.25">
      <c r="A190">
        <f t="shared" si="27"/>
        <v>182</v>
      </c>
      <c r="B190" t="str">
        <f t="shared" si="25"/>
        <v>0x0B6</v>
      </c>
      <c r="C190">
        <f t="shared" si="29"/>
        <v>22</v>
      </c>
      <c r="D190" t="str">
        <f t="shared" si="26"/>
        <v>00016</v>
      </c>
    </row>
    <row r="191" spans="1:4" x14ac:dyDescent="0.25">
      <c r="A191">
        <f t="shared" si="27"/>
        <v>183</v>
      </c>
      <c r="B191" t="str">
        <f t="shared" si="25"/>
        <v>0x0B7</v>
      </c>
      <c r="C191">
        <f t="shared" si="29"/>
        <v>23</v>
      </c>
      <c r="D191" t="str">
        <f t="shared" si="26"/>
        <v>00017</v>
      </c>
    </row>
    <row r="192" spans="1:4" x14ac:dyDescent="0.25">
      <c r="A192">
        <f t="shared" si="27"/>
        <v>184</v>
      </c>
      <c r="B192" t="str">
        <f t="shared" si="25"/>
        <v>0x0B8</v>
      </c>
      <c r="C192">
        <f t="shared" si="29"/>
        <v>24</v>
      </c>
      <c r="D192" t="str">
        <f t="shared" si="26"/>
        <v>00018</v>
      </c>
    </row>
    <row r="193" spans="1:4" x14ac:dyDescent="0.25">
      <c r="A193">
        <f t="shared" si="27"/>
        <v>185</v>
      </c>
      <c r="B193" t="str">
        <f t="shared" si="25"/>
        <v>0x0B9</v>
      </c>
      <c r="C193">
        <f t="shared" si="29"/>
        <v>25</v>
      </c>
      <c r="D193" t="str">
        <f t="shared" si="26"/>
        <v>00019</v>
      </c>
    </row>
    <row r="194" spans="1:4" x14ac:dyDescent="0.25">
      <c r="A194">
        <f t="shared" si="27"/>
        <v>186</v>
      </c>
      <c r="B194" t="str">
        <f t="shared" si="25"/>
        <v>0x0BA</v>
      </c>
      <c r="C194">
        <f t="shared" si="29"/>
        <v>26</v>
      </c>
      <c r="D194" t="str">
        <f t="shared" si="26"/>
        <v>0001A</v>
      </c>
    </row>
    <row r="195" spans="1:4" x14ac:dyDescent="0.25">
      <c r="A195">
        <f t="shared" si="27"/>
        <v>187</v>
      </c>
      <c r="B195" t="str">
        <f t="shared" si="25"/>
        <v>0x0BB</v>
      </c>
      <c r="C195">
        <f t="shared" si="29"/>
        <v>27</v>
      </c>
      <c r="D195" t="str">
        <f t="shared" si="26"/>
        <v>0001B</v>
      </c>
    </row>
    <row r="196" spans="1:4" x14ac:dyDescent="0.25">
      <c r="A196">
        <f t="shared" si="27"/>
        <v>188</v>
      </c>
      <c r="B196" t="str">
        <f t="shared" si="25"/>
        <v>0x0BC</v>
      </c>
      <c r="C196">
        <f t="shared" si="29"/>
        <v>28</v>
      </c>
      <c r="D196" t="str">
        <f t="shared" si="26"/>
        <v>0001C</v>
      </c>
    </row>
    <row r="197" spans="1:4" x14ac:dyDescent="0.25">
      <c r="A197">
        <f t="shared" si="27"/>
        <v>189</v>
      </c>
      <c r="B197" t="str">
        <f t="shared" si="25"/>
        <v>0x0BD</v>
      </c>
      <c r="C197">
        <f t="shared" si="29"/>
        <v>29</v>
      </c>
      <c r="D197" t="str">
        <f t="shared" si="26"/>
        <v>0001D</v>
      </c>
    </row>
    <row r="198" spans="1:4" x14ac:dyDescent="0.25">
      <c r="A198">
        <f t="shared" si="27"/>
        <v>190</v>
      </c>
      <c r="B198" t="str">
        <f t="shared" si="25"/>
        <v>0x0BE</v>
      </c>
      <c r="C198">
        <f t="shared" si="29"/>
        <v>30</v>
      </c>
      <c r="D198" t="str">
        <f t="shared" si="26"/>
        <v>0001E</v>
      </c>
    </row>
    <row r="199" spans="1:4" x14ac:dyDescent="0.25">
      <c r="A199">
        <f t="shared" si="27"/>
        <v>191</v>
      </c>
      <c r="B199" t="str">
        <f t="shared" si="25"/>
        <v>0x0BF</v>
      </c>
      <c r="C199">
        <f t="shared" si="29"/>
        <v>31</v>
      </c>
      <c r="D199" t="str">
        <f t="shared" si="26"/>
        <v>0001F</v>
      </c>
    </row>
    <row r="200" spans="1:4" x14ac:dyDescent="0.25">
      <c r="A200">
        <f t="shared" si="27"/>
        <v>192</v>
      </c>
      <c r="B200" t="str">
        <f t="shared" si="25"/>
        <v>0x0C0</v>
      </c>
      <c r="C200">
        <v>0</v>
      </c>
      <c r="D200" t="str">
        <f t="shared" si="26"/>
        <v>00000</v>
      </c>
    </row>
    <row r="201" spans="1:4" x14ac:dyDescent="0.25">
      <c r="A201">
        <f t="shared" si="27"/>
        <v>193</v>
      </c>
      <c r="B201" t="str">
        <f t="shared" ref="B201:B264" si="30">CONCATENATE("0x",DEC2HEX(A201,3))</f>
        <v>0x0C1</v>
      </c>
      <c r="C201">
        <f>C200+1</f>
        <v>1</v>
      </c>
      <c r="D201" t="str">
        <f t="shared" ref="D201:D264" si="31">DEC2HEX(C201,5)</f>
        <v>00001</v>
      </c>
    </row>
    <row r="202" spans="1:4" x14ac:dyDescent="0.25">
      <c r="A202">
        <f t="shared" ref="A202:A265" si="32">A201+1</f>
        <v>194</v>
      </c>
      <c r="B202" t="str">
        <f t="shared" si="30"/>
        <v>0x0C2</v>
      </c>
      <c r="C202">
        <f t="shared" ref="C202:C231" si="33">C201+1</f>
        <v>2</v>
      </c>
      <c r="D202" t="str">
        <f t="shared" si="31"/>
        <v>00002</v>
      </c>
    </row>
    <row r="203" spans="1:4" x14ac:dyDescent="0.25">
      <c r="A203">
        <f t="shared" si="32"/>
        <v>195</v>
      </c>
      <c r="B203" t="str">
        <f t="shared" si="30"/>
        <v>0x0C3</v>
      </c>
      <c r="C203">
        <f t="shared" si="33"/>
        <v>3</v>
      </c>
      <c r="D203" t="str">
        <f t="shared" si="31"/>
        <v>00003</v>
      </c>
    </row>
    <row r="204" spans="1:4" x14ac:dyDescent="0.25">
      <c r="A204">
        <f t="shared" si="32"/>
        <v>196</v>
      </c>
      <c r="B204" t="str">
        <f t="shared" si="30"/>
        <v>0x0C4</v>
      </c>
      <c r="C204">
        <f t="shared" si="33"/>
        <v>4</v>
      </c>
      <c r="D204" t="str">
        <f t="shared" si="31"/>
        <v>00004</v>
      </c>
    </row>
    <row r="205" spans="1:4" x14ac:dyDescent="0.25">
      <c r="A205">
        <f t="shared" si="32"/>
        <v>197</v>
      </c>
      <c r="B205" t="str">
        <f t="shared" si="30"/>
        <v>0x0C5</v>
      </c>
      <c r="C205">
        <f t="shared" si="33"/>
        <v>5</v>
      </c>
      <c r="D205" t="str">
        <f t="shared" si="31"/>
        <v>00005</v>
      </c>
    </row>
    <row r="206" spans="1:4" x14ac:dyDescent="0.25">
      <c r="A206">
        <f t="shared" si="32"/>
        <v>198</v>
      </c>
      <c r="B206" t="str">
        <f t="shared" si="30"/>
        <v>0x0C6</v>
      </c>
      <c r="C206">
        <f t="shared" si="33"/>
        <v>6</v>
      </c>
      <c r="D206" t="str">
        <f t="shared" si="31"/>
        <v>00006</v>
      </c>
    </row>
    <row r="207" spans="1:4" x14ac:dyDescent="0.25">
      <c r="A207">
        <f t="shared" si="32"/>
        <v>199</v>
      </c>
      <c r="B207" t="str">
        <f t="shared" si="30"/>
        <v>0x0C7</v>
      </c>
      <c r="C207">
        <f t="shared" si="33"/>
        <v>7</v>
      </c>
      <c r="D207" t="str">
        <f t="shared" si="31"/>
        <v>00007</v>
      </c>
    </row>
    <row r="208" spans="1:4" x14ac:dyDescent="0.25">
      <c r="A208">
        <f t="shared" si="32"/>
        <v>200</v>
      </c>
      <c r="B208" t="str">
        <f t="shared" si="30"/>
        <v>0x0C8</v>
      </c>
      <c r="C208">
        <f t="shared" si="33"/>
        <v>8</v>
      </c>
      <c r="D208" t="str">
        <f t="shared" si="31"/>
        <v>00008</v>
      </c>
    </row>
    <row r="209" spans="1:4" x14ac:dyDescent="0.25">
      <c r="A209">
        <f t="shared" si="32"/>
        <v>201</v>
      </c>
      <c r="B209" t="str">
        <f t="shared" si="30"/>
        <v>0x0C9</v>
      </c>
      <c r="C209">
        <f t="shared" si="33"/>
        <v>9</v>
      </c>
      <c r="D209" t="str">
        <f t="shared" si="31"/>
        <v>00009</v>
      </c>
    </row>
    <row r="210" spans="1:4" x14ac:dyDescent="0.25">
      <c r="A210">
        <f t="shared" si="32"/>
        <v>202</v>
      </c>
      <c r="B210" t="str">
        <f t="shared" si="30"/>
        <v>0x0CA</v>
      </c>
      <c r="C210">
        <f t="shared" si="33"/>
        <v>10</v>
      </c>
      <c r="D210" t="str">
        <f t="shared" si="31"/>
        <v>0000A</v>
      </c>
    </row>
    <row r="211" spans="1:4" x14ac:dyDescent="0.25">
      <c r="A211">
        <f t="shared" si="32"/>
        <v>203</v>
      </c>
      <c r="B211" t="str">
        <f t="shared" si="30"/>
        <v>0x0CB</v>
      </c>
      <c r="C211">
        <f t="shared" si="33"/>
        <v>11</v>
      </c>
      <c r="D211" t="str">
        <f t="shared" si="31"/>
        <v>0000B</v>
      </c>
    </row>
    <row r="212" spans="1:4" x14ac:dyDescent="0.25">
      <c r="A212">
        <f t="shared" si="32"/>
        <v>204</v>
      </c>
      <c r="B212" t="str">
        <f t="shared" si="30"/>
        <v>0x0CC</v>
      </c>
      <c r="C212">
        <f t="shared" si="33"/>
        <v>12</v>
      </c>
      <c r="D212" t="str">
        <f t="shared" si="31"/>
        <v>0000C</v>
      </c>
    </row>
    <row r="213" spans="1:4" x14ac:dyDescent="0.25">
      <c r="A213">
        <f t="shared" si="32"/>
        <v>205</v>
      </c>
      <c r="B213" t="str">
        <f t="shared" si="30"/>
        <v>0x0CD</v>
      </c>
      <c r="C213">
        <f t="shared" si="33"/>
        <v>13</v>
      </c>
      <c r="D213" t="str">
        <f t="shared" si="31"/>
        <v>0000D</v>
      </c>
    </row>
    <row r="214" spans="1:4" x14ac:dyDescent="0.25">
      <c r="A214">
        <f t="shared" si="32"/>
        <v>206</v>
      </c>
      <c r="B214" t="str">
        <f t="shared" si="30"/>
        <v>0x0CE</v>
      </c>
      <c r="C214">
        <f t="shared" si="33"/>
        <v>14</v>
      </c>
      <c r="D214" t="str">
        <f t="shared" si="31"/>
        <v>0000E</v>
      </c>
    </row>
    <row r="215" spans="1:4" x14ac:dyDescent="0.25">
      <c r="A215">
        <f t="shared" si="32"/>
        <v>207</v>
      </c>
      <c r="B215" t="str">
        <f t="shared" si="30"/>
        <v>0x0CF</v>
      </c>
      <c r="C215">
        <f t="shared" si="33"/>
        <v>15</v>
      </c>
      <c r="D215" t="str">
        <f t="shared" si="31"/>
        <v>0000F</v>
      </c>
    </row>
    <row r="216" spans="1:4" x14ac:dyDescent="0.25">
      <c r="A216">
        <f t="shared" si="32"/>
        <v>208</v>
      </c>
      <c r="B216" t="str">
        <f t="shared" si="30"/>
        <v>0x0D0</v>
      </c>
      <c r="C216">
        <f t="shared" si="33"/>
        <v>16</v>
      </c>
      <c r="D216" t="str">
        <f t="shared" si="31"/>
        <v>00010</v>
      </c>
    </row>
    <row r="217" spans="1:4" x14ac:dyDescent="0.25">
      <c r="A217">
        <f t="shared" si="32"/>
        <v>209</v>
      </c>
      <c r="B217" t="str">
        <f t="shared" si="30"/>
        <v>0x0D1</v>
      </c>
      <c r="C217">
        <f t="shared" si="33"/>
        <v>17</v>
      </c>
      <c r="D217" t="str">
        <f t="shared" si="31"/>
        <v>00011</v>
      </c>
    </row>
    <row r="218" spans="1:4" x14ac:dyDescent="0.25">
      <c r="A218">
        <f t="shared" si="32"/>
        <v>210</v>
      </c>
      <c r="B218" t="str">
        <f t="shared" si="30"/>
        <v>0x0D2</v>
      </c>
      <c r="C218">
        <f t="shared" si="33"/>
        <v>18</v>
      </c>
      <c r="D218" t="str">
        <f t="shared" si="31"/>
        <v>00012</v>
      </c>
    </row>
    <row r="219" spans="1:4" x14ac:dyDescent="0.25">
      <c r="A219">
        <f t="shared" si="32"/>
        <v>211</v>
      </c>
      <c r="B219" t="str">
        <f t="shared" si="30"/>
        <v>0x0D3</v>
      </c>
      <c r="C219">
        <f t="shared" si="33"/>
        <v>19</v>
      </c>
      <c r="D219" t="str">
        <f t="shared" si="31"/>
        <v>00013</v>
      </c>
    </row>
    <row r="220" spans="1:4" x14ac:dyDescent="0.25">
      <c r="A220">
        <f t="shared" si="32"/>
        <v>212</v>
      </c>
      <c r="B220" t="str">
        <f t="shared" si="30"/>
        <v>0x0D4</v>
      </c>
      <c r="C220">
        <f t="shared" si="33"/>
        <v>20</v>
      </c>
      <c r="D220" t="str">
        <f t="shared" si="31"/>
        <v>00014</v>
      </c>
    </row>
    <row r="221" spans="1:4" x14ac:dyDescent="0.25">
      <c r="A221">
        <f t="shared" si="32"/>
        <v>213</v>
      </c>
      <c r="B221" t="str">
        <f t="shared" si="30"/>
        <v>0x0D5</v>
      </c>
      <c r="C221">
        <f t="shared" si="33"/>
        <v>21</v>
      </c>
      <c r="D221" t="str">
        <f t="shared" si="31"/>
        <v>00015</v>
      </c>
    </row>
    <row r="222" spans="1:4" x14ac:dyDescent="0.25">
      <c r="A222">
        <f t="shared" si="32"/>
        <v>214</v>
      </c>
      <c r="B222" t="str">
        <f t="shared" si="30"/>
        <v>0x0D6</v>
      </c>
      <c r="C222">
        <f t="shared" si="33"/>
        <v>22</v>
      </c>
      <c r="D222" t="str">
        <f t="shared" si="31"/>
        <v>00016</v>
      </c>
    </row>
    <row r="223" spans="1:4" x14ac:dyDescent="0.25">
      <c r="A223">
        <f t="shared" si="32"/>
        <v>215</v>
      </c>
      <c r="B223" t="str">
        <f t="shared" si="30"/>
        <v>0x0D7</v>
      </c>
      <c r="C223">
        <f t="shared" si="33"/>
        <v>23</v>
      </c>
      <c r="D223" t="str">
        <f t="shared" si="31"/>
        <v>00017</v>
      </c>
    </row>
    <row r="224" spans="1:4" x14ac:dyDescent="0.25">
      <c r="A224">
        <f t="shared" si="32"/>
        <v>216</v>
      </c>
      <c r="B224" t="str">
        <f t="shared" si="30"/>
        <v>0x0D8</v>
      </c>
      <c r="C224">
        <f t="shared" si="33"/>
        <v>24</v>
      </c>
      <c r="D224" t="str">
        <f t="shared" si="31"/>
        <v>00018</v>
      </c>
    </row>
    <row r="225" spans="1:4" x14ac:dyDescent="0.25">
      <c r="A225">
        <f t="shared" si="32"/>
        <v>217</v>
      </c>
      <c r="B225" t="str">
        <f t="shared" si="30"/>
        <v>0x0D9</v>
      </c>
      <c r="C225">
        <f t="shared" si="33"/>
        <v>25</v>
      </c>
      <c r="D225" t="str">
        <f t="shared" si="31"/>
        <v>00019</v>
      </c>
    </row>
    <row r="226" spans="1:4" x14ac:dyDescent="0.25">
      <c r="A226">
        <f t="shared" si="32"/>
        <v>218</v>
      </c>
      <c r="B226" t="str">
        <f t="shared" si="30"/>
        <v>0x0DA</v>
      </c>
      <c r="C226">
        <f t="shared" si="33"/>
        <v>26</v>
      </c>
      <c r="D226" t="str">
        <f t="shared" si="31"/>
        <v>0001A</v>
      </c>
    </row>
    <row r="227" spans="1:4" x14ac:dyDescent="0.25">
      <c r="A227">
        <f t="shared" si="32"/>
        <v>219</v>
      </c>
      <c r="B227" t="str">
        <f t="shared" si="30"/>
        <v>0x0DB</v>
      </c>
      <c r="C227">
        <f t="shared" si="33"/>
        <v>27</v>
      </c>
      <c r="D227" t="str">
        <f t="shared" si="31"/>
        <v>0001B</v>
      </c>
    </row>
    <row r="228" spans="1:4" x14ac:dyDescent="0.25">
      <c r="A228">
        <f t="shared" si="32"/>
        <v>220</v>
      </c>
      <c r="B228" t="str">
        <f t="shared" si="30"/>
        <v>0x0DC</v>
      </c>
      <c r="C228">
        <f t="shared" si="33"/>
        <v>28</v>
      </c>
      <c r="D228" t="str">
        <f t="shared" si="31"/>
        <v>0001C</v>
      </c>
    </row>
    <row r="229" spans="1:4" x14ac:dyDescent="0.25">
      <c r="A229">
        <f t="shared" si="32"/>
        <v>221</v>
      </c>
      <c r="B229" t="str">
        <f t="shared" si="30"/>
        <v>0x0DD</v>
      </c>
      <c r="C229">
        <f t="shared" si="33"/>
        <v>29</v>
      </c>
      <c r="D229" t="str">
        <f t="shared" si="31"/>
        <v>0001D</v>
      </c>
    </row>
    <row r="230" spans="1:4" x14ac:dyDescent="0.25">
      <c r="A230">
        <f t="shared" si="32"/>
        <v>222</v>
      </c>
      <c r="B230" t="str">
        <f t="shared" si="30"/>
        <v>0x0DE</v>
      </c>
      <c r="C230">
        <f t="shared" si="33"/>
        <v>30</v>
      </c>
      <c r="D230" t="str">
        <f t="shared" si="31"/>
        <v>0001E</v>
      </c>
    </row>
    <row r="231" spans="1:4" x14ac:dyDescent="0.25">
      <c r="A231">
        <f t="shared" si="32"/>
        <v>223</v>
      </c>
      <c r="B231" t="str">
        <f t="shared" si="30"/>
        <v>0x0DF</v>
      </c>
      <c r="C231">
        <f t="shared" si="33"/>
        <v>31</v>
      </c>
      <c r="D231" t="str">
        <f t="shared" si="31"/>
        <v>0001F</v>
      </c>
    </row>
    <row r="232" spans="1:4" x14ac:dyDescent="0.25">
      <c r="A232">
        <f t="shared" si="32"/>
        <v>224</v>
      </c>
      <c r="B232" t="str">
        <f t="shared" si="30"/>
        <v>0x0E0</v>
      </c>
      <c r="C232">
        <v>0</v>
      </c>
      <c r="D232" t="str">
        <f t="shared" si="31"/>
        <v>00000</v>
      </c>
    </row>
    <row r="233" spans="1:4" x14ac:dyDescent="0.25">
      <c r="A233">
        <f t="shared" si="32"/>
        <v>225</v>
      </c>
      <c r="B233" t="str">
        <f t="shared" si="30"/>
        <v>0x0E1</v>
      </c>
      <c r="C233">
        <f>C232+1</f>
        <v>1</v>
      </c>
      <c r="D233" t="str">
        <f t="shared" si="31"/>
        <v>00001</v>
      </c>
    </row>
    <row r="234" spans="1:4" x14ac:dyDescent="0.25">
      <c r="A234">
        <f t="shared" si="32"/>
        <v>226</v>
      </c>
      <c r="B234" t="str">
        <f t="shared" si="30"/>
        <v>0x0E2</v>
      </c>
      <c r="C234">
        <f t="shared" ref="C234:C263" si="34">C233+1</f>
        <v>2</v>
      </c>
      <c r="D234" t="str">
        <f t="shared" si="31"/>
        <v>00002</v>
      </c>
    </row>
    <row r="235" spans="1:4" x14ac:dyDescent="0.25">
      <c r="A235">
        <f t="shared" si="32"/>
        <v>227</v>
      </c>
      <c r="B235" t="str">
        <f t="shared" si="30"/>
        <v>0x0E3</v>
      </c>
      <c r="C235">
        <f t="shared" si="34"/>
        <v>3</v>
      </c>
      <c r="D235" t="str">
        <f t="shared" si="31"/>
        <v>00003</v>
      </c>
    </row>
    <row r="236" spans="1:4" x14ac:dyDescent="0.25">
      <c r="A236">
        <f t="shared" si="32"/>
        <v>228</v>
      </c>
      <c r="B236" t="str">
        <f t="shared" si="30"/>
        <v>0x0E4</v>
      </c>
      <c r="C236">
        <f t="shared" si="34"/>
        <v>4</v>
      </c>
      <c r="D236" t="str">
        <f t="shared" si="31"/>
        <v>00004</v>
      </c>
    </row>
    <row r="237" spans="1:4" x14ac:dyDescent="0.25">
      <c r="A237">
        <f t="shared" si="32"/>
        <v>229</v>
      </c>
      <c r="B237" t="str">
        <f t="shared" si="30"/>
        <v>0x0E5</v>
      </c>
      <c r="C237">
        <f t="shared" si="34"/>
        <v>5</v>
      </c>
      <c r="D237" t="str">
        <f t="shared" si="31"/>
        <v>00005</v>
      </c>
    </row>
    <row r="238" spans="1:4" x14ac:dyDescent="0.25">
      <c r="A238">
        <f t="shared" si="32"/>
        <v>230</v>
      </c>
      <c r="B238" t="str">
        <f t="shared" si="30"/>
        <v>0x0E6</v>
      </c>
      <c r="C238">
        <f t="shared" si="34"/>
        <v>6</v>
      </c>
      <c r="D238" t="str">
        <f t="shared" si="31"/>
        <v>00006</v>
      </c>
    </row>
    <row r="239" spans="1:4" x14ac:dyDescent="0.25">
      <c r="A239">
        <f t="shared" si="32"/>
        <v>231</v>
      </c>
      <c r="B239" t="str">
        <f t="shared" si="30"/>
        <v>0x0E7</v>
      </c>
      <c r="C239">
        <f t="shared" si="34"/>
        <v>7</v>
      </c>
      <c r="D239" t="str">
        <f t="shared" si="31"/>
        <v>00007</v>
      </c>
    </row>
    <row r="240" spans="1:4" x14ac:dyDescent="0.25">
      <c r="A240">
        <f t="shared" si="32"/>
        <v>232</v>
      </c>
      <c r="B240" t="str">
        <f t="shared" si="30"/>
        <v>0x0E8</v>
      </c>
      <c r="C240">
        <f t="shared" si="34"/>
        <v>8</v>
      </c>
      <c r="D240" t="str">
        <f t="shared" si="31"/>
        <v>00008</v>
      </c>
    </row>
    <row r="241" spans="1:4" x14ac:dyDescent="0.25">
      <c r="A241">
        <f t="shared" si="32"/>
        <v>233</v>
      </c>
      <c r="B241" t="str">
        <f t="shared" si="30"/>
        <v>0x0E9</v>
      </c>
      <c r="C241">
        <f t="shared" si="34"/>
        <v>9</v>
      </c>
      <c r="D241" t="str">
        <f t="shared" si="31"/>
        <v>00009</v>
      </c>
    </row>
    <row r="242" spans="1:4" x14ac:dyDescent="0.25">
      <c r="A242">
        <f t="shared" si="32"/>
        <v>234</v>
      </c>
      <c r="B242" t="str">
        <f t="shared" si="30"/>
        <v>0x0EA</v>
      </c>
      <c r="C242">
        <f t="shared" si="34"/>
        <v>10</v>
      </c>
      <c r="D242" t="str">
        <f t="shared" si="31"/>
        <v>0000A</v>
      </c>
    </row>
    <row r="243" spans="1:4" x14ac:dyDescent="0.25">
      <c r="A243">
        <f t="shared" si="32"/>
        <v>235</v>
      </c>
      <c r="B243" t="str">
        <f t="shared" si="30"/>
        <v>0x0EB</v>
      </c>
      <c r="C243">
        <f t="shared" si="34"/>
        <v>11</v>
      </c>
      <c r="D243" t="str">
        <f t="shared" si="31"/>
        <v>0000B</v>
      </c>
    </row>
    <row r="244" spans="1:4" x14ac:dyDescent="0.25">
      <c r="A244">
        <f t="shared" si="32"/>
        <v>236</v>
      </c>
      <c r="B244" t="str">
        <f t="shared" si="30"/>
        <v>0x0EC</v>
      </c>
      <c r="C244">
        <f t="shared" si="34"/>
        <v>12</v>
      </c>
      <c r="D244" t="str">
        <f t="shared" si="31"/>
        <v>0000C</v>
      </c>
    </row>
    <row r="245" spans="1:4" x14ac:dyDescent="0.25">
      <c r="A245">
        <f t="shared" si="32"/>
        <v>237</v>
      </c>
      <c r="B245" t="str">
        <f t="shared" si="30"/>
        <v>0x0ED</v>
      </c>
      <c r="C245">
        <f t="shared" si="34"/>
        <v>13</v>
      </c>
      <c r="D245" t="str">
        <f t="shared" si="31"/>
        <v>0000D</v>
      </c>
    </row>
    <row r="246" spans="1:4" x14ac:dyDescent="0.25">
      <c r="A246">
        <f t="shared" si="32"/>
        <v>238</v>
      </c>
      <c r="B246" t="str">
        <f t="shared" si="30"/>
        <v>0x0EE</v>
      </c>
      <c r="C246">
        <f t="shared" si="34"/>
        <v>14</v>
      </c>
      <c r="D246" t="str">
        <f t="shared" si="31"/>
        <v>0000E</v>
      </c>
    </row>
    <row r="247" spans="1:4" x14ac:dyDescent="0.25">
      <c r="A247">
        <f t="shared" si="32"/>
        <v>239</v>
      </c>
      <c r="B247" t="str">
        <f t="shared" si="30"/>
        <v>0x0EF</v>
      </c>
      <c r="C247">
        <f t="shared" si="34"/>
        <v>15</v>
      </c>
      <c r="D247" t="str">
        <f t="shared" si="31"/>
        <v>0000F</v>
      </c>
    </row>
    <row r="248" spans="1:4" x14ac:dyDescent="0.25">
      <c r="A248">
        <f t="shared" si="32"/>
        <v>240</v>
      </c>
      <c r="B248" t="str">
        <f t="shared" si="30"/>
        <v>0x0F0</v>
      </c>
      <c r="C248">
        <f t="shared" si="34"/>
        <v>16</v>
      </c>
      <c r="D248" t="str">
        <f t="shared" si="31"/>
        <v>00010</v>
      </c>
    </row>
    <row r="249" spans="1:4" x14ac:dyDescent="0.25">
      <c r="A249">
        <f t="shared" si="32"/>
        <v>241</v>
      </c>
      <c r="B249" t="str">
        <f t="shared" si="30"/>
        <v>0x0F1</v>
      </c>
      <c r="C249">
        <f t="shared" si="34"/>
        <v>17</v>
      </c>
      <c r="D249" t="str">
        <f t="shared" si="31"/>
        <v>00011</v>
      </c>
    </row>
    <row r="250" spans="1:4" x14ac:dyDescent="0.25">
      <c r="A250">
        <f t="shared" si="32"/>
        <v>242</v>
      </c>
      <c r="B250" t="str">
        <f t="shared" si="30"/>
        <v>0x0F2</v>
      </c>
      <c r="C250">
        <f t="shared" si="34"/>
        <v>18</v>
      </c>
      <c r="D250" t="str">
        <f t="shared" si="31"/>
        <v>00012</v>
      </c>
    </row>
    <row r="251" spans="1:4" x14ac:dyDescent="0.25">
      <c r="A251">
        <f t="shared" si="32"/>
        <v>243</v>
      </c>
      <c r="B251" t="str">
        <f t="shared" si="30"/>
        <v>0x0F3</v>
      </c>
      <c r="C251">
        <f t="shared" si="34"/>
        <v>19</v>
      </c>
      <c r="D251" t="str">
        <f t="shared" si="31"/>
        <v>00013</v>
      </c>
    </row>
    <row r="252" spans="1:4" x14ac:dyDescent="0.25">
      <c r="A252">
        <f t="shared" si="32"/>
        <v>244</v>
      </c>
      <c r="B252" t="str">
        <f t="shared" si="30"/>
        <v>0x0F4</v>
      </c>
      <c r="C252">
        <f t="shared" si="34"/>
        <v>20</v>
      </c>
      <c r="D252" t="str">
        <f t="shared" si="31"/>
        <v>00014</v>
      </c>
    </row>
    <row r="253" spans="1:4" x14ac:dyDescent="0.25">
      <c r="A253">
        <f t="shared" si="32"/>
        <v>245</v>
      </c>
      <c r="B253" t="str">
        <f t="shared" si="30"/>
        <v>0x0F5</v>
      </c>
      <c r="C253">
        <f t="shared" si="34"/>
        <v>21</v>
      </c>
      <c r="D253" t="str">
        <f t="shared" si="31"/>
        <v>00015</v>
      </c>
    </row>
    <row r="254" spans="1:4" x14ac:dyDescent="0.25">
      <c r="A254">
        <f t="shared" si="32"/>
        <v>246</v>
      </c>
      <c r="B254" t="str">
        <f t="shared" si="30"/>
        <v>0x0F6</v>
      </c>
      <c r="C254">
        <f t="shared" si="34"/>
        <v>22</v>
      </c>
      <c r="D254" t="str">
        <f t="shared" si="31"/>
        <v>00016</v>
      </c>
    </row>
    <row r="255" spans="1:4" x14ac:dyDescent="0.25">
      <c r="A255">
        <f t="shared" si="32"/>
        <v>247</v>
      </c>
      <c r="B255" t="str">
        <f t="shared" si="30"/>
        <v>0x0F7</v>
      </c>
      <c r="C255">
        <f t="shared" si="34"/>
        <v>23</v>
      </c>
      <c r="D255" t="str">
        <f t="shared" si="31"/>
        <v>00017</v>
      </c>
    </row>
    <row r="256" spans="1:4" x14ac:dyDescent="0.25">
      <c r="A256">
        <f t="shared" si="32"/>
        <v>248</v>
      </c>
      <c r="B256" t="str">
        <f t="shared" si="30"/>
        <v>0x0F8</v>
      </c>
      <c r="C256">
        <f t="shared" si="34"/>
        <v>24</v>
      </c>
      <c r="D256" t="str">
        <f t="shared" si="31"/>
        <v>00018</v>
      </c>
    </row>
    <row r="257" spans="1:4" x14ac:dyDescent="0.25">
      <c r="A257">
        <f t="shared" si="32"/>
        <v>249</v>
      </c>
      <c r="B257" t="str">
        <f t="shared" si="30"/>
        <v>0x0F9</v>
      </c>
      <c r="C257">
        <f t="shared" si="34"/>
        <v>25</v>
      </c>
      <c r="D257" t="str">
        <f t="shared" si="31"/>
        <v>00019</v>
      </c>
    </row>
    <row r="258" spans="1:4" x14ac:dyDescent="0.25">
      <c r="A258">
        <f t="shared" si="32"/>
        <v>250</v>
      </c>
      <c r="B258" t="str">
        <f t="shared" si="30"/>
        <v>0x0FA</v>
      </c>
      <c r="C258">
        <f t="shared" si="34"/>
        <v>26</v>
      </c>
      <c r="D258" t="str">
        <f t="shared" si="31"/>
        <v>0001A</v>
      </c>
    </row>
    <row r="259" spans="1:4" x14ac:dyDescent="0.25">
      <c r="A259">
        <f t="shared" si="32"/>
        <v>251</v>
      </c>
      <c r="B259" t="str">
        <f t="shared" si="30"/>
        <v>0x0FB</v>
      </c>
      <c r="C259">
        <f t="shared" si="34"/>
        <v>27</v>
      </c>
      <c r="D259" t="str">
        <f t="shared" si="31"/>
        <v>0001B</v>
      </c>
    </row>
    <row r="260" spans="1:4" x14ac:dyDescent="0.25">
      <c r="A260">
        <f t="shared" si="32"/>
        <v>252</v>
      </c>
      <c r="B260" t="str">
        <f t="shared" si="30"/>
        <v>0x0FC</v>
      </c>
      <c r="C260">
        <f t="shared" si="34"/>
        <v>28</v>
      </c>
      <c r="D260" t="str">
        <f t="shared" si="31"/>
        <v>0001C</v>
      </c>
    </row>
    <row r="261" spans="1:4" x14ac:dyDescent="0.25">
      <c r="A261">
        <f t="shared" si="32"/>
        <v>253</v>
      </c>
      <c r="B261" t="str">
        <f t="shared" si="30"/>
        <v>0x0FD</v>
      </c>
      <c r="C261">
        <f t="shared" si="34"/>
        <v>29</v>
      </c>
      <c r="D261" t="str">
        <f t="shared" si="31"/>
        <v>0001D</v>
      </c>
    </row>
    <row r="262" spans="1:4" x14ac:dyDescent="0.25">
      <c r="A262">
        <f t="shared" si="32"/>
        <v>254</v>
      </c>
      <c r="B262" t="str">
        <f t="shared" si="30"/>
        <v>0x0FE</v>
      </c>
      <c r="C262">
        <f t="shared" si="34"/>
        <v>30</v>
      </c>
      <c r="D262" t="str">
        <f t="shared" si="31"/>
        <v>0001E</v>
      </c>
    </row>
    <row r="263" spans="1:4" x14ac:dyDescent="0.25">
      <c r="A263">
        <f t="shared" si="32"/>
        <v>255</v>
      </c>
      <c r="B263" t="str">
        <f t="shared" si="30"/>
        <v>0x0FF</v>
      </c>
      <c r="C263">
        <f t="shared" si="34"/>
        <v>31</v>
      </c>
      <c r="D263" t="str">
        <f t="shared" si="31"/>
        <v>0001F</v>
      </c>
    </row>
    <row r="264" spans="1:4" x14ac:dyDescent="0.25">
      <c r="A264">
        <f t="shared" si="32"/>
        <v>256</v>
      </c>
      <c r="B264" t="str">
        <f t="shared" si="30"/>
        <v>0x100</v>
      </c>
      <c r="C264">
        <v>0</v>
      </c>
      <c r="D264" t="str">
        <f t="shared" si="31"/>
        <v>00000</v>
      </c>
    </row>
    <row r="265" spans="1:4" x14ac:dyDescent="0.25">
      <c r="A265">
        <f t="shared" si="32"/>
        <v>257</v>
      </c>
      <c r="B265" t="str">
        <f t="shared" ref="B265:B328" si="35">CONCATENATE("0x",DEC2HEX(A265,3))</f>
        <v>0x101</v>
      </c>
      <c r="C265">
        <f>C264+1</f>
        <v>1</v>
      </c>
      <c r="D265" t="str">
        <f t="shared" ref="D265:D328" si="36">DEC2HEX(C265,5)</f>
        <v>00001</v>
      </c>
    </row>
    <row r="266" spans="1:4" x14ac:dyDescent="0.25">
      <c r="A266">
        <f t="shared" ref="A266:A329" si="37">A265+1</f>
        <v>258</v>
      </c>
      <c r="B266" t="str">
        <f t="shared" si="35"/>
        <v>0x102</v>
      </c>
      <c r="C266">
        <f t="shared" ref="C266:C295" si="38">C265+1</f>
        <v>2</v>
      </c>
      <c r="D266" t="str">
        <f t="shared" si="36"/>
        <v>00002</v>
      </c>
    </row>
    <row r="267" spans="1:4" x14ac:dyDescent="0.25">
      <c r="A267">
        <f t="shared" si="37"/>
        <v>259</v>
      </c>
      <c r="B267" t="str">
        <f t="shared" si="35"/>
        <v>0x103</v>
      </c>
      <c r="C267">
        <f t="shared" si="38"/>
        <v>3</v>
      </c>
      <c r="D267" t="str">
        <f t="shared" si="36"/>
        <v>00003</v>
      </c>
    </row>
    <row r="268" spans="1:4" x14ac:dyDescent="0.25">
      <c r="A268">
        <f t="shared" si="37"/>
        <v>260</v>
      </c>
      <c r="B268" t="str">
        <f t="shared" si="35"/>
        <v>0x104</v>
      </c>
      <c r="C268">
        <f t="shared" si="38"/>
        <v>4</v>
      </c>
      <c r="D268" t="str">
        <f t="shared" si="36"/>
        <v>00004</v>
      </c>
    </row>
    <row r="269" spans="1:4" x14ac:dyDescent="0.25">
      <c r="A269">
        <f t="shared" si="37"/>
        <v>261</v>
      </c>
      <c r="B269" t="str">
        <f t="shared" si="35"/>
        <v>0x105</v>
      </c>
      <c r="C269">
        <f t="shared" si="38"/>
        <v>5</v>
      </c>
      <c r="D269" t="str">
        <f t="shared" si="36"/>
        <v>00005</v>
      </c>
    </row>
    <row r="270" spans="1:4" x14ac:dyDescent="0.25">
      <c r="A270">
        <f t="shared" si="37"/>
        <v>262</v>
      </c>
      <c r="B270" t="str">
        <f t="shared" si="35"/>
        <v>0x106</v>
      </c>
      <c r="C270">
        <f t="shared" si="38"/>
        <v>6</v>
      </c>
      <c r="D270" t="str">
        <f t="shared" si="36"/>
        <v>00006</v>
      </c>
    </row>
    <row r="271" spans="1:4" x14ac:dyDescent="0.25">
      <c r="A271">
        <f t="shared" si="37"/>
        <v>263</v>
      </c>
      <c r="B271" t="str">
        <f t="shared" si="35"/>
        <v>0x107</v>
      </c>
      <c r="C271">
        <f t="shared" si="38"/>
        <v>7</v>
      </c>
      <c r="D271" t="str">
        <f t="shared" si="36"/>
        <v>00007</v>
      </c>
    </row>
    <row r="272" spans="1:4" x14ac:dyDescent="0.25">
      <c r="A272">
        <f t="shared" si="37"/>
        <v>264</v>
      </c>
      <c r="B272" t="str">
        <f t="shared" si="35"/>
        <v>0x108</v>
      </c>
      <c r="C272">
        <f t="shared" si="38"/>
        <v>8</v>
      </c>
      <c r="D272" t="str">
        <f t="shared" si="36"/>
        <v>00008</v>
      </c>
    </row>
    <row r="273" spans="1:4" x14ac:dyDescent="0.25">
      <c r="A273">
        <f t="shared" si="37"/>
        <v>265</v>
      </c>
      <c r="B273" t="str">
        <f t="shared" si="35"/>
        <v>0x109</v>
      </c>
      <c r="C273">
        <f t="shared" si="38"/>
        <v>9</v>
      </c>
      <c r="D273" t="str">
        <f t="shared" si="36"/>
        <v>00009</v>
      </c>
    </row>
    <row r="274" spans="1:4" x14ac:dyDescent="0.25">
      <c r="A274">
        <f t="shared" si="37"/>
        <v>266</v>
      </c>
      <c r="B274" t="str">
        <f t="shared" si="35"/>
        <v>0x10A</v>
      </c>
      <c r="C274">
        <f t="shared" si="38"/>
        <v>10</v>
      </c>
      <c r="D274" t="str">
        <f t="shared" si="36"/>
        <v>0000A</v>
      </c>
    </row>
    <row r="275" spans="1:4" x14ac:dyDescent="0.25">
      <c r="A275">
        <f t="shared" si="37"/>
        <v>267</v>
      </c>
      <c r="B275" t="str">
        <f t="shared" si="35"/>
        <v>0x10B</v>
      </c>
      <c r="C275">
        <f t="shared" si="38"/>
        <v>11</v>
      </c>
      <c r="D275" t="str">
        <f t="shared" si="36"/>
        <v>0000B</v>
      </c>
    </row>
    <row r="276" spans="1:4" x14ac:dyDescent="0.25">
      <c r="A276">
        <f t="shared" si="37"/>
        <v>268</v>
      </c>
      <c r="B276" t="str">
        <f t="shared" si="35"/>
        <v>0x10C</v>
      </c>
      <c r="C276">
        <f t="shared" si="38"/>
        <v>12</v>
      </c>
      <c r="D276" t="str">
        <f t="shared" si="36"/>
        <v>0000C</v>
      </c>
    </row>
    <row r="277" spans="1:4" x14ac:dyDescent="0.25">
      <c r="A277">
        <f t="shared" si="37"/>
        <v>269</v>
      </c>
      <c r="B277" t="str">
        <f t="shared" si="35"/>
        <v>0x10D</v>
      </c>
      <c r="C277">
        <f t="shared" si="38"/>
        <v>13</v>
      </c>
      <c r="D277" t="str">
        <f t="shared" si="36"/>
        <v>0000D</v>
      </c>
    </row>
    <row r="278" spans="1:4" x14ac:dyDescent="0.25">
      <c r="A278">
        <f t="shared" si="37"/>
        <v>270</v>
      </c>
      <c r="B278" t="str">
        <f t="shared" si="35"/>
        <v>0x10E</v>
      </c>
      <c r="C278">
        <f t="shared" si="38"/>
        <v>14</v>
      </c>
      <c r="D278" t="str">
        <f t="shared" si="36"/>
        <v>0000E</v>
      </c>
    </row>
    <row r="279" spans="1:4" x14ac:dyDescent="0.25">
      <c r="A279">
        <f t="shared" si="37"/>
        <v>271</v>
      </c>
      <c r="B279" t="str">
        <f t="shared" si="35"/>
        <v>0x10F</v>
      </c>
      <c r="C279">
        <f t="shared" si="38"/>
        <v>15</v>
      </c>
      <c r="D279" t="str">
        <f t="shared" si="36"/>
        <v>0000F</v>
      </c>
    </row>
    <row r="280" spans="1:4" x14ac:dyDescent="0.25">
      <c r="A280">
        <f t="shared" si="37"/>
        <v>272</v>
      </c>
      <c r="B280" t="str">
        <f t="shared" si="35"/>
        <v>0x110</v>
      </c>
      <c r="C280">
        <f t="shared" si="38"/>
        <v>16</v>
      </c>
      <c r="D280" t="str">
        <f t="shared" si="36"/>
        <v>00010</v>
      </c>
    </row>
    <row r="281" spans="1:4" x14ac:dyDescent="0.25">
      <c r="A281">
        <f t="shared" si="37"/>
        <v>273</v>
      </c>
      <c r="B281" t="str">
        <f t="shared" si="35"/>
        <v>0x111</v>
      </c>
      <c r="C281">
        <f t="shared" si="38"/>
        <v>17</v>
      </c>
      <c r="D281" t="str">
        <f t="shared" si="36"/>
        <v>00011</v>
      </c>
    </row>
    <row r="282" spans="1:4" x14ac:dyDescent="0.25">
      <c r="A282">
        <f t="shared" si="37"/>
        <v>274</v>
      </c>
      <c r="B282" t="str">
        <f t="shared" si="35"/>
        <v>0x112</v>
      </c>
      <c r="C282">
        <f t="shared" si="38"/>
        <v>18</v>
      </c>
      <c r="D282" t="str">
        <f t="shared" si="36"/>
        <v>00012</v>
      </c>
    </row>
    <row r="283" spans="1:4" x14ac:dyDescent="0.25">
      <c r="A283">
        <f t="shared" si="37"/>
        <v>275</v>
      </c>
      <c r="B283" t="str">
        <f t="shared" si="35"/>
        <v>0x113</v>
      </c>
      <c r="C283">
        <f t="shared" si="38"/>
        <v>19</v>
      </c>
      <c r="D283" t="str">
        <f t="shared" si="36"/>
        <v>00013</v>
      </c>
    </row>
    <row r="284" spans="1:4" x14ac:dyDescent="0.25">
      <c r="A284">
        <f t="shared" si="37"/>
        <v>276</v>
      </c>
      <c r="B284" t="str">
        <f t="shared" si="35"/>
        <v>0x114</v>
      </c>
      <c r="C284">
        <f t="shared" si="38"/>
        <v>20</v>
      </c>
      <c r="D284" t="str">
        <f t="shared" si="36"/>
        <v>00014</v>
      </c>
    </row>
    <row r="285" spans="1:4" x14ac:dyDescent="0.25">
      <c r="A285">
        <f t="shared" si="37"/>
        <v>277</v>
      </c>
      <c r="B285" t="str">
        <f t="shared" si="35"/>
        <v>0x115</v>
      </c>
      <c r="C285">
        <f t="shared" si="38"/>
        <v>21</v>
      </c>
      <c r="D285" t="str">
        <f t="shared" si="36"/>
        <v>00015</v>
      </c>
    </row>
    <row r="286" spans="1:4" x14ac:dyDescent="0.25">
      <c r="A286">
        <f t="shared" si="37"/>
        <v>278</v>
      </c>
      <c r="B286" t="str">
        <f t="shared" si="35"/>
        <v>0x116</v>
      </c>
      <c r="C286">
        <f t="shared" si="38"/>
        <v>22</v>
      </c>
      <c r="D286" t="str">
        <f t="shared" si="36"/>
        <v>00016</v>
      </c>
    </row>
    <row r="287" spans="1:4" x14ac:dyDescent="0.25">
      <c r="A287">
        <f t="shared" si="37"/>
        <v>279</v>
      </c>
      <c r="B287" t="str">
        <f t="shared" si="35"/>
        <v>0x117</v>
      </c>
      <c r="C287">
        <f t="shared" si="38"/>
        <v>23</v>
      </c>
      <c r="D287" t="str">
        <f t="shared" si="36"/>
        <v>00017</v>
      </c>
    </row>
    <row r="288" spans="1:4" x14ac:dyDescent="0.25">
      <c r="A288">
        <f t="shared" si="37"/>
        <v>280</v>
      </c>
      <c r="B288" t="str">
        <f t="shared" si="35"/>
        <v>0x118</v>
      </c>
      <c r="C288">
        <f t="shared" si="38"/>
        <v>24</v>
      </c>
      <c r="D288" t="str">
        <f t="shared" si="36"/>
        <v>00018</v>
      </c>
    </row>
    <row r="289" spans="1:4" x14ac:dyDescent="0.25">
      <c r="A289">
        <f t="shared" si="37"/>
        <v>281</v>
      </c>
      <c r="B289" t="str">
        <f t="shared" si="35"/>
        <v>0x119</v>
      </c>
      <c r="C289">
        <f t="shared" si="38"/>
        <v>25</v>
      </c>
      <c r="D289" t="str">
        <f t="shared" si="36"/>
        <v>00019</v>
      </c>
    </row>
    <row r="290" spans="1:4" x14ac:dyDescent="0.25">
      <c r="A290">
        <f t="shared" si="37"/>
        <v>282</v>
      </c>
      <c r="B290" t="str">
        <f t="shared" si="35"/>
        <v>0x11A</v>
      </c>
      <c r="C290">
        <f t="shared" si="38"/>
        <v>26</v>
      </c>
      <c r="D290" t="str">
        <f t="shared" si="36"/>
        <v>0001A</v>
      </c>
    </row>
    <row r="291" spans="1:4" x14ac:dyDescent="0.25">
      <c r="A291">
        <f t="shared" si="37"/>
        <v>283</v>
      </c>
      <c r="B291" t="str">
        <f t="shared" si="35"/>
        <v>0x11B</v>
      </c>
      <c r="C291">
        <f t="shared" si="38"/>
        <v>27</v>
      </c>
      <c r="D291" t="str">
        <f t="shared" si="36"/>
        <v>0001B</v>
      </c>
    </row>
    <row r="292" spans="1:4" x14ac:dyDescent="0.25">
      <c r="A292">
        <f t="shared" si="37"/>
        <v>284</v>
      </c>
      <c r="B292" t="str">
        <f t="shared" si="35"/>
        <v>0x11C</v>
      </c>
      <c r="C292">
        <f t="shared" si="38"/>
        <v>28</v>
      </c>
      <c r="D292" t="str">
        <f t="shared" si="36"/>
        <v>0001C</v>
      </c>
    </row>
    <row r="293" spans="1:4" x14ac:dyDescent="0.25">
      <c r="A293">
        <f t="shared" si="37"/>
        <v>285</v>
      </c>
      <c r="B293" t="str">
        <f t="shared" si="35"/>
        <v>0x11D</v>
      </c>
      <c r="C293">
        <f t="shared" si="38"/>
        <v>29</v>
      </c>
      <c r="D293" t="str">
        <f t="shared" si="36"/>
        <v>0001D</v>
      </c>
    </row>
    <row r="294" spans="1:4" x14ac:dyDescent="0.25">
      <c r="A294">
        <f t="shared" si="37"/>
        <v>286</v>
      </c>
      <c r="B294" t="str">
        <f t="shared" si="35"/>
        <v>0x11E</v>
      </c>
      <c r="C294">
        <f t="shared" si="38"/>
        <v>30</v>
      </c>
      <c r="D294" t="str">
        <f t="shared" si="36"/>
        <v>0001E</v>
      </c>
    </row>
    <row r="295" spans="1:4" x14ac:dyDescent="0.25">
      <c r="A295">
        <f t="shared" si="37"/>
        <v>287</v>
      </c>
      <c r="B295" t="str">
        <f t="shared" si="35"/>
        <v>0x11F</v>
      </c>
      <c r="C295">
        <f t="shared" si="38"/>
        <v>31</v>
      </c>
      <c r="D295" t="str">
        <f t="shared" si="36"/>
        <v>0001F</v>
      </c>
    </row>
    <row r="296" spans="1:4" x14ac:dyDescent="0.25">
      <c r="A296">
        <f t="shared" si="37"/>
        <v>288</v>
      </c>
      <c r="B296" t="str">
        <f t="shared" si="35"/>
        <v>0x120</v>
      </c>
      <c r="C296">
        <v>0</v>
      </c>
      <c r="D296" t="str">
        <f t="shared" si="36"/>
        <v>00000</v>
      </c>
    </row>
    <row r="297" spans="1:4" x14ac:dyDescent="0.25">
      <c r="A297">
        <f t="shared" si="37"/>
        <v>289</v>
      </c>
      <c r="B297" t="str">
        <f t="shared" si="35"/>
        <v>0x121</v>
      </c>
      <c r="C297">
        <f>C296+1</f>
        <v>1</v>
      </c>
      <c r="D297" t="str">
        <f t="shared" si="36"/>
        <v>00001</v>
      </c>
    </row>
    <row r="298" spans="1:4" x14ac:dyDescent="0.25">
      <c r="A298">
        <f t="shared" si="37"/>
        <v>290</v>
      </c>
      <c r="B298" t="str">
        <f t="shared" si="35"/>
        <v>0x122</v>
      </c>
      <c r="C298">
        <f t="shared" ref="C298:C327" si="39">C297+1</f>
        <v>2</v>
      </c>
      <c r="D298" t="str">
        <f t="shared" si="36"/>
        <v>00002</v>
      </c>
    </row>
    <row r="299" spans="1:4" x14ac:dyDescent="0.25">
      <c r="A299">
        <f t="shared" si="37"/>
        <v>291</v>
      </c>
      <c r="B299" t="str">
        <f t="shared" si="35"/>
        <v>0x123</v>
      </c>
      <c r="C299">
        <f t="shared" si="39"/>
        <v>3</v>
      </c>
      <c r="D299" t="str">
        <f t="shared" si="36"/>
        <v>00003</v>
      </c>
    </row>
    <row r="300" spans="1:4" x14ac:dyDescent="0.25">
      <c r="A300">
        <f t="shared" si="37"/>
        <v>292</v>
      </c>
      <c r="B300" t="str">
        <f t="shared" si="35"/>
        <v>0x124</v>
      </c>
      <c r="C300">
        <f t="shared" si="39"/>
        <v>4</v>
      </c>
      <c r="D300" t="str">
        <f t="shared" si="36"/>
        <v>00004</v>
      </c>
    </row>
    <row r="301" spans="1:4" x14ac:dyDescent="0.25">
      <c r="A301">
        <f t="shared" si="37"/>
        <v>293</v>
      </c>
      <c r="B301" t="str">
        <f t="shared" si="35"/>
        <v>0x125</v>
      </c>
      <c r="C301">
        <f t="shared" si="39"/>
        <v>5</v>
      </c>
      <c r="D301" t="str">
        <f t="shared" si="36"/>
        <v>00005</v>
      </c>
    </row>
    <row r="302" spans="1:4" x14ac:dyDescent="0.25">
      <c r="A302">
        <f t="shared" si="37"/>
        <v>294</v>
      </c>
      <c r="B302" t="str">
        <f t="shared" si="35"/>
        <v>0x126</v>
      </c>
      <c r="C302">
        <f t="shared" si="39"/>
        <v>6</v>
      </c>
      <c r="D302" t="str">
        <f t="shared" si="36"/>
        <v>00006</v>
      </c>
    </row>
    <row r="303" spans="1:4" x14ac:dyDescent="0.25">
      <c r="A303">
        <f t="shared" si="37"/>
        <v>295</v>
      </c>
      <c r="B303" t="str">
        <f t="shared" si="35"/>
        <v>0x127</v>
      </c>
      <c r="C303">
        <f t="shared" si="39"/>
        <v>7</v>
      </c>
      <c r="D303" t="str">
        <f t="shared" si="36"/>
        <v>00007</v>
      </c>
    </row>
    <row r="304" spans="1:4" x14ac:dyDescent="0.25">
      <c r="A304">
        <f t="shared" si="37"/>
        <v>296</v>
      </c>
      <c r="B304" t="str">
        <f t="shared" si="35"/>
        <v>0x128</v>
      </c>
      <c r="C304">
        <f t="shared" si="39"/>
        <v>8</v>
      </c>
      <c r="D304" t="str">
        <f t="shared" si="36"/>
        <v>00008</v>
      </c>
    </row>
    <row r="305" spans="1:4" x14ac:dyDescent="0.25">
      <c r="A305">
        <f t="shared" si="37"/>
        <v>297</v>
      </c>
      <c r="B305" t="str">
        <f t="shared" si="35"/>
        <v>0x129</v>
      </c>
      <c r="C305">
        <f t="shared" si="39"/>
        <v>9</v>
      </c>
      <c r="D305" t="str">
        <f t="shared" si="36"/>
        <v>00009</v>
      </c>
    </row>
    <row r="306" spans="1:4" x14ac:dyDescent="0.25">
      <c r="A306">
        <f t="shared" si="37"/>
        <v>298</v>
      </c>
      <c r="B306" t="str">
        <f t="shared" si="35"/>
        <v>0x12A</v>
      </c>
      <c r="C306">
        <f t="shared" si="39"/>
        <v>10</v>
      </c>
      <c r="D306" t="str">
        <f t="shared" si="36"/>
        <v>0000A</v>
      </c>
    </row>
    <row r="307" spans="1:4" x14ac:dyDescent="0.25">
      <c r="A307">
        <f t="shared" si="37"/>
        <v>299</v>
      </c>
      <c r="B307" t="str">
        <f t="shared" si="35"/>
        <v>0x12B</v>
      </c>
      <c r="C307">
        <f t="shared" si="39"/>
        <v>11</v>
      </c>
      <c r="D307" t="str">
        <f t="shared" si="36"/>
        <v>0000B</v>
      </c>
    </row>
    <row r="308" spans="1:4" x14ac:dyDescent="0.25">
      <c r="A308">
        <f t="shared" si="37"/>
        <v>300</v>
      </c>
      <c r="B308" t="str">
        <f t="shared" si="35"/>
        <v>0x12C</v>
      </c>
      <c r="C308">
        <f t="shared" si="39"/>
        <v>12</v>
      </c>
      <c r="D308" t="str">
        <f t="shared" si="36"/>
        <v>0000C</v>
      </c>
    </row>
    <row r="309" spans="1:4" x14ac:dyDescent="0.25">
      <c r="A309">
        <f t="shared" si="37"/>
        <v>301</v>
      </c>
      <c r="B309" t="str">
        <f t="shared" si="35"/>
        <v>0x12D</v>
      </c>
      <c r="C309">
        <f t="shared" si="39"/>
        <v>13</v>
      </c>
      <c r="D309" t="str">
        <f t="shared" si="36"/>
        <v>0000D</v>
      </c>
    </row>
    <row r="310" spans="1:4" x14ac:dyDescent="0.25">
      <c r="A310">
        <f t="shared" si="37"/>
        <v>302</v>
      </c>
      <c r="B310" t="str">
        <f t="shared" si="35"/>
        <v>0x12E</v>
      </c>
      <c r="C310">
        <f t="shared" si="39"/>
        <v>14</v>
      </c>
      <c r="D310" t="str">
        <f t="shared" si="36"/>
        <v>0000E</v>
      </c>
    </row>
    <row r="311" spans="1:4" x14ac:dyDescent="0.25">
      <c r="A311">
        <f t="shared" si="37"/>
        <v>303</v>
      </c>
      <c r="B311" t="str">
        <f t="shared" si="35"/>
        <v>0x12F</v>
      </c>
      <c r="C311">
        <f t="shared" si="39"/>
        <v>15</v>
      </c>
      <c r="D311" t="str">
        <f t="shared" si="36"/>
        <v>0000F</v>
      </c>
    </row>
    <row r="312" spans="1:4" x14ac:dyDescent="0.25">
      <c r="A312">
        <f t="shared" si="37"/>
        <v>304</v>
      </c>
      <c r="B312" t="str">
        <f t="shared" si="35"/>
        <v>0x130</v>
      </c>
      <c r="C312">
        <f t="shared" si="39"/>
        <v>16</v>
      </c>
      <c r="D312" t="str">
        <f t="shared" si="36"/>
        <v>00010</v>
      </c>
    </row>
    <row r="313" spans="1:4" x14ac:dyDescent="0.25">
      <c r="A313">
        <f t="shared" si="37"/>
        <v>305</v>
      </c>
      <c r="B313" t="str">
        <f t="shared" si="35"/>
        <v>0x131</v>
      </c>
      <c r="C313">
        <f t="shared" si="39"/>
        <v>17</v>
      </c>
      <c r="D313" t="str">
        <f t="shared" si="36"/>
        <v>00011</v>
      </c>
    </row>
    <row r="314" spans="1:4" x14ac:dyDescent="0.25">
      <c r="A314">
        <f t="shared" si="37"/>
        <v>306</v>
      </c>
      <c r="B314" t="str">
        <f t="shared" si="35"/>
        <v>0x132</v>
      </c>
      <c r="C314">
        <f t="shared" si="39"/>
        <v>18</v>
      </c>
      <c r="D314" t="str">
        <f t="shared" si="36"/>
        <v>00012</v>
      </c>
    </row>
    <row r="315" spans="1:4" x14ac:dyDescent="0.25">
      <c r="A315">
        <f t="shared" si="37"/>
        <v>307</v>
      </c>
      <c r="B315" t="str">
        <f t="shared" si="35"/>
        <v>0x133</v>
      </c>
      <c r="C315">
        <f t="shared" si="39"/>
        <v>19</v>
      </c>
      <c r="D315" t="str">
        <f t="shared" si="36"/>
        <v>00013</v>
      </c>
    </row>
    <row r="316" spans="1:4" x14ac:dyDescent="0.25">
      <c r="A316">
        <f t="shared" si="37"/>
        <v>308</v>
      </c>
      <c r="B316" t="str">
        <f t="shared" si="35"/>
        <v>0x134</v>
      </c>
      <c r="C316">
        <f t="shared" si="39"/>
        <v>20</v>
      </c>
      <c r="D316" t="str">
        <f t="shared" si="36"/>
        <v>00014</v>
      </c>
    </row>
    <row r="317" spans="1:4" x14ac:dyDescent="0.25">
      <c r="A317">
        <f t="shared" si="37"/>
        <v>309</v>
      </c>
      <c r="B317" t="str">
        <f t="shared" si="35"/>
        <v>0x135</v>
      </c>
      <c r="C317">
        <f t="shared" si="39"/>
        <v>21</v>
      </c>
      <c r="D317" t="str">
        <f t="shared" si="36"/>
        <v>00015</v>
      </c>
    </row>
    <row r="318" spans="1:4" x14ac:dyDescent="0.25">
      <c r="A318">
        <f t="shared" si="37"/>
        <v>310</v>
      </c>
      <c r="B318" t="str">
        <f t="shared" si="35"/>
        <v>0x136</v>
      </c>
      <c r="C318">
        <f t="shared" si="39"/>
        <v>22</v>
      </c>
      <c r="D318" t="str">
        <f t="shared" si="36"/>
        <v>00016</v>
      </c>
    </row>
    <row r="319" spans="1:4" x14ac:dyDescent="0.25">
      <c r="A319">
        <f t="shared" si="37"/>
        <v>311</v>
      </c>
      <c r="B319" t="str">
        <f t="shared" si="35"/>
        <v>0x137</v>
      </c>
      <c r="C319">
        <f t="shared" si="39"/>
        <v>23</v>
      </c>
      <c r="D319" t="str">
        <f t="shared" si="36"/>
        <v>00017</v>
      </c>
    </row>
    <row r="320" spans="1:4" x14ac:dyDescent="0.25">
      <c r="A320">
        <f t="shared" si="37"/>
        <v>312</v>
      </c>
      <c r="B320" t="str">
        <f t="shared" si="35"/>
        <v>0x138</v>
      </c>
      <c r="C320">
        <f t="shared" si="39"/>
        <v>24</v>
      </c>
      <c r="D320" t="str">
        <f t="shared" si="36"/>
        <v>00018</v>
      </c>
    </row>
    <row r="321" spans="1:4" x14ac:dyDescent="0.25">
      <c r="A321">
        <f t="shared" si="37"/>
        <v>313</v>
      </c>
      <c r="B321" t="str">
        <f t="shared" si="35"/>
        <v>0x139</v>
      </c>
      <c r="C321">
        <f t="shared" si="39"/>
        <v>25</v>
      </c>
      <c r="D321" t="str">
        <f t="shared" si="36"/>
        <v>00019</v>
      </c>
    </row>
    <row r="322" spans="1:4" x14ac:dyDescent="0.25">
      <c r="A322">
        <f t="shared" si="37"/>
        <v>314</v>
      </c>
      <c r="B322" t="str">
        <f t="shared" si="35"/>
        <v>0x13A</v>
      </c>
      <c r="C322">
        <f t="shared" si="39"/>
        <v>26</v>
      </c>
      <c r="D322" t="str">
        <f t="shared" si="36"/>
        <v>0001A</v>
      </c>
    </row>
    <row r="323" spans="1:4" x14ac:dyDescent="0.25">
      <c r="A323">
        <f t="shared" si="37"/>
        <v>315</v>
      </c>
      <c r="B323" t="str">
        <f t="shared" si="35"/>
        <v>0x13B</v>
      </c>
      <c r="C323">
        <f t="shared" si="39"/>
        <v>27</v>
      </c>
      <c r="D323" t="str">
        <f t="shared" si="36"/>
        <v>0001B</v>
      </c>
    </row>
    <row r="324" spans="1:4" x14ac:dyDescent="0.25">
      <c r="A324">
        <f t="shared" si="37"/>
        <v>316</v>
      </c>
      <c r="B324" t="str">
        <f t="shared" si="35"/>
        <v>0x13C</v>
      </c>
      <c r="C324">
        <f t="shared" si="39"/>
        <v>28</v>
      </c>
      <c r="D324" t="str">
        <f t="shared" si="36"/>
        <v>0001C</v>
      </c>
    </row>
    <row r="325" spans="1:4" x14ac:dyDescent="0.25">
      <c r="A325">
        <f t="shared" si="37"/>
        <v>317</v>
      </c>
      <c r="B325" t="str">
        <f t="shared" si="35"/>
        <v>0x13D</v>
      </c>
      <c r="C325">
        <f t="shared" si="39"/>
        <v>29</v>
      </c>
      <c r="D325" t="str">
        <f t="shared" si="36"/>
        <v>0001D</v>
      </c>
    </row>
    <row r="326" spans="1:4" x14ac:dyDescent="0.25">
      <c r="A326">
        <f t="shared" si="37"/>
        <v>318</v>
      </c>
      <c r="B326" t="str">
        <f t="shared" si="35"/>
        <v>0x13E</v>
      </c>
      <c r="C326">
        <f t="shared" si="39"/>
        <v>30</v>
      </c>
      <c r="D326" t="str">
        <f t="shared" si="36"/>
        <v>0001E</v>
      </c>
    </row>
    <row r="327" spans="1:4" x14ac:dyDescent="0.25">
      <c r="A327">
        <f t="shared" si="37"/>
        <v>319</v>
      </c>
      <c r="B327" t="str">
        <f t="shared" si="35"/>
        <v>0x13F</v>
      </c>
      <c r="C327">
        <f t="shared" si="39"/>
        <v>31</v>
      </c>
      <c r="D327" t="str">
        <f t="shared" si="36"/>
        <v>0001F</v>
      </c>
    </row>
    <row r="328" spans="1:4" x14ac:dyDescent="0.25">
      <c r="A328">
        <f t="shared" si="37"/>
        <v>320</v>
      </c>
      <c r="B328" t="str">
        <f t="shared" si="35"/>
        <v>0x140</v>
      </c>
      <c r="C328">
        <v>0</v>
      </c>
      <c r="D328" t="str">
        <f t="shared" si="36"/>
        <v>00000</v>
      </c>
    </row>
    <row r="329" spans="1:4" x14ac:dyDescent="0.25">
      <c r="A329">
        <f t="shared" si="37"/>
        <v>321</v>
      </c>
      <c r="B329" t="str">
        <f t="shared" ref="B329:B392" si="40">CONCATENATE("0x",DEC2HEX(A329,3))</f>
        <v>0x141</v>
      </c>
      <c r="C329">
        <f>C328+1</f>
        <v>1</v>
      </c>
      <c r="D329" t="str">
        <f t="shared" ref="D329:D392" si="41">DEC2HEX(C329,5)</f>
        <v>00001</v>
      </c>
    </row>
    <row r="330" spans="1:4" x14ac:dyDescent="0.25">
      <c r="A330">
        <f t="shared" ref="A330:A393" si="42">A329+1</f>
        <v>322</v>
      </c>
      <c r="B330" t="str">
        <f t="shared" si="40"/>
        <v>0x142</v>
      </c>
      <c r="C330">
        <f t="shared" ref="C330:C359" si="43">C329+1</f>
        <v>2</v>
      </c>
      <c r="D330" t="str">
        <f t="shared" si="41"/>
        <v>00002</v>
      </c>
    </row>
    <row r="331" spans="1:4" x14ac:dyDescent="0.25">
      <c r="A331">
        <f t="shared" si="42"/>
        <v>323</v>
      </c>
      <c r="B331" t="str">
        <f t="shared" si="40"/>
        <v>0x143</v>
      </c>
      <c r="C331">
        <f t="shared" si="43"/>
        <v>3</v>
      </c>
      <c r="D331" t="str">
        <f t="shared" si="41"/>
        <v>00003</v>
      </c>
    </row>
    <row r="332" spans="1:4" x14ac:dyDescent="0.25">
      <c r="A332">
        <f t="shared" si="42"/>
        <v>324</v>
      </c>
      <c r="B332" t="str">
        <f t="shared" si="40"/>
        <v>0x144</v>
      </c>
      <c r="C332">
        <f t="shared" si="43"/>
        <v>4</v>
      </c>
      <c r="D332" t="str">
        <f t="shared" si="41"/>
        <v>00004</v>
      </c>
    </row>
    <row r="333" spans="1:4" x14ac:dyDescent="0.25">
      <c r="A333">
        <f t="shared" si="42"/>
        <v>325</v>
      </c>
      <c r="B333" t="str">
        <f t="shared" si="40"/>
        <v>0x145</v>
      </c>
      <c r="C333">
        <f t="shared" si="43"/>
        <v>5</v>
      </c>
      <c r="D333" t="str">
        <f t="shared" si="41"/>
        <v>00005</v>
      </c>
    </row>
    <row r="334" spans="1:4" x14ac:dyDescent="0.25">
      <c r="A334">
        <f t="shared" si="42"/>
        <v>326</v>
      </c>
      <c r="B334" t="str">
        <f t="shared" si="40"/>
        <v>0x146</v>
      </c>
      <c r="C334">
        <f t="shared" si="43"/>
        <v>6</v>
      </c>
      <c r="D334" t="str">
        <f t="shared" si="41"/>
        <v>00006</v>
      </c>
    </row>
    <row r="335" spans="1:4" x14ac:dyDescent="0.25">
      <c r="A335">
        <f t="shared" si="42"/>
        <v>327</v>
      </c>
      <c r="B335" t="str">
        <f t="shared" si="40"/>
        <v>0x147</v>
      </c>
      <c r="C335">
        <f t="shared" si="43"/>
        <v>7</v>
      </c>
      <c r="D335" t="str">
        <f t="shared" si="41"/>
        <v>00007</v>
      </c>
    </row>
    <row r="336" spans="1:4" x14ac:dyDescent="0.25">
      <c r="A336">
        <f t="shared" si="42"/>
        <v>328</v>
      </c>
      <c r="B336" t="str">
        <f t="shared" si="40"/>
        <v>0x148</v>
      </c>
      <c r="C336">
        <f t="shared" si="43"/>
        <v>8</v>
      </c>
      <c r="D336" t="str">
        <f t="shared" si="41"/>
        <v>00008</v>
      </c>
    </row>
    <row r="337" spans="1:4" x14ac:dyDescent="0.25">
      <c r="A337">
        <f t="shared" si="42"/>
        <v>329</v>
      </c>
      <c r="B337" t="str">
        <f t="shared" si="40"/>
        <v>0x149</v>
      </c>
      <c r="C337">
        <f t="shared" si="43"/>
        <v>9</v>
      </c>
      <c r="D337" t="str">
        <f t="shared" si="41"/>
        <v>00009</v>
      </c>
    </row>
    <row r="338" spans="1:4" x14ac:dyDescent="0.25">
      <c r="A338">
        <f t="shared" si="42"/>
        <v>330</v>
      </c>
      <c r="B338" t="str">
        <f t="shared" si="40"/>
        <v>0x14A</v>
      </c>
      <c r="C338">
        <f t="shared" si="43"/>
        <v>10</v>
      </c>
      <c r="D338" t="str">
        <f t="shared" si="41"/>
        <v>0000A</v>
      </c>
    </row>
    <row r="339" spans="1:4" x14ac:dyDescent="0.25">
      <c r="A339">
        <f t="shared" si="42"/>
        <v>331</v>
      </c>
      <c r="B339" t="str">
        <f t="shared" si="40"/>
        <v>0x14B</v>
      </c>
      <c r="C339">
        <f t="shared" si="43"/>
        <v>11</v>
      </c>
      <c r="D339" t="str">
        <f t="shared" si="41"/>
        <v>0000B</v>
      </c>
    </row>
    <row r="340" spans="1:4" x14ac:dyDescent="0.25">
      <c r="A340">
        <f t="shared" si="42"/>
        <v>332</v>
      </c>
      <c r="B340" t="str">
        <f t="shared" si="40"/>
        <v>0x14C</v>
      </c>
      <c r="C340">
        <f t="shared" si="43"/>
        <v>12</v>
      </c>
      <c r="D340" t="str">
        <f t="shared" si="41"/>
        <v>0000C</v>
      </c>
    </row>
    <row r="341" spans="1:4" x14ac:dyDescent="0.25">
      <c r="A341">
        <f t="shared" si="42"/>
        <v>333</v>
      </c>
      <c r="B341" t="str">
        <f t="shared" si="40"/>
        <v>0x14D</v>
      </c>
      <c r="C341">
        <f t="shared" si="43"/>
        <v>13</v>
      </c>
      <c r="D341" t="str">
        <f t="shared" si="41"/>
        <v>0000D</v>
      </c>
    </row>
    <row r="342" spans="1:4" x14ac:dyDescent="0.25">
      <c r="A342">
        <f t="shared" si="42"/>
        <v>334</v>
      </c>
      <c r="B342" t="str">
        <f t="shared" si="40"/>
        <v>0x14E</v>
      </c>
      <c r="C342">
        <f t="shared" si="43"/>
        <v>14</v>
      </c>
      <c r="D342" t="str">
        <f t="shared" si="41"/>
        <v>0000E</v>
      </c>
    </row>
    <row r="343" spans="1:4" x14ac:dyDescent="0.25">
      <c r="A343">
        <f t="shared" si="42"/>
        <v>335</v>
      </c>
      <c r="B343" t="str">
        <f t="shared" si="40"/>
        <v>0x14F</v>
      </c>
      <c r="C343">
        <f t="shared" si="43"/>
        <v>15</v>
      </c>
      <c r="D343" t="str">
        <f t="shared" si="41"/>
        <v>0000F</v>
      </c>
    </row>
    <row r="344" spans="1:4" x14ac:dyDescent="0.25">
      <c r="A344">
        <f t="shared" si="42"/>
        <v>336</v>
      </c>
      <c r="B344" t="str">
        <f t="shared" si="40"/>
        <v>0x150</v>
      </c>
      <c r="C344">
        <f t="shared" si="43"/>
        <v>16</v>
      </c>
      <c r="D344" t="str">
        <f t="shared" si="41"/>
        <v>00010</v>
      </c>
    </row>
    <row r="345" spans="1:4" x14ac:dyDescent="0.25">
      <c r="A345">
        <f t="shared" si="42"/>
        <v>337</v>
      </c>
      <c r="B345" t="str">
        <f t="shared" si="40"/>
        <v>0x151</v>
      </c>
      <c r="C345">
        <f t="shared" si="43"/>
        <v>17</v>
      </c>
      <c r="D345" t="str">
        <f t="shared" si="41"/>
        <v>00011</v>
      </c>
    </row>
    <row r="346" spans="1:4" x14ac:dyDescent="0.25">
      <c r="A346">
        <f t="shared" si="42"/>
        <v>338</v>
      </c>
      <c r="B346" t="str">
        <f t="shared" si="40"/>
        <v>0x152</v>
      </c>
      <c r="C346">
        <f t="shared" si="43"/>
        <v>18</v>
      </c>
      <c r="D346" t="str">
        <f t="shared" si="41"/>
        <v>00012</v>
      </c>
    </row>
    <row r="347" spans="1:4" x14ac:dyDescent="0.25">
      <c r="A347">
        <f t="shared" si="42"/>
        <v>339</v>
      </c>
      <c r="B347" t="str">
        <f t="shared" si="40"/>
        <v>0x153</v>
      </c>
      <c r="C347">
        <f t="shared" si="43"/>
        <v>19</v>
      </c>
      <c r="D347" t="str">
        <f t="shared" si="41"/>
        <v>00013</v>
      </c>
    </row>
    <row r="348" spans="1:4" x14ac:dyDescent="0.25">
      <c r="A348">
        <f t="shared" si="42"/>
        <v>340</v>
      </c>
      <c r="B348" t="str">
        <f t="shared" si="40"/>
        <v>0x154</v>
      </c>
      <c r="C348">
        <f t="shared" si="43"/>
        <v>20</v>
      </c>
      <c r="D348" t="str">
        <f t="shared" si="41"/>
        <v>00014</v>
      </c>
    </row>
    <row r="349" spans="1:4" x14ac:dyDescent="0.25">
      <c r="A349">
        <f t="shared" si="42"/>
        <v>341</v>
      </c>
      <c r="B349" t="str">
        <f t="shared" si="40"/>
        <v>0x155</v>
      </c>
      <c r="C349">
        <f t="shared" si="43"/>
        <v>21</v>
      </c>
      <c r="D349" t="str">
        <f t="shared" si="41"/>
        <v>00015</v>
      </c>
    </row>
    <row r="350" spans="1:4" x14ac:dyDescent="0.25">
      <c r="A350">
        <f t="shared" si="42"/>
        <v>342</v>
      </c>
      <c r="B350" t="str">
        <f t="shared" si="40"/>
        <v>0x156</v>
      </c>
      <c r="C350">
        <f t="shared" si="43"/>
        <v>22</v>
      </c>
      <c r="D350" t="str">
        <f t="shared" si="41"/>
        <v>00016</v>
      </c>
    </row>
    <row r="351" spans="1:4" x14ac:dyDescent="0.25">
      <c r="A351">
        <f t="shared" si="42"/>
        <v>343</v>
      </c>
      <c r="B351" t="str">
        <f t="shared" si="40"/>
        <v>0x157</v>
      </c>
      <c r="C351">
        <f t="shared" si="43"/>
        <v>23</v>
      </c>
      <c r="D351" t="str">
        <f t="shared" si="41"/>
        <v>00017</v>
      </c>
    </row>
    <row r="352" spans="1:4" x14ac:dyDescent="0.25">
      <c r="A352">
        <f t="shared" si="42"/>
        <v>344</v>
      </c>
      <c r="B352" t="str">
        <f t="shared" si="40"/>
        <v>0x158</v>
      </c>
      <c r="C352">
        <f t="shared" si="43"/>
        <v>24</v>
      </c>
      <c r="D352" t="str">
        <f t="shared" si="41"/>
        <v>00018</v>
      </c>
    </row>
    <row r="353" spans="1:4" x14ac:dyDescent="0.25">
      <c r="A353">
        <f t="shared" si="42"/>
        <v>345</v>
      </c>
      <c r="B353" t="str">
        <f t="shared" si="40"/>
        <v>0x159</v>
      </c>
      <c r="C353">
        <f t="shared" si="43"/>
        <v>25</v>
      </c>
      <c r="D353" t="str">
        <f t="shared" si="41"/>
        <v>00019</v>
      </c>
    </row>
    <row r="354" spans="1:4" x14ac:dyDescent="0.25">
      <c r="A354">
        <f t="shared" si="42"/>
        <v>346</v>
      </c>
      <c r="B354" t="str">
        <f t="shared" si="40"/>
        <v>0x15A</v>
      </c>
      <c r="C354">
        <f t="shared" si="43"/>
        <v>26</v>
      </c>
      <c r="D354" t="str">
        <f t="shared" si="41"/>
        <v>0001A</v>
      </c>
    </row>
    <row r="355" spans="1:4" x14ac:dyDescent="0.25">
      <c r="A355">
        <f t="shared" si="42"/>
        <v>347</v>
      </c>
      <c r="B355" t="str">
        <f t="shared" si="40"/>
        <v>0x15B</v>
      </c>
      <c r="C355">
        <f t="shared" si="43"/>
        <v>27</v>
      </c>
      <c r="D355" t="str">
        <f t="shared" si="41"/>
        <v>0001B</v>
      </c>
    </row>
    <row r="356" spans="1:4" x14ac:dyDescent="0.25">
      <c r="A356">
        <f t="shared" si="42"/>
        <v>348</v>
      </c>
      <c r="B356" t="str">
        <f t="shared" si="40"/>
        <v>0x15C</v>
      </c>
      <c r="C356">
        <f t="shared" si="43"/>
        <v>28</v>
      </c>
      <c r="D356" t="str">
        <f t="shared" si="41"/>
        <v>0001C</v>
      </c>
    </row>
    <row r="357" spans="1:4" x14ac:dyDescent="0.25">
      <c r="A357">
        <f t="shared" si="42"/>
        <v>349</v>
      </c>
      <c r="B357" t="str">
        <f t="shared" si="40"/>
        <v>0x15D</v>
      </c>
      <c r="C357">
        <f t="shared" si="43"/>
        <v>29</v>
      </c>
      <c r="D357" t="str">
        <f t="shared" si="41"/>
        <v>0001D</v>
      </c>
    </row>
    <row r="358" spans="1:4" x14ac:dyDescent="0.25">
      <c r="A358">
        <f t="shared" si="42"/>
        <v>350</v>
      </c>
      <c r="B358" t="str">
        <f t="shared" si="40"/>
        <v>0x15E</v>
      </c>
      <c r="C358">
        <f t="shared" si="43"/>
        <v>30</v>
      </c>
      <c r="D358" t="str">
        <f t="shared" si="41"/>
        <v>0001E</v>
      </c>
    </row>
    <row r="359" spans="1:4" x14ac:dyDescent="0.25">
      <c r="A359">
        <f t="shared" si="42"/>
        <v>351</v>
      </c>
      <c r="B359" t="str">
        <f t="shared" si="40"/>
        <v>0x15F</v>
      </c>
      <c r="C359">
        <f t="shared" si="43"/>
        <v>31</v>
      </c>
      <c r="D359" t="str">
        <f t="shared" si="41"/>
        <v>0001F</v>
      </c>
    </row>
    <row r="360" spans="1:4" x14ac:dyDescent="0.25">
      <c r="A360">
        <f t="shared" si="42"/>
        <v>352</v>
      </c>
      <c r="B360" t="str">
        <f t="shared" si="40"/>
        <v>0x160</v>
      </c>
      <c r="C360">
        <v>0</v>
      </c>
      <c r="D360" t="str">
        <f t="shared" si="41"/>
        <v>00000</v>
      </c>
    </row>
    <row r="361" spans="1:4" x14ac:dyDescent="0.25">
      <c r="A361">
        <f t="shared" si="42"/>
        <v>353</v>
      </c>
      <c r="B361" t="str">
        <f t="shared" si="40"/>
        <v>0x161</v>
      </c>
      <c r="C361">
        <f>C360+1</f>
        <v>1</v>
      </c>
      <c r="D361" t="str">
        <f t="shared" si="41"/>
        <v>00001</v>
      </c>
    </row>
    <row r="362" spans="1:4" x14ac:dyDescent="0.25">
      <c r="A362">
        <f t="shared" si="42"/>
        <v>354</v>
      </c>
      <c r="B362" t="str">
        <f t="shared" si="40"/>
        <v>0x162</v>
      </c>
      <c r="C362">
        <f t="shared" ref="C362:C391" si="44">C361+1</f>
        <v>2</v>
      </c>
      <c r="D362" t="str">
        <f t="shared" si="41"/>
        <v>00002</v>
      </c>
    </row>
    <row r="363" spans="1:4" x14ac:dyDescent="0.25">
      <c r="A363">
        <f t="shared" si="42"/>
        <v>355</v>
      </c>
      <c r="B363" t="str">
        <f t="shared" si="40"/>
        <v>0x163</v>
      </c>
      <c r="C363">
        <f t="shared" si="44"/>
        <v>3</v>
      </c>
      <c r="D363" t="str">
        <f t="shared" si="41"/>
        <v>00003</v>
      </c>
    </row>
    <row r="364" spans="1:4" x14ac:dyDescent="0.25">
      <c r="A364">
        <f t="shared" si="42"/>
        <v>356</v>
      </c>
      <c r="B364" t="str">
        <f t="shared" si="40"/>
        <v>0x164</v>
      </c>
      <c r="C364">
        <f t="shared" si="44"/>
        <v>4</v>
      </c>
      <c r="D364" t="str">
        <f t="shared" si="41"/>
        <v>00004</v>
      </c>
    </row>
    <row r="365" spans="1:4" x14ac:dyDescent="0.25">
      <c r="A365">
        <f t="shared" si="42"/>
        <v>357</v>
      </c>
      <c r="B365" t="str">
        <f t="shared" si="40"/>
        <v>0x165</v>
      </c>
      <c r="C365">
        <f t="shared" si="44"/>
        <v>5</v>
      </c>
      <c r="D365" t="str">
        <f t="shared" si="41"/>
        <v>00005</v>
      </c>
    </row>
    <row r="366" spans="1:4" x14ac:dyDescent="0.25">
      <c r="A366">
        <f t="shared" si="42"/>
        <v>358</v>
      </c>
      <c r="B366" t="str">
        <f t="shared" si="40"/>
        <v>0x166</v>
      </c>
      <c r="C366">
        <f t="shared" si="44"/>
        <v>6</v>
      </c>
      <c r="D366" t="str">
        <f t="shared" si="41"/>
        <v>00006</v>
      </c>
    </row>
    <row r="367" spans="1:4" x14ac:dyDescent="0.25">
      <c r="A367">
        <f t="shared" si="42"/>
        <v>359</v>
      </c>
      <c r="B367" t="str">
        <f t="shared" si="40"/>
        <v>0x167</v>
      </c>
      <c r="C367">
        <f t="shared" si="44"/>
        <v>7</v>
      </c>
      <c r="D367" t="str">
        <f t="shared" si="41"/>
        <v>00007</v>
      </c>
    </row>
    <row r="368" spans="1:4" x14ac:dyDescent="0.25">
      <c r="A368">
        <f t="shared" si="42"/>
        <v>360</v>
      </c>
      <c r="B368" t="str">
        <f t="shared" si="40"/>
        <v>0x168</v>
      </c>
      <c r="C368">
        <f t="shared" si="44"/>
        <v>8</v>
      </c>
      <c r="D368" t="str">
        <f t="shared" si="41"/>
        <v>00008</v>
      </c>
    </row>
    <row r="369" spans="1:4" x14ac:dyDescent="0.25">
      <c r="A369">
        <f t="shared" si="42"/>
        <v>361</v>
      </c>
      <c r="B369" t="str">
        <f t="shared" si="40"/>
        <v>0x169</v>
      </c>
      <c r="C369">
        <f t="shared" si="44"/>
        <v>9</v>
      </c>
      <c r="D369" t="str">
        <f t="shared" si="41"/>
        <v>00009</v>
      </c>
    </row>
    <row r="370" spans="1:4" x14ac:dyDescent="0.25">
      <c r="A370">
        <f t="shared" si="42"/>
        <v>362</v>
      </c>
      <c r="B370" t="str">
        <f t="shared" si="40"/>
        <v>0x16A</v>
      </c>
      <c r="C370">
        <f t="shared" si="44"/>
        <v>10</v>
      </c>
      <c r="D370" t="str">
        <f t="shared" si="41"/>
        <v>0000A</v>
      </c>
    </row>
    <row r="371" spans="1:4" x14ac:dyDescent="0.25">
      <c r="A371">
        <f t="shared" si="42"/>
        <v>363</v>
      </c>
      <c r="B371" t="str">
        <f t="shared" si="40"/>
        <v>0x16B</v>
      </c>
      <c r="C371">
        <f t="shared" si="44"/>
        <v>11</v>
      </c>
      <c r="D371" t="str">
        <f t="shared" si="41"/>
        <v>0000B</v>
      </c>
    </row>
    <row r="372" spans="1:4" x14ac:dyDescent="0.25">
      <c r="A372">
        <f t="shared" si="42"/>
        <v>364</v>
      </c>
      <c r="B372" t="str">
        <f t="shared" si="40"/>
        <v>0x16C</v>
      </c>
      <c r="C372">
        <f t="shared" si="44"/>
        <v>12</v>
      </c>
      <c r="D372" t="str">
        <f t="shared" si="41"/>
        <v>0000C</v>
      </c>
    </row>
    <row r="373" spans="1:4" x14ac:dyDescent="0.25">
      <c r="A373">
        <f t="shared" si="42"/>
        <v>365</v>
      </c>
      <c r="B373" t="str">
        <f t="shared" si="40"/>
        <v>0x16D</v>
      </c>
      <c r="C373">
        <f t="shared" si="44"/>
        <v>13</v>
      </c>
      <c r="D373" t="str">
        <f t="shared" si="41"/>
        <v>0000D</v>
      </c>
    </row>
    <row r="374" spans="1:4" x14ac:dyDescent="0.25">
      <c r="A374">
        <f t="shared" si="42"/>
        <v>366</v>
      </c>
      <c r="B374" t="str">
        <f t="shared" si="40"/>
        <v>0x16E</v>
      </c>
      <c r="C374">
        <f t="shared" si="44"/>
        <v>14</v>
      </c>
      <c r="D374" t="str">
        <f t="shared" si="41"/>
        <v>0000E</v>
      </c>
    </row>
    <row r="375" spans="1:4" x14ac:dyDescent="0.25">
      <c r="A375">
        <f t="shared" si="42"/>
        <v>367</v>
      </c>
      <c r="B375" t="str">
        <f t="shared" si="40"/>
        <v>0x16F</v>
      </c>
      <c r="C375">
        <f t="shared" si="44"/>
        <v>15</v>
      </c>
      <c r="D375" t="str">
        <f t="shared" si="41"/>
        <v>0000F</v>
      </c>
    </row>
    <row r="376" spans="1:4" x14ac:dyDescent="0.25">
      <c r="A376">
        <f t="shared" si="42"/>
        <v>368</v>
      </c>
      <c r="B376" t="str">
        <f t="shared" si="40"/>
        <v>0x170</v>
      </c>
      <c r="C376">
        <f t="shared" si="44"/>
        <v>16</v>
      </c>
      <c r="D376" t="str">
        <f t="shared" si="41"/>
        <v>00010</v>
      </c>
    </row>
    <row r="377" spans="1:4" x14ac:dyDescent="0.25">
      <c r="A377">
        <f t="shared" si="42"/>
        <v>369</v>
      </c>
      <c r="B377" t="str">
        <f t="shared" si="40"/>
        <v>0x171</v>
      </c>
      <c r="C377">
        <f t="shared" si="44"/>
        <v>17</v>
      </c>
      <c r="D377" t="str">
        <f t="shared" si="41"/>
        <v>00011</v>
      </c>
    </row>
    <row r="378" spans="1:4" x14ac:dyDescent="0.25">
      <c r="A378">
        <f t="shared" si="42"/>
        <v>370</v>
      </c>
      <c r="B378" t="str">
        <f t="shared" si="40"/>
        <v>0x172</v>
      </c>
      <c r="C378">
        <f t="shared" si="44"/>
        <v>18</v>
      </c>
      <c r="D378" t="str">
        <f t="shared" si="41"/>
        <v>00012</v>
      </c>
    </row>
    <row r="379" spans="1:4" x14ac:dyDescent="0.25">
      <c r="A379">
        <f t="shared" si="42"/>
        <v>371</v>
      </c>
      <c r="B379" t="str">
        <f t="shared" si="40"/>
        <v>0x173</v>
      </c>
      <c r="C379">
        <f t="shared" si="44"/>
        <v>19</v>
      </c>
      <c r="D379" t="str">
        <f t="shared" si="41"/>
        <v>00013</v>
      </c>
    </row>
    <row r="380" spans="1:4" x14ac:dyDescent="0.25">
      <c r="A380">
        <f t="shared" si="42"/>
        <v>372</v>
      </c>
      <c r="B380" t="str">
        <f t="shared" si="40"/>
        <v>0x174</v>
      </c>
      <c r="C380">
        <f t="shared" si="44"/>
        <v>20</v>
      </c>
      <c r="D380" t="str">
        <f t="shared" si="41"/>
        <v>00014</v>
      </c>
    </row>
    <row r="381" spans="1:4" x14ac:dyDescent="0.25">
      <c r="A381">
        <f t="shared" si="42"/>
        <v>373</v>
      </c>
      <c r="B381" t="str">
        <f t="shared" si="40"/>
        <v>0x175</v>
      </c>
      <c r="C381">
        <f t="shared" si="44"/>
        <v>21</v>
      </c>
      <c r="D381" t="str">
        <f t="shared" si="41"/>
        <v>00015</v>
      </c>
    </row>
    <row r="382" spans="1:4" x14ac:dyDescent="0.25">
      <c r="A382">
        <f t="shared" si="42"/>
        <v>374</v>
      </c>
      <c r="B382" t="str">
        <f t="shared" si="40"/>
        <v>0x176</v>
      </c>
      <c r="C382">
        <f t="shared" si="44"/>
        <v>22</v>
      </c>
      <c r="D382" t="str">
        <f t="shared" si="41"/>
        <v>00016</v>
      </c>
    </row>
    <row r="383" spans="1:4" x14ac:dyDescent="0.25">
      <c r="A383">
        <f t="shared" si="42"/>
        <v>375</v>
      </c>
      <c r="B383" t="str">
        <f t="shared" si="40"/>
        <v>0x177</v>
      </c>
      <c r="C383">
        <f t="shared" si="44"/>
        <v>23</v>
      </c>
      <c r="D383" t="str">
        <f t="shared" si="41"/>
        <v>00017</v>
      </c>
    </row>
    <row r="384" spans="1:4" x14ac:dyDescent="0.25">
      <c r="A384">
        <f t="shared" si="42"/>
        <v>376</v>
      </c>
      <c r="B384" t="str">
        <f t="shared" si="40"/>
        <v>0x178</v>
      </c>
      <c r="C384">
        <f t="shared" si="44"/>
        <v>24</v>
      </c>
      <c r="D384" t="str">
        <f t="shared" si="41"/>
        <v>00018</v>
      </c>
    </row>
    <row r="385" spans="1:4" x14ac:dyDescent="0.25">
      <c r="A385">
        <f t="shared" si="42"/>
        <v>377</v>
      </c>
      <c r="B385" t="str">
        <f t="shared" si="40"/>
        <v>0x179</v>
      </c>
      <c r="C385">
        <f t="shared" si="44"/>
        <v>25</v>
      </c>
      <c r="D385" t="str">
        <f t="shared" si="41"/>
        <v>00019</v>
      </c>
    </row>
    <row r="386" spans="1:4" x14ac:dyDescent="0.25">
      <c r="A386">
        <f t="shared" si="42"/>
        <v>378</v>
      </c>
      <c r="B386" t="str">
        <f t="shared" si="40"/>
        <v>0x17A</v>
      </c>
      <c r="C386">
        <f t="shared" si="44"/>
        <v>26</v>
      </c>
      <c r="D386" t="str">
        <f t="shared" si="41"/>
        <v>0001A</v>
      </c>
    </row>
    <row r="387" spans="1:4" x14ac:dyDescent="0.25">
      <c r="A387">
        <f t="shared" si="42"/>
        <v>379</v>
      </c>
      <c r="B387" t="str">
        <f t="shared" si="40"/>
        <v>0x17B</v>
      </c>
      <c r="C387">
        <f t="shared" si="44"/>
        <v>27</v>
      </c>
      <c r="D387" t="str">
        <f t="shared" si="41"/>
        <v>0001B</v>
      </c>
    </row>
    <row r="388" spans="1:4" x14ac:dyDescent="0.25">
      <c r="A388">
        <f t="shared" si="42"/>
        <v>380</v>
      </c>
      <c r="B388" t="str">
        <f t="shared" si="40"/>
        <v>0x17C</v>
      </c>
      <c r="C388">
        <f t="shared" si="44"/>
        <v>28</v>
      </c>
      <c r="D388" t="str">
        <f t="shared" si="41"/>
        <v>0001C</v>
      </c>
    </row>
    <row r="389" spans="1:4" x14ac:dyDescent="0.25">
      <c r="A389">
        <f t="shared" si="42"/>
        <v>381</v>
      </c>
      <c r="B389" t="str">
        <f t="shared" si="40"/>
        <v>0x17D</v>
      </c>
      <c r="C389">
        <f t="shared" si="44"/>
        <v>29</v>
      </c>
      <c r="D389" t="str">
        <f t="shared" si="41"/>
        <v>0001D</v>
      </c>
    </row>
    <row r="390" spans="1:4" x14ac:dyDescent="0.25">
      <c r="A390">
        <f t="shared" si="42"/>
        <v>382</v>
      </c>
      <c r="B390" t="str">
        <f t="shared" si="40"/>
        <v>0x17E</v>
      </c>
      <c r="C390">
        <f t="shared" si="44"/>
        <v>30</v>
      </c>
      <c r="D390" t="str">
        <f t="shared" si="41"/>
        <v>0001E</v>
      </c>
    </row>
    <row r="391" spans="1:4" x14ac:dyDescent="0.25">
      <c r="A391">
        <f t="shared" si="42"/>
        <v>383</v>
      </c>
      <c r="B391" t="str">
        <f t="shared" si="40"/>
        <v>0x17F</v>
      </c>
      <c r="C391">
        <f t="shared" si="44"/>
        <v>31</v>
      </c>
      <c r="D391" t="str">
        <f t="shared" si="41"/>
        <v>0001F</v>
      </c>
    </row>
    <row r="392" spans="1:4" x14ac:dyDescent="0.25">
      <c r="A392">
        <f t="shared" si="42"/>
        <v>384</v>
      </c>
      <c r="B392" t="str">
        <f t="shared" si="40"/>
        <v>0x180</v>
      </c>
      <c r="C392">
        <v>0</v>
      </c>
      <c r="D392" t="str">
        <f t="shared" si="41"/>
        <v>00000</v>
      </c>
    </row>
    <row r="393" spans="1:4" x14ac:dyDescent="0.25">
      <c r="A393">
        <f t="shared" si="42"/>
        <v>385</v>
      </c>
      <c r="B393" t="str">
        <f t="shared" ref="B393:B456" si="45">CONCATENATE("0x",DEC2HEX(A393,3))</f>
        <v>0x181</v>
      </c>
      <c r="C393">
        <f>C392+1</f>
        <v>1</v>
      </c>
      <c r="D393" t="str">
        <f t="shared" ref="D393:D456" si="46">DEC2HEX(C393,5)</f>
        <v>00001</v>
      </c>
    </row>
    <row r="394" spans="1:4" x14ac:dyDescent="0.25">
      <c r="A394">
        <f t="shared" ref="A394:A457" si="47">A393+1</f>
        <v>386</v>
      </c>
      <c r="B394" t="str">
        <f t="shared" si="45"/>
        <v>0x182</v>
      </c>
      <c r="C394">
        <f t="shared" ref="C394:C423" si="48">C393+1</f>
        <v>2</v>
      </c>
      <c r="D394" t="str">
        <f t="shared" si="46"/>
        <v>00002</v>
      </c>
    </row>
    <row r="395" spans="1:4" x14ac:dyDescent="0.25">
      <c r="A395">
        <f t="shared" si="47"/>
        <v>387</v>
      </c>
      <c r="B395" t="str">
        <f t="shared" si="45"/>
        <v>0x183</v>
      </c>
      <c r="C395">
        <f t="shared" si="48"/>
        <v>3</v>
      </c>
      <c r="D395" t="str">
        <f t="shared" si="46"/>
        <v>00003</v>
      </c>
    </row>
    <row r="396" spans="1:4" x14ac:dyDescent="0.25">
      <c r="A396">
        <f t="shared" si="47"/>
        <v>388</v>
      </c>
      <c r="B396" t="str">
        <f t="shared" si="45"/>
        <v>0x184</v>
      </c>
      <c r="C396">
        <f t="shared" si="48"/>
        <v>4</v>
      </c>
      <c r="D396" t="str">
        <f t="shared" si="46"/>
        <v>00004</v>
      </c>
    </row>
    <row r="397" spans="1:4" x14ac:dyDescent="0.25">
      <c r="A397">
        <f t="shared" si="47"/>
        <v>389</v>
      </c>
      <c r="B397" t="str">
        <f t="shared" si="45"/>
        <v>0x185</v>
      </c>
      <c r="C397">
        <f t="shared" si="48"/>
        <v>5</v>
      </c>
      <c r="D397" t="str">
        <f t="shared" si="46"/>
        <v>00005</v>
      </c>
    </row>
    <row r="398" spans="1:4" x14ac:dyDescent="0.25">
      <c r="A398">
        <f t="shared" si="47"/>
        <v>390</v>
      </c>
      <c r="B398" t="str">
        <f t="shared" si="45"/>
        <v>0x186</v>
      </c>
      <c r="C398">
        <f t="shared" si="48"/>
        <v>6</v>
      </c>
      <c r="D398" t="str">
        <f t="shared" si="46"/>
        <v>00006</v>
      </c>
    </row>
    <row r="399" spans="1:4" x14ac:dyDescent="0.25">
      <c r="A399">
        <f t="shared" si="47"/>
        <v>391</v>
      </c>
      <c r="B399" t="str">
        <f t="shared" si="45"/>
        <v>0x187</v>
      </c>
      <c r="C399">
        <f t="shared" si="48"/>
        <v>7</v>
      </c>
      <c r="D399" t="str">
        <f t="shared" si="46"/>
        <v>00007</v>
      </c>
    </row>
    <row r="400" spans="1:4" x14ac:dyDescent="0.25">
      <c r="A400">
        <f t="shared" si="47"/>
        <v>392</v>
      </c>
      <c r="B400" t="str">
        <f t="shared" si="45"/>
        <v>0x188</v>
      </c>
      <c r="C400">
        <f t="shared" si="48"/>
        <v>8</v>
      </c>
      <c r="D400" t="str">
        <f t="shared" si="46"/>
        <v>00008</v>
      </c>
    </row>
    <row r="401" spans="1:4" x14ac:dyDescent="0.25">
      <c r="A401">
        <f t="shared" si="47"/>
        <v>393</v>
      </c>
      <c r="B401" t="str">
        <f t="shared" si="45"/>
        <v>0x189</v>
      </c>
      <c r="C401">
        <f t="shared" si="48"/>
        <v>9</v>
      </c>
      <c r="D401" t="str">
        <f t="shared" si="46"/>
        <v>00009</v>
      </c>
    </row>
    <row r="402" spans="1:4" x14ac:dyDescent="0.25">
      <c r="A402">
        <f t="shared" si="47"/>
        <v>394</v>
      </c>
      <c r="B402" t="str">
        <f t="shared" si="45"/>
        <v>0x18A</v>
      </c>
      <c r="C402">
        <f t="shared" si="48"/>
        <v>10</v>
      </c>
      <c r="D402" t="str">
        <f t="shared" si="46"/>
        <v>0000A</v>
      </c>
    </row>
    <row r="403" spans="1:4" x14ac:dyDescent="0.25">
      <c r="A403">
        <f t="shared" si="47"/>
        <v>395</v>
      </c>
      <c r="B403" t="str">
        <f t="shared" si="45"/>
        <v>0x18B</v>
      </c>
      <c r="C403">
        <f t="shared" si="48"/>
        <v>11</v>
      </c>
      <c r="D403" t="str">
        <f t="shared" si="46"/>
        <v>0000B</v>
      </c>
    </row>
    <row r="404" spans="1:4" x14ac:dyDescent="0.25">
      <c r="A404">
        <f t="shared" si="47"/>
        <v>396</v>
      </c>
      <c r="B404" t="str">
        <f t="shared" si="45"/>
        <v>0x18C</v>
      </c>
      <c r="C404">
        <f t="shared" si="48"/>
        <v>12</v>
      </c>
      <c r="D404" t="str">
        <f t="shared" si="46"/>
        <v>0000C</v>
      </c>
    </row>
    <row r="405" spans="1:4" x14ac:dyDescent="0.25">
      <c r="A405">
        <f t="shared" si="47"/>
        <v>397</v>
      </c>
      <c r="B405" t="str">
        <f t="shared" si="45"/>
        <v>0x18D</v>
      </c>
      <c r="C405">
        <f t="shared" si="48"/>
        <v>13</v>
      </c>
      <c r="D405" t="str">
        <f t="shared" si="46"/>
        <v>0000D</v>
      </c>
    </row>
    <row r="406" spans="1:4" x14ac:dyDescent="0.25">
      <c r="A406">
        <f t="shared" si="47"/>
        <v>398</v>
      </c>
      <c r="B406" t="str">
        <f t="shared" si="45"/>
        <v>0x18E</v>
      </c>
      <c r="C406">
        <f t="shared" si="48"/>
        <v>14</v>
      </c>
      <c r="D406" t="str">
        <f t="shared" si="46"/>
        <v>0000E</v>
      </c>
    </row>
    <row r="407" spans="1:4" x14ac:dyDescent="0.25">
      <c r="A407">
        <f t="shared" si="47"/>
        <v>399</v>
      </c>
      <c r="B407" t="str">
        <f t="shared" si="45"/>
        <v>0x18F</v>
      </c>
      <c r="C407">
        <f t="shared" si="48"/>
        <v>15</v>
      </c>
      <c r="D407" t="str">
        <f t="shared" si="46"/>
        <v>0000F</v>
      </c>
    </row>
    <row r="408" spans="1:4" x14ac:dyDescent="0.25">
      <c r="A408">
        <f t="shared" si="47"/>
        <v>400</v>
      </c>
      <c r="B408" t="str">
        <f t="shared" si="45"/>
        <v>0x190</v>
      </c>
      <c r="C408">
        <f t="shared" si="48"/>
        <v>16</v>
      </c>
      <c r="D408" t="str">
        <f t="shared" si="46"/>
        <v>00010</v>
      </c>
    </row>
    <row r="409" spans="1:4" x14ac:dyDescent="0.25">
      <c r="A409">
        <f t="shared" si="47"/>
        <v>401</v>
      </c>
      <c r="B409" t="str">
        <f t="shared" si="45"/>
        <v>0x191</v>
      </c>
      <c r="C409">
        <f t="shared" si="48"/>
        <v>17</v>
      </c>
      <c r="D409" t="str">
        <f t="shared" si="46"/>
        <v>00011</v>
      </c>
    </row>
    <row r="410" spans="1:4" x14ac:dyDescent="0.25">
      <c r="A410">
        <f t="shared" si="47"/>
        <v>402</v>
      </c>
      <c r="B410" t="str">
        <f t="shared" si="45"/>
        <v>0x192</v>
      </c>
      <c r="C410">
        <f t="shared" si="48"/>
        <v>18</v>
      </c>
      <c r="D410" t="str">
        <f t="shared" si="46"/>
        <v>00012</v>
      </c>
    </row>
    <row r="411" spans="1:4" x14ac:dyDescent="0.25">
      <c r="A411">
        <f t="shared" si="47"/>
        <v>403</v>
      </c>
      <c r="B411" t="str">
        <f t="shared" si="45"/>
        <v>0x193</v>
      </c>
      <c r="C411">
        <f t="shared" si="48"/>
        <v>19</v>
      </c>
      <c r="D411" t="str">
        <f t="shared" si="46"/>
        <v>00013</v>
      </c>
    </row>
    <row r="412" spans="1:4" x14ac:dyDescent="0.25">
      <c r="A412">
        <f t="shared" si="47"/>
        <v>404</v>
      </c>
      <c r="B412" t="str">
        <f t="shared" si="45"/>
        <v>0x194</v>
      </c>
      <c r="C412">
        <f t="shared" si="48"/>
        <v>20</v>
      </c>
      <c r="D412" t="str">
        <f t="shared" si="46"/>
        <v>00014</v>
      </c>
    </row>
    <row r="413" spans="1:4" x14ac:dyDescent="0.25">
      <c r="A413">
        <f t="shared" si="47"/>
        <v>405</v>
      </c>
      <c r="B413" t="str">
        <f t="shared" si="45"/>
        <v>0x195</v>
      </c>
      <c r="C413">
        <f t="shared" si="48"/>
        <v>21</v>
      </c>
      <c r="D413" t="str">
        <f t="shared" si="46"/>
        <v>00015</v>
      </c>
    </row>
    <row r="414" spans="1:4" x14ac:dyDescent="0.25">
      <c r="A414">
        <f t="shared" si="47"/>
        <v>406</v>
      </c>
      <c r="B414" t="str">
        <f t="shared" si="45"/>
        <v>0x196</v>
      </c>
      <c r="C414">
        <f t="shared" si="48"/>
        <v>22</v>
      </c>
      <c r="D414" t="str">
        <f t="shared" si="46"/>
        <v>00016</v>
      </c>
    </row>
    <row r="415" spans="1:4" x14ac:dyDescent="0.25">
      <c r="A415">
        <f t="shared" si="47"/>
        <v>407</v>
      </c>
      <c r="B415" t="str">
        <f t="shared" si="45"/>
        <v>0x197</v>
      </c>
      <c r="C415">
        <f t="shared" si="48"/>
        <v>23</v>
      </c>
      <c r="D415" t="str">
        <f t="shared" si="46"/>
        <v>00017</v>
      </c>
    </row>
    <row r="416" spans="1:4" x14ac:dyDescent="0.25">
      <c r="A416">
        <f t="shared" si="47"/>
        <v>408</v>
      </c>
      <c r="B416" t="str">
        <f t="shared" si="45"/>
        <v>0x198</v>
      </c>
      <c r="C416">
        <f t="shared" si="48"/>
        <v>24</v>
      </c>
      <c r="D416" t="str">
        <f t="shared" si="46"/>
        <v>00018</v>
      </c>
    </row>
    <row r="417" spans="1:4" x14ac:dyDescent="0.25">
      <c r="A417">
        <f t="shared" si="47"/>
        <v>409</v>
      </c>
      <c r="B417" t="str">
        <f t="shared" si="45"/>
        <v>0x199</v>
      </c>
      <c r="C417">
        <f t="shared" si="48"/>
        <v>25</v>
      </c>
      <c r="D417" t="str">
        <f t="shared" si="46"/>
        <v>00019</v>
      </c>
    </row>
    <row r="418" spans="1:4" x14ac:dyDescent="0.25">
      <c r="A418">
        <f t="shared" si="47"/>
        <v>410</v>
      </c>
      <c r="B418" t="str">
        <f t="shared" si="45"/>
        <v>0x19A</v>
      </c>
      <c r="C418">
        <f t="shared" si="48"/>
        <v>26</v>
      </c>
      <c r="D418" t="str">
        <f t="shared" si="46"/>
        <v>0001A</v>
      </c>
    </row>
    <row r="419" spans="1:4" x14ac:dyDescent="0.25">
      <c r="A419">
        <f t="shared" si="47"/>
        <v>411</v>
      </c>
      <c r="B419" t="str">
        <f t="shared" si="45"/>
        <v>0x19B</v>
      </c>
      <c r="C419">
        <f t="shared" si="48"/>
        <v>27</v>
      </c>
      <c r="D419" t="str">
        <f t="shared" si="46"/>
        <v>0001B</v>
      </c>
    </row>
    <row r="420" spans="1:4" x14ac:dyDescent="0.25">
      <c r="A420">
        <f t="shared" si="47"/>
        <v>412</v>
      </c>
      <c r="B420" t="str">
        <f t="shared" si="45"/>
        <v>0x19C</v>
      </c>
      <c r="C420">
        <f t="shared" si="48"/>
        <v>28</v>
      </c>
      <c r="D420" t="str">
        <f t="shared" si="46"/>
        <v>0001C</v>
      </c>
    </row>
    <row r="421" spans="1:4" x14ac:dyDescent="0.25">
      <c r="A421">
        <f t="shared" si="47"/>
        <v>413</v>
      </c>
      <c r="B421" t="str">
        <f t="shared" si="45"/>
        <v>0x19D</v>
      </c>
      <c r="C421">
        <f t="shared" si="48"/>
        <v>29</v>
      </c>
      <c r="D421" t="str">
        <f t="shared" si="46"/>
        <v>0001D</v>
      </c>
    </row>
    <row r="422" spans="1:4" x14ac:dyDescent="0.25">
      <c r="A422">
        <f t="shared" si="47"/>
        <v>414</v>
      </c>
      <c r="B422" t="str">
        <f t="shared" si="45"/>
        <v>0x19E</v>
      </c>
      <c r="C422">
        <f t="shared" si="48"/>
        <v>30</v>
      </c>
      <c r="D422" t="str">
        <f t="shared" si="46"/>
        <v>0001E</v>
      </c>
    </row>
    <row r="423" spans="1:4" x14ac:dyDescent="0.25">
      <c r="A423">
        <f t="shared" si="47"/>
        <v>415</v>
      </c>
      <c r="B423" t="str">
        <f t="shared" si="45"/>
        <v>0x19F</v>
      </c>
      <c r="C423">
        <f t="shared" si="48"/>
        <v>31</v>
      </c>
      <c r="D423" t="str">
        <f t="shared" si="46"/>
        <v>0001F</v>
      </c>
    </row>
    <row r="424" spans="1:4" x14ac:dyDescent="0.25">
      <c r="A424">
        <f t="shared" si="47"/>
        <v>416</v>
      </c>
      <c r="B424" t="str">
        <f t="shared" si="45"/>
        <v>0x1A0</v>
      </c>
      <c r="C424">
        <v>0</v>
      </c>
      <c r="D424" t="str">
        <f t="shared" si="46"/>
        <v>00000</v>
      </c>
    </row>
    <row r="425" spans="1:4" x14ac:dyDescent="0.25">
      <c r="A425">
        <f t="shared" si="47"/>
        <v>417</v>
      </c>
      <c r="B425" t="str">
        <f t="shared" si="45"/>
        <v>0x1A1</v>
      </c>
      <c r="C425">
        <f>C424+1</f>
        <v>1</v>
      </c>
      <c r="D425" t="str">
        <f t="shared" si="46"/>
        <v>00001</v>
      </c>
    </row>
    <row r="426" spans="1:4" x14ac:dyDescent="0.25">
      <c r="A426">
        <f t="shared" si="47"/>
        <v>418</v>
      </c>
      <c r="B426" t="str">
        <f t="shared" si="45"/>
        <v>0x1A2</v>
      </c>
      <c r="C426">
        <f t="shared" ref="C426:C455" si="49">C425+1</f>
        <v>2</v>
      </c>
      <c r="D426" t="str">
        <f t="shared" si="46"/>
        <v>00002</v>
      </c>
    </row>
    <row r="427" spans="1:4" x14ac:dyDescent="0.25">
      <c r="A427">
        <f t="shared" si="47"/>
        <v>419</v>
      </c>
      <c r="B427" t="str">
        <f t="shared" si="45"/>
        <v>0x1A3</v>
      </c>
      <c r="C427">
        <f t="shared" si="49"/>
        <v>3</v>
      </c>
      <c r="D427" t="str">
        <f t="shared" si="46"/>
        <v>00003</v>
      </c>
    </row>
    <row r="428" spans="1:4" x14ac:dyDescent="0.25">
      <c r="A428">
        <f t="shared" si="47"/>
        <v>420</v>
      </c>
      <c r="B428" t="str">
        <f t="shared" si="45"/>
        <v>0x1A4</v>
      </c>
      <c r="C428">
        <f t="shared" si="49"/>
        <v>4</v>
      </c>
      <c r="D428" t="str">
        <f t="shared" si="46"/>
        <v>00004</v>
      </c>
    </row>
    <row r="429" spans="1:4" x14ac:dyDescent="0.25">
      <c r="A429">
        <f t="shared" si="47"/>
        <v>421</v>
      </c>
      <c r="B429" t="str">
        <f t="shared" si="45"/>
        <v>0x1A5</v>
      </c>
      <c r="C429">
        <f t="shared" si="49"/>
        <v>5</v>
      </c>
      <c r="D429" t="str">
        <f t="shared" si="46"/>
        <v>00005</v>
      </c>
    </row>
    <row r="430" spans="1:4" x14ac:dyDescent="0.25">
      <c r="A430">
        <f t="shared" si="47"/>
        <v>422</v>
      </c>
      <c r="B430" t="str">
        <f t="shared" si="45"/>
        <v>0x1A6</v>
      </c>
      <c r="C430">
        <f t="shared" si="49"/>
        <v>6</v>
      </c>
      <c r="D430" t="str">
        <f t="shared" si="46"/>
        <v>00006</v>
      </c>
    </row>
    <row r="431" spans="1:4" x14ac:dyDescent="0.25">
      <c r="A431">
        <f t="shared" si="47"/>
        <v>423</v>
      </c>
      <c r="B431" t="str">
        <f t="shared" si="45"/>
        <v>0x1A7</v>
      </c>
      <c r="C431">
        <f t="shared" si="49"/>
        <v>7</v>
      </c>
      <c r="D431" t="str">
        <f t="shared" si="46"/>
        <v>00007</v>
      </c>
    </row>
    <row r="432" spans="1:4" x14ac:dyDescent="0.25">
      <c r="A432">
        <f t="shared" si="47"/>
        <v>424</v>
      </c>
      <c r="B432" t="str">
        <f t="shared" si="45"/>
        <v>0x1A8</v>
      </c>
      <c r="C432">
        <f t="shared" si="49"/>
        <v>8</v>
      </c>
      <c r="D432" t="str">
        <f t="shared" si="46"/>
        <v>00008</v>
      </c>
    </row>
    <row r="433" spans="1:4" x14ac:dyDescent="0.25">
      <c r="A433">
        <f t="shared" si="47"/>
        <v>425</v>
      </c>
      <c r="B433" t="str">
        <f t="shared" si="45"/>
        <v>0x1A9</v>
      </c>
      <c r="C433">
        <f t="shared" si="49"/>
        <v>9</v>
      </c>
      <c r="D433" t="str">
        <f t="shared" si="46"/>
        <v>00009</v>
      </c>
    </row>
    <row r="434" spans="1:4" x14ac:dyDescent="0.25">
      <c r="A434">
        <f t="shared" si="47"/>
        <v>426</v>
      </c>
      <c r="B434" t="str">
        <f t="shared" si="45"/>
        <v>0x1AA</v>
      </c>
      <c r="C434">
        <f t="shared" si="49"/>
        <v>10</v>
      </c>
      <c r="D434" t="str">
        <f t="shared" si="46"/>
        <v>0000A</v>
      </c>
    </row>
    <row r="435" spans="1:4" x14ac:dyDescent="0.25">
      <c r="A435">
        <f t="shared" si="47"/>
        <v>427</v>
      </c>
      <c r="B435" t="str">
        <f t="shared" si="45"/>
        <v>0x1AB</v>
      </c>
      <c r="C435">
        <f t="shared" si="49"/>
        <v>11</v>
      </c>
      <c r="D435" t="str">
        <f t="shared" si="46"/>
        <v>0000B</v>
      </c>
    </row>
    <row r="436" spans="1:4" x14ac:dyDescent="0.25">
      <c r="A436">
        <f t="shared" si="47"/>
        <v>428</v>
      </c>
      <c r="B436" t="str">
        <f t="shared" si="45"/>
        <v>0x1AC</v>
      </c>
      <c r="C436">
        <f t="shared" si="49"/>
        <v>12</v>
      </c>
      <c r="D436" t="str">
        <f t="shared" si="46"/>
        <v>0000C</v>
      </c>
    </row>
    <row r="437" spans="1:4" x14ac:dyDescent="0.25">
      <c r="A437">
        <f t="shared" si="47"/>
        <v>429</v>
      </c>
      <c r="B437" t="str">
        <f t="shared" si="45"/>
        <v>0x1AD</v>
      </c>
      <c r="C437">
        <f t="shared" si="49"/>
        <v>13</v>
      </c>
      <c r="D437" t="str">
        <f t="shared" si="46"/>
        <v>0000D</v>
      </c>
    </row>
    <row r="438" spans="1:4" x14ac:dyDescent="0.25">
      <c r="A438">
        <f t="shared" si="47"/>
        <v>430</v>
      </c>
      <c r="B438" t="str">
        <f t="shared" si="45"/>
        <v>0x1AE</v>
      </c>
      <c r="C438">
        <f t="shared" si="49"/>
        <v>14</v>
      </c>
      <c r="D438" t="str">
        <f t="shared" si="46"/>
        <v>0000E</v>
      </c>
    </row>
    <row r="439" spans="1:4" x14ac:dyDescent="0.25">
      <c r="A439">
        <f t="shared" si="47"/>
        <v>431</v>
      </c>
      <c r="B439" t="str">
        <f t="shared" si="45"/>
        <v>0x1AF</v>
      </c>
      <c r="C439">
        <f t="shared" si="49"/>
        <v>15</v>
      </c>
      <c r="D439" t="str">
        <f t="shared" si="46"/>
        <v>0000F</v>
      </c>
    </row>
    <row r="440" spans="1:4" x14ac:dyDescent="0.25">
      <c r="A440">
        <f t="shared" si="47"/>
        <v>432</v>
      </c>
      <c r="B440" t="str">
        <f t="shared" si="45"/>
        <v>0x1B0</v>
      </c>
      <c r="C440">
        <f t="shared" si="49"/>
        <v>16</v>
      </c>
      <c r="D440" t="str">
        <f t="shared" si="46"/>
        <v>00010</v>
      </c>
    </row>
    <row r="441" spans="1:4" x14ac:dyDescent="0.25">
      <c r="A441">
        <f t="shared" si="47"/>
        <v>433</v>
      </c>
      <c r="B441" t="str">
        <f t="shared" si="45"/>
        <v>0x1B1</v>
      </c>
      <c r="C441">
        <f t="shared" si="49"/>
        <v>17</v>
      </c>
      <c r="D441" t="str">
        <f t="shared" si="46"/>
        <v>00011</v>
      </c>
    </row>
    <row r="442" spans="1:4" x14ac:dyDescent="0.25">
      <c r="A442">
        <f t="shared" si="47"/>
        <v>434</v>
      </c>
      <c r="B442" t="str">
        <f t="shared" si="45"/>
        <v>0x1B2</v>
      </c>
      <c r="C442">
        <f t="shared" si="49"/>
        <v>18</v>
      </c>
      <c r="D442" t="str">
        <f t="shared" si="46"/>
        <v>00012</v>
      </c>
    </row>
    <row r="443" spans="1:4" x14ac:dyDescent="0.25">
      <c r="A443">
        <f t="shared" si="47"/>
        <v>435</v>
      </c>
      <c r="B443" t="str">
        <f t="shared" si="45"/>
        <v>0x1B3</v>
      </c>
      <c r="C443">
        <f t="shared" si="49"/>
        <v>19</v>
      </c>
      <c r="D443" t="str">
        <f t="shared" si="46"/>
        <v>00013</v>
      </c>
    </row>
    <row r="444" spans="1:4" x14ac:dyDescent="0.25">
      <c r="A444">
        <f t="shared" si="47"/>
        <v>436</v>
      </c>
      <c r="B444" t="str">
        <f t="shared" si="45"/>
        <v>0x1B4</v>
      </c>
      <c r="C444">
        <f t="shared" si="49"/>
        <v>20</v>
      </c>
      <c r="D444" t="str">
        <f t="shared" si="46"/>
        <v>00014</v>
      </c>
    </row>
    <row r="445" spans="1:4" x14ac:dyDescent="0.25">
      <c r="A445">
        <f t="shared" si="47"/>
        <v>437</v>
      </c>
      <c r="B445" t="str">
        <f t="shared" si="45"/>
        <v>0x1B5</v>
      </c>
      <c r="C445">
        <f t="shared" si="49"/>
        <v>21</v>
      </c>
      <c r="D445" t="str">
        <f t="shared" si="46"/>
        <v>00015</v>
      </c>
    </row>
    <row r="446" spans="1:4" x14ac:dyDescent="0.25">
      <c r="A446">
        <f t="shared" si="47"/>
        <v>438</v>
      </c>
      <c r="B446" t="str">
        <f t="shared" si="45"/>
        <v>0x1B6</v>
      </c>
      <c r="C446">
        <f t="shared" si="49"/>
        <v>22</v>
      </c>
      <c r="D446" t="str">
        <f t="shared" si="46"/>
        <v>00016</v>
      </c>
    </row>
    <row r="447" spans="1:4" x14ac:dyDescent="0.25">
      <c r="A447">
        <f t="shared" si="47"/>
        <v>439</v>
      </c>
      <c r="B447" t="str">
        <f t="shared" si="45"/>
        <v>0x1B7</v>
      </c>
      <c r="C447">
        <f t="shared" si="49"/>
        <v>23</v>
      </c>
      <c r="D447" t="str">
        <f t="shared" si="46"/>
        <v>00017</v>
      </c>
    </row>
    <row r="448" spans="1:4" x14ac:dyDescent="0.25">
      <c r="A448">
        <f t="shared" si="47"/>
        <v>440</v>
      </c>
      <c r="B448" t="str">
        <f t="shared" si="45"/>
        <v>0x1B8</v>
      </c>
      <c r="C448">
        <f t="shared" si="49"/>
        <v>24</v>
      </c>
      <c r="D448" t="str">
        <f t="shared" si="46"/>
        <v>00018</v>
      </c>
    </row>
    <row r="449" spans="1:4" x14ac:dyDescent="0.25">
      <c r="A449">
        <f t="shared" si="47"/>
        <v>441</v>
      </c>
      <c r="B449" t="str">
        <f t="shared" si="45"/>
        <v>0x1B9</v>
      </c>
      <c r="C449">
        <f t="shared" si="49"/>
        <v>25</v>
      </c>
      <c r="D449" t="str">
        <f t="shared" si="46"/>
        <v>00019</v>
      </c>
    </row>
    <row r="450" spans="1:4" x14ac:dyDescent="0.25">
      <c r="A450">
        <f t="shared" si="47"/>
        <v>442</v>
      </c>
      <c r="B450" t="str">
        <f t="shared" si="45"/>
        <v>0x1BA</v>
      </c>
      <c r="C450">
        <f t="shared" si="49"/>
        <v>26</v>
      </c>
      <c r="D450" t="str">
        <f t="shared" si="46"/>
        <v>0001A</v>
      </c>
    </row>
    <row r="451" spans="1:4" x14ac:dyDescent="0.25">
      <c r="A451">
        <f t="shared" si="47"/>
        <v>443</v>
      </c>
      <c r="B451" t="str">
        <f t="shared" si="45"/>
        <v>0x1BB</v>
      </c>
      <c r="C451">
        <f t="shared" si="49"/>
        <v>27</v>
      </c>
      <c r="D451" t="str">
        <f t="shared" si="46"/>
        <v>0001B</v>
      </c>
    </row>
    <row r="452" spans="1:4" x14ac:dyDescent="0.25">
      <c r="A452">
        <f t="shared" si="47"/>
        <v>444</v>
      </c>
      <c r="B452" t="str">
        <f t="shared" si="45"/>
        <v>0x1BC</v>
      </c>
      <c r="C452">
        <f t="shared" si="49"/>
        <v>28</v>
      </c>
      <c r="D452" t="str">
        <f t="shared" si="46"/>
        <v>0001C</v>
      </c>
    </row>
    <row r="453" spans="1:4" x14ac:dyDescent="0.25">
      <c r="A453">
        <f t="shared" si="47"/>
        <v>445</v>
      </c>
      <c r="B453" t="str">
        <f t="shared" si="45"/>
        <v>0x1BD</v>
      </c>
      <c r="C453">
        <f t="shared" si="49"/>
        <v>29</v>
      </c>
      <c r="D453" t="str">
        <f t="shared" si="46"/>
        <v>0001D</v>
      </c>
    </row>
    <row r="454" spans="1:4" x14ac:dyDescent="0.25">
      <c r="A454">
        <f t="shared" si="47"/>
        <v>446</v>
      </c>
      <c r="B454" t="str">
        <f t="shared" si="45"/>
        <v>0x1BE</v>
      </c>
      <c r="C454">
        <f t="shared" si="49"/>
        <v>30</v>
      </c>
      <c r="D454" t="str">
        <f t="shared" si="46"/>
        <v>0001E</v>
      </c>
    </row>
    <row r="455" spans="1:4" x14ac:dyDescent="0.25">
      <c r="A455">
        <f t="shared" si="47"/>
        <v>447</v>
      </c>
      <c r="B455" t="str">
        <f t="shared" si="45"/>
        <v>0x1BF</v>
      </c>
      <c r="C455">
        <f t="shared" si="49"/>
        <v>31</v>
      </c>
      <c r="D455" t="str">
        <f t="shared" si="46"/>
        <v>0001F</v>
      </c>
    </row>
    <row r="456" spans="1:4" x14ac:dyDescent="0.25">
      <c r="A456">
        <f t="shared" si="47"/>
        <v>448</v>
      </c>
      <c r="B456" t="str">
        <f t="shared" si="45"/>
        <v>0x1C0</v>
      </c>
      <c r="C456">
        <v>0</v>
      </c>
      <c r="D456" t="str">
        <f t="shared" si="46"/>
        <v>00000</v>
      </c>
    </row>
    <row r="457" spans="1:4" x14ac:dyDescent="0.25">
      <c r="A457">
        <f t="shared" si="47"/>
        <v>449</v>
      </c>
      <c r="B457" t="str">
        <f t="shared" ref="B457:B520" si="50">CONCATENATE("0x",DEC2HEX(A457,3))</f>
        <v>0x1C1</v>
      </c>
      <c r="C457">
        <f>C456+1</f>
        <v>1</v>
      </c>
      <c r="D457" t="str">
        <f t="shared" ref="D457:D520" si="51">DEC2HEX(C457,5)</f>
        <v>00001</v>
      </c>
    </row>
    <row r="458" spans="1:4" x14ac:dyDescent="0.25">
      <c r="A458">
        <f t="shared" ref="A458:A521" si="52">A457+1</f>
        <v>450</v>
      </c>
      <c r="B458" t="str">
        <f t="shared" si="50"/>
        <v>0x1C2</v>
      </c>
      <c r="C458">
        <f t="shared" ref="C458:C487" si="53">C457+1</f>
        <v>2</v>
      </c>
      <c r="D458" t="str">
        <f t="shared" si="51"/>
        <v>00002</v>
      </c>
    </row>
    <row r="459" spans="1:4" x14ac:dyDescent="0.25">
      <c r="A459">
        <f t="shared" si="52"/>
        <v>451</v>
      </c>
      <c r="B459" t="str">
        <f t="shared" si="50"/>
        <v>0x1C3</v>
      </c>
      <c r="C459">
        <f t="shared" si="53"/>
        <v>3</v>
      </c>
      <c r="D459" t="str">
        <f t="shared" si="51"/>
        <v>00003</v>
      </c>
    </row>
    <row r="460" spans="1:4" x14ac:dyDescent="0.25">
      <c r="A460">
        <f t="shared" si="52"/>
        <v>452</v>
      </c>
      <c r="B460" t="str">
        <f t="shared" si="50"/>
        <v>0x1C4</v>
      </c>
      <c r="C460">
        <f t="shared" si="53"/>
        <v>4</v>
      </c>
      <c r="D460" t="str">
        <f t="shared" si="51"/>
        <v>00004</v>
      </c>
    </row>
    <row r="461" spans="1:4" x14ac:dyDescent="0.25">
      <c r="A461">
        <f t="shared" si="52"/>
        <v>453</v>
      </c>
      <c r="B461" t="str">
        <f t="shared" si="50"/>
        <v>0x1C5</v>
      </c>
      <c r="C461">
        <f t="shared" si="53"/>
        <v>5</v>
      </c>
      <c r="D461" t="str">
        <f t="shared" si="51"/>
        <v>00005</v>
      </c>
    </row>
    <row r="462" spans="1:4" x14ac:dyDescent="0.25">
      <c r="A462">
        <f t="shared" si="52"/>
        <v>454</v>
      </c>
      <c r="B462" t="str">
        <f t="shared" si="50"/>
        <v>0x1C6</v>
      </c>
      <c r="C462">
        <f t="shared" si="53"/>
        <v>6</v>
      </c>
      <c r="D462" t="str">
        <f t="shared" si="51"/>
        <v>00006</v>
      </c>
    </row>
    <row r="463" spans="1:4" x14ac:dyDescent="0.25">
      <c r="A463">
        <f t="shared" si="52"/>
        <v>455</v>
      </c>
      <c r="B463" t="str">
        <f t="shared" si="50"/>
        <v>0x1C7</v>
      </c>
      <c r="C463">
        <f t="shared" si="53"/>
        <v>7</v>
      </c>
      <c r="D463" t="str">
        <f t="shared" si="51"/>
        <v>00007</v>
      </c>
    </row>
    <row r="464" spans="1:4" x14ac:dyDescent="0.25">
      <c r="A464">
        <f t="shared" si="52"/>
        <v>456</v>
      </c>
      <c r="B464" t="str">
        <f t="shared" si="50"/>
        <v>0x1C8</v>
      </c>
      <c r="C464">
        <f t="shared" si="53"/>
        <v>8</v>
      </c>
      <c r="D464" t="str">
        <f t="shared" si="51"/>
        <v>00008</v>
      </c>
    </row>
    <row r="465" spans="1:4" x14ac:dyDescent="0.25">
      <c r="A465">
        <f t="shared" si="52"/>
        <v>457</v>
      </c>
      <c r="B465" t="str">
        <f t="shared" si="50"/>
        <v>0x1C9</v>
      </c>
      <c r="C465">
        <f t="shared" si="53"/>
        <v>9</v>
      </c>
      <c r="D465" t="str">
        <f t="shared" si="51"/>
        <v>00009</v>
      </c>
    </row>
    <row r="466" spans="1:4" x14ac:dyDescent="0.25">
      <c r="A466">
        <f t="shared" si="52"/>
        <v>458</v>
      </c>
      <c r="B466" t="str">
        <f t="shared" si="50"/>
        <v>0x1CA</v>
      </c>
      <c r="C466">
        <f t="shared" si="53"/>
        <v>10</v>
      </c>
      <c r="D466" t="str">
        <f t="shared" si="51"/>
        <v>0000A</v>
      </c>
    </row>
    <row r="467" spans="1:4" x14ac:dyDescent="0.25">
      <c r="A467">
        <f t="shared" si="52"/>
        <v>459</v>
      </c>
      <c r="B467" t="str">
        <f t="shared" si="50"/>
        <v>0x1CB</v>
      </c>
      <c r="C467">
        <f t="shared" si="53"/>
        <v>11</v>
      </c>
      <c r="D467" t="str">
        <f t="shared" si="51"/>
        <v>0000B</v>
      </c>
    </row>
    <row r="468" spans="1:4" x14ac:dyDescent="0.25">
      <c r="A468">
        <f t="shared" si="52"/>
        <v>460</v>
      </c>
      <c r="B468" t="str">
        <f t="shared" si="50"/>
        <v>0x1CC</v>
      </c>
      <c r="C468">
        <f t="shared" si="53"/>
        <v>12</v>
      </c>
      <c r="D468" t="str">
        <f t="shared" si="51"/>
        <v>0000C</v>
      </c>
    </row>
    <row r="469" spans="1:4" x14ac:dyDescent="0.25">
      <c r="A469">
        <f t="shared" si="52"/>
        <v>461</v>
      </c>
      <c r="B469" t="str">
        <f t="shared" si="50"/>
        <v>0x1CD</v>
      </c>
      <c r="C469">
        <f t="shared" si="53"/>
        <v>13</v>
      </c>
      <c r="D469" t="str">
        <f t="shared" si="51"/>
        <v>0000D</v>
      </c>
    </row>
    <row r="470" spans="1:4" x14ac:dyDescent="0.25">
      <c r="A470">
        <f t="shared" si="52"/>
        <v>462</v>
      </c>
      <c r="B470" t="str">
        <f t="shared" si="50"/>
        <v>0x1CE</v>
      </c>
      <c r="C470">
        <f t="shared" si="53"/>
        <v>14</v>
      </c>
      <c r="D470" t="str">
        <f t="shared" si="51"/>
        <v>0000E</v>
      </c>
    </row>
    <row r="471" spans="1:4" x14ac:dyDescent="0.25">
      <c r="A471">
        <f t="shared" si="52"/>
        <v>463</v>
      </c>
      <c r="B471" t="str">
        <f t="shared" si="50"/>
        <v>0x1CF</v>
      </c>
      <c r="C471">
        <f t="shared" si="53"/>
        <v>15</v>
      </c>
      <c r="D471" t="str">
        <f t="shared" si="51"/>
        <v>0000F</v>
      </c>
    </row>
    <row r="472" spans="1:4" x14ac:dyDescent="0.25">
      <c r="A472">
        <f t="shared" si="52"/>
        <v>464</v>
      </c>
      <c r="B472" t="str">
        <f t="shared" si="50"/>
        <v>0x1D0</v>
      </c>
      <c r="C472">
        <f t="shared" si="53"/>
        <v>16</v>
      </c>
      <c r="D472" t="str">
        <f t="shared" si="51"/>
        <v>00010</v>
      </c>
    </row>
    <row r="473" spans="1:4" x14ac:dyDescent="0.25">
      <c r="A473">
        <f t="shared" si="52"/>
        <v>465</v>
      </c>
      <c r="B473" t="str">
        <f t="shared" si="50"/>
        <v>0x1D1</v>
      </c>
      <c r="C473">
        <f t="shared" si="53"/>
        <v>17</v>
      </c>
      <c r="D473" t="str">
        <f t="shared" si="51"/>
        <v>00011</v>
      </c>
    </row>
    <row r="474" spans="1:4" x14ac:dyDescent="0.25">
      <c r="A474">
        <f t="shared" si="52"/>
        <v>466</v>
      </c>
      <c r="B474" t="str">
        <f t="shared" si="50"/>
        <v>0x1D2</v>
      </c>
      <c r="C474">
        <f t="shared" si="53"/>
        <v>18</v>
      </c>
      <c r="D474" t="str">
        <f t="shared" si="51"/>
        <v>00012</v>
      </c>
    </row>
    <row r="475" spans="1:4" x14ac:dyDescent="0.25">
      <c r="A475">
        <f t="shared" si="52"/>
        <v>467</v>
      </c>
      <c r="B475" t="str">
        <f t="shared" si="50"/>
        <v>0x1D3</v>
      </c>
      <c r="C475">
        <f t="shared" si="53"/>
        <v>19</v>
      </c>
      <c r="D475" t="str">
        <f t="shared" si="51"/>
        <v>00013</v>
      </c>
    </row>
    <row r="476" spans="1:4" x14ac:dyDescent="0.25">
      <c r="A476">
        <f t="shared" si="52"/>
        <v>468</v>
      </c>
      <c r="B476" t="str">
        <f t="shared" si="50"/>
        <v>0x1D4</v>
      </c>
      <c r="C476">
        <f t="shared" si="53"/>
        <v>20</v>
      </c>
      <c r="D476" t="str">
        <f t="shared" si="51"/>
        <v>00014</v>
      </c>
    </row>
    <row r="477" spans="1:4" x14ac:dyDescent="0.25">
      <c r="A477">
        <f t="shared" si="52"/>
        <v>469</v>
      </c>
      <c r="B477" t="str">
        <f t="shared" si="50"/>
        <v>0x1D5</v>
      </c>
      <c r="C477">
        <f t="shared" si="53"/>
        <v>21</v>
      </c>
      <c r="D477" t="str">
        <f t="shared" si="51"/>
        <v>00015</v>
      </c>
    </row>
    <row r="478" spans="1:4" x14ac:dyDescent="0.25">
      <c r="A478">
        <f t="shared" si="52"/>
        <v>470</v>
      </c>
      <c r="B478" t="str">
        <f t="shared" si="50"/>
        <v>0x1D6</v>
      </c>
      <c r="C478">
        <f t="shared" si="53"/>
        <v>22</v>
      </c>
      <c r="D478" t="str">
        <f t="shared" si="51"/>
        <v>00016</v>
      </c>
    </row>
    <row r="479" spans="1:4" x14ac:dyDescent="0.25">
      <c r="A479">
        <f t="shared" si="52"/>
        <v>471</v>
      </c>
      <c r="B479" t="str">
        <f t="shared" si="50"/>
        <v>0x1D7</v>
      </c>
      <c r="C479">
        <f t="shared" si="53"/>
        <v>23</v>
      </c>
      <c r="D479" t="str">
        <f t="shared" si="51"/>
        <v>00017</v>
      </c>
    </row>
    <row r="480" spans="1:4" x14ac:dyDescent="0.25">
      <c r="A480">
        <f t="shared" si="52"/>
        <v>472</v>
      </c>
      <c r="B480" t="str">
        <f t="shared" si="50"/>
        <v>0x1D8</v>
      </c>
      <c r="C480">
        <f t="shared" si="53"/>
        <v>24</v>
      </c>
      <c r="D480" t="str">
        <f t="shared" si="51"/>
        <v>00018</v>
      </c>
    </row>
    <row r="481" spans="1:4" x14ac:dyDescent="0.25">
      <c r="A481">
        <f t="shared" si="52"/>
        <v>473</v>
      </c>
      <c r="B481" t="str">
        <f t="shared" si="50"/>
        <v>0x1D9</v>
      </c>
      <c r="C481">
        <f t="shared" si="53"/>
        <v>25</v>
      </c>
      <c r="D481" t="str">
        <f t="shared" si="51"/>
        <v>00019</v>
      </c>
    </row>
    <row r="482" spans="1:4" x14ac:dyDescent="0.25">
      <c r="A482">
        <f t="shared" si="52"/>
        <v>474</v>
      </c>
      <c r="B482" t="str">
        <f t="shared" si="50"/>
        <v>0x1DA</v>
      </c>
      <c r="C482">
        <f t="shared" si="53"/>
        <v>26</v>
      </c>
      <c r="D482" t="str">
        <f t="shared" si="51"/>
        <v>0001A</v>
      </c>
    </row>
    <row r="483" spans="1:4" x14ac:dyDescent="0.25">
      <c r="A483">
        <f t="shared" si="52"/>
        <v>475</v>
      </c>
      <c r="B483" t="str">
        <f t="shared" si="50"/>
        <v>0x1DB</v>
      </c>
      <c r="C483">
        <f t="shared" si="53"/>
        <v>27</v>
      </c>
      <c r="D483" t="str">
        <f t="shared" si="51"/>
        <v>0001B</v>
      </c>
    </row>
    <row r="484" spans="1:4" x14ac:dyDescent="0.25">
      <c r="A484">
        <f t="shared" si="52"/>
        <v>476</v>
      </c>
      <c r="B484" t="str">
        <f t="shared" si="50"/>
        <v>0x1DC</v>
      </c>
      <c r="C484">
        <f t="shared" si="53"/>
        <v>28</v>
      </c>
      <c r="D484" t="str">
        <f t="shared" si="51"/>
        <v>0001C</v>
      </c>
    </row>
    <row r="485" spans="1:4" x14ac:dyDescent="0.25">
      <c r="A485">
        <f t="shared" si="52"/>
        <v>477</v>
      </c>
      <c r="B485" t="str">
        <f t="shared" si="50"/>
        <v>0x1DD</v>
      </c>
      <c r="C485">
        <f t="shared" si="53"/>
        <v>29</v>
      </c>
      <c r="D485" t="str">
        <f t="shared" si="51"/>
        <v>0001D</v>
      </c>
    </row>
    <row r="486" spans="1:4" x14ac:dyDescent="0.25">
      <c r="A486">
        <f t="shared" si="52"/>
        <v>478</v>
      </c>
      <c r="B486" t="str">
        <f t="shared" si="50"/>
        <v>0x1DE</v>
      </c>
      <c r="C486">
        <f t="shared" si="53"/>
        <v>30</v>
      </c>
      <c r="D486" t="str">
        <f t="shared" si="51"/>
        <v>0001E</v>
      </c>
    </row>
    <row r="487" spans="1:4" x14ac:dyDescent="0.25">
      <c r="A487">
        <f t="shared" si="52"/>
        <v>479</v>
      </c>
      <c r="B487" t="str">
        <f t="shared" si="50"/>
        <v>0x1DF</v>
      </c>
      <c r="C487">
        <f t="shared" si="53"/>
        <v>31</v>
      </c>
      <c r="D487" t="str">
        <f t="shared" si="51"/>
        <v>0001F</v>
      </c>
    </row>
    <row r="488" spans="1:4" x14ac:dyDescent="0.25">
      <c r="A488">
        <f t="shared" si="52"/>
        <v>480</v>
      </c>
      <c r="B488" t="str">
        <f t="shared" si="50"/>
        <v>0x1E0</v>
      </c>
      <c r="C488">
        <v>0</v>
      </c>
      <c r="D488" t="str">
        <f t="shared" si="51"/>
        <v>00000</v>
      </c>
    </row>
    <row r="489" spans="1:4" x14ac:dyDescent="0.25">
      <c r="A489">
        <f t="shared" si="52"/>
        <v>481</v>
      </c>
      <c r="B489" t="str">
        <f t="shared" si="50"/>
        <v>0x1E1</v>
      </c>
      <c r="C489">
        <f>C488+1</f>
        <v>1</v>
      </c>
      <c r="D489" t="str">
        <f t="shared" si="51"/>
        <v>00001</v>
      </c>
    </row>
    <row r="490" spans="1:4" x14ac:dyDescent="0.25">
      <c r="A490">
        <f t="shared" si="52"/>
        <v>482</v>
      </c>
      <c r="B490" t="str">
        <f t="shared" si="50"/>
        <v>0x1E2</v>
      </c>
      <c r="C490">
        <f t="shared" ref="C490:C519" si="54">C489+1</f>
        <v>2</v>
      </c>
      <c r="D490" t="str">
        <f t="shared" si="51"/>
        <v>00002</v>
      </c>
    </row>
    <row r="491" spans="1:4" x14ac:dyDescent="0.25">
      <c r="A491">
        <f t="shared" si="52"/>
        <v>483</v>
      </c>
      <c r="B491" t="str">
        <f t="shared" si="50"/>
        <v>0x1E3</v>
      </c>
      <c r="C491">
        <f t="shared" si="54"/>
        <v>3</v>
      </c>
      <c r="D491" t="str">
        <f t="shared" si="51"/>
        <v>00003</v>
      </c>
    </row>
    <row r="492" spans="1:4" x14ac:dyDescent="0.25">
      <c r="A492">
        <f t="shared" si="52"/>
        <v>484</v>
      </c>
      <c r="B492" t="str">
        <f t="shared" si="50"/>
        <v>0x1E4</v>
      </c>
      <c r="C492">
        <f t="shared" si="54"/>
        <v>4</v>
      </c>
      <c r="D492" t="str">
        <f t="shared" si="51"/>
        <v>00004</v>
      </c>
    </row>
    <row r="493" spans="1:4" x14ac:dyDescent="0.25">
      <c r="A493">
        <f t="shared" si="52"/>
        <v>485</v>
      </c>
      <c r="B493" t="str">
        <f t="shared" si="50"/>
        <v>0x1E5</v>
      </c>
      <c r="C493">
        <f t="shared" si="54"/>
        <v>5</v>
      </c>
      <c r="D493" t="str">
        <f t="shared" si="51"/>
        <v>00005</v>
      </c>
    </row>
    <row r="494" spans="1:4" x14ac:dyDescent="0.25">
      <c r="A494">
        <f t="shared" si="52"/>
        <v>486</v>
      </c>
      <c r="B494" t="str">
        <f t="shared" si="50"/>
        <v>0x1E6</v>
      </c>
      <c r="C494">
        <f t="shared" si="54"/>
        <v>6</v>
      </c>
      <c r="D494" t="str">
        <f t="shared" si="51"/>
        <v>00006</v>
      </c>
    </row>
    <row r="495" spans="1:4" x14ac:dyDescent="0.25">
      <c r="A495">
        <f t="shared" si="52"/>
        <v>487</v>
      </c>
      <c r="B495" t="str">
        <f t="shared" si="50"/>
        <v>0x1E7</v>
      </c>
      <c r="C495">
        <f t="shared" si="54"/>
        <v>7</v>
      </c>
      <c r="D495" t="str">
        <f t="shared" si="51"/>
        <v>00007</v>
      </c>
    </row>
    <row r="496" spans="1:4" x14ac:dyDescent="0.25">
      <c r="A496">
        <f t="shared" si="52"/>
        <v>488</v>
      </c>
      <c r="B496" t="str">
        <f t="shared" si="50"/>
        <v>0x1E8</v>
      </c>
      <c r="C496">
        <f t="shared" si="54"/>
        <v>8</v>
      </c>
      <c r="D496" t="str">
        <f t="shared" si="51"/>
        <v>00008</v>
      </c>
    </row>
    <row r="497" spans="1:4" x14ac:dyDescent="0.25">
      <c r="A497">
        <f t="shared" si="52"/>
        <v>489</v>
      </c>
      <c r="B497" t="str">
        <f t="shared" si="50"/>
        <v>0x1E9</v>
      </c>
      <c r="C497">
        <f t="shared" si="54"/>
        <v>9</v>
      </c>
      <c r="D497" t="str">
        <f t="shared" si="51"/>
        <v>00009</v>
      </c>
    </row>
    <row r="498" spans="1:4" x14ac:dyDescent="0.25">
      <c r="A498">
        <f t="shared" si="52"/>
        <v>490</v>
      </c>
      <c r="B498" t="str">
        <f t="shared" si="50"/>
        <v>0x1EA</v>
      </c>
      <c r="C498">
        <f t="shared" si="54"/>
        <v>10</v>
      </c>
      <c r="D498" t="str">
        <f t="shared" si="51"/>
        <v>0000A</v>
      </c>
    </row>
    <row r="499" spans="1:4" x14ac:dyDescent="0.25">
      <c r="A499">
        <f t="shared" si="52"/>
        <v>491</v>
      </c>
      <c r="B499" t="str">
        <f t="shared" si="50"/>
        <v>0x1EB</v>
      </c>
      <c r="C499">
        <f t="shared" si="54"/>
        <v>11</v>
      </c>
      <c r="D499" t="str">
        <f t="shared" si="51"/>
        <v>0000B</v>
      </c>
    </row>
    <row r="500" spans="1:4" x14ac:dyDescent="0.25">
      <c r="A500">
        <f t="shared" si="52"/>
        <v>492</v>
      </c>
      <c r="B500" t="str">
        <f t="shared" si="50"/>
        <v>0x1EC</v>
      </c>
      <c r="C500">
        <f t="shared" si="54"/>
        <v>12</v>
      </c>
      <c r="D500" t="str">
        <f t="shared" si="51"/>
        <v>0000C</v>
      </c>
    </row>
    <row r="501" spans="1:4" x14ac:dyDescent="0.25">
      <c r="A501">
        <f t="shared" si="52"/>
        <v>493</v>
      </c>
      <c r="B501" t="str">
        <f t="shared" si="50"/>
        <v>0x1ED</v>
      </c>
      <c r="C501">
        <f t="shared" si="54"/>
        <v>13</v>
      </c>
      <c r="D501" t="str">
        <f t="shared" si="51"/>
        <v>0000D</v>
      </c>
    </row>
    <row r="502" spans="1:4" x14ac:dyDescent="0.25">
      <c r="A502">
        <f t="shared" si="52"/>
        <v>494</v>
      </c>
      <c r="B502" t="str">
        <f t="shared" si="50"/>
        <v>0x1EE</v>
      </c>
      <c r="C502">
        <f t="shared" si="54"/>
        <v>14</v>
      </c>
      <c r="D502" t="str">
        <f t="shared" si="51"/>
        <v>0000E</v>
      </c>
    </row>
    <row r="503" spans="1:4" x14ac:dyDescent="0.25">
      <c r="A503">
        <f t="shared" si="52"/>
        <v>495</v>
      </c>
      <c r="B503" t="str">
        <f t="shared" si="50"/>
        <v>0x1EF</v>
      </c>
      <c r="C503">
        <f t="shared" si="54"/>
        <v>15</v>
      </c>
      <c r="D503" t="str">
        <f t="shared" si="51"/>
        <v>0000F</v>
      </c>
    </row>
    <row r="504" spans="1:4" x14ac:dyDescent="0.25">
      <c r="A504">
        <f t="shared" si="52"/>
        <v>496</v>
      </c>
      <c r="B504" t="str">
        <f t="shared" si="50"/>
        <v>0x1F0</v>
      </c>
      <c r="C504">
        <f t="shared" si="54"/>
        <v>16</v>
      </c>
      <c r="D504" t="str">
        <f t="shared" si="51"/>
        <v>00010</v>
      </c>
    </row>
    <row r="505" spans="1:4" x14ac:dyDescent="0.25">
      <c r="A505">
        <f t="shared" si="52"/>
        <v>497</v>
      </c>
      <c r="B505" t="str">
        <f t="shared" si="50"/>
        <v>0x1F1</v>
      </c>
      <c r="C505">
        <f t="shared" si="54"/>
        <v>17</v>
      </c>
      <c r="D505" t="str">
        <f t="shared" si="51"/>
        <v>00011</v>
      </c>
    </row>
    <row r="506" spans="1:4" x14ac:dyDescent="0.25">
      <c r="A506">
        <f t="shared" si="52"/>
        <v>498</v>
      </c>
      <c r="B506" t="str">
        <f t="shared" si="50"/>
        <v>0x1F2</v>
      </c>
      <c r="C506">
        <f t="shared" si="54"/>
        <v>18</v>
      </c>
      <c r="D506" t="str">
        <f t="shared" si="51"/>
        <v>00012</v>
      </c>
    </row>
    <row r="507" spans="1:4" x14ac:dyDescent="0.25">
      <c r="A507">
        <f t="shared" si="52"/>
        <v>499</v>
      </c>
      <c r="B507" t="str">
        <f t="shared" si="50"/>
        <v>0x1F3</v>
      </c>
      <c r="C507">
        <f t="shared" si="54"/>
        <v>19</v>
      </c>
      <c r="D507" t="str">
        <f t="shared" si="51"/>
        <v>00013</v>
      </c>
    </row>
    <row r="508" spans="1:4" x14ac:dyDescent="0.25">
      <c r="A508">
        <f t="shared" si="52"/>
        <v>500</v>
      </c>
      <c r="B508" t="str">
        <f t="shared" si="50"/>
        <v>0x1F4</v>
      </c>
      <c r="C508">
        <f t="shared" si="54"/>
        <v>20</v>
      </c>
      <c r="D508" t="str">
        <f t="shared" si="51"/>
        <v>00014</v>
      </c>
    </row>
    <row r="509" spans="1:4" x14ac:dyDescent="0.25">
      <c r="A509">
        <f t="shared" si="52"/>
        <v>501</v>
      </c>
      <c r="B509" t="str">
        <f t="shared" si="50"/>
        <v>0x1F5</v>
      </c>
      <c r="C509">
        <f t="shared" si="54"/>
        <v>21</v>
      </c>
      <c r="D509" t="str">
        <f t="shared" si="51"/>
        <v>00015</v>
      </c>
    </row>
    <row r="510" spans="1:4" x14ac:dyDescent="0.25">
      <c r="A510">
        <f t="shared" si="52"/>
        <v>502</v>
      </c>
      <c r="B510" t="str">
        <f t="shared" si="50"/>
        <v>0x1F6</v>
      </c>
      <c r="C510">
        <f t="shared" si="54"/>
        <v>22</v>
      </c>
      <c r="D510" t="str">
        <f t="shared" si="51"/>
        <v>00016</v>
      </c>
    </row>
    <row r="511" spans="1:4" x14ac:dyDescent="0.25">
      <c r="A511">
        <f t="shared" si="52"/>
        <v>503</v>
      </c>
      <c r="B511" t="str">
        <f t="shared" si="50"/>
        <v>0x1F7</v>
      </c>
      <c r="C511">
        <f t="shared" si="54"/>
        <v>23</v>
      </c>
      <c r="D511" t="str">
        <f t="shared" si="51"/>
        <v>00017</v>
      </c>
    </row>
    <row r="512" spans="1:4" x14ac:dyDescent="0.25">
      <c r="A512">
        <f t="shared" si="52"/>
        <v>504</v>
      </c>
      <c r="B512" t="str">
        <f t="shared" si="50"/>
        <v>0x1F8</v>
      </c>
      <c r="C512">
        <f t="shared" si="54"/>
        <v>24</v>
      </c>
      <c r="D512" t="str">
        <f t="shared" si="51"/>
        <v>00018</v>
      </c>
    </row>
    <row r="513" spans="1:4" x14ac:dyDescent="0.25">
      <c r="A513">
        <f t="shared" si="52"/>
        <v>505</v>
      </c>
      <c r="B513" t="str">
        <f t="shared" si="50"/>
        <v>0x1F9</v>
      </c>
      <c r="C513">
        <f t="shared" si="54"/>
        <v>25</v>
      </c>
      <c r="D513" t="str">
        <f t="shared" si="51"/>
        <v>00019</v>
      </c>
    </row>
    <row r="514" spans="1:4" x14ac:dyDescent="0.25">
      <c r="A514">
        <f t="shared" si="52"/>
        <v>506</v>
      </c>
      <c r="B514" t="str">
        <f t="shared" si="50"/>
        <v>0x1FA</v>
      </c>
      <c r="C514">
        <f t="shared" si="54"/>
        <v>26</v>
      </c>
      <c r="D514" t="str">
        <f t="shared" si="51"/>
        <v>0001A</v>
      </c>
    </row>
    <row r="515" spans="1:4" x14ac:dyDescent="0.25">
      <c r="A515">
        <f t="shared" si="52"/>
        <v>507</v>
      </c>
      <c r="B515" t="str">
        <f t="shared" si="50"/>
        <v>0x1FB</v>
      </c>
      <c r="C515">
        <f t="shared" si="54"/>
        <v>27</v>
      </c>
      <c r="D515" t="str">
        <f t="shared" si="51"/>
        <v>0001B</v>
      </c>
    </row>
    <row r="516" spans="1:4" x14ac:dyDescent="0.25">
      <c r="A516">
        <f t="shared" si="52"/>
        <v>508</v>
      </c>
      <c r="B516" t="str">
        <f t="shared" si="50"/>
        <v>0x1FC</v>
      </c>
      <c r="C516">
        <f t="shared" si="54"/>
        <v>28</v>
      </c>
      <c r="D516" t="str">
        <f t="shared" si="51"/>
        <v>0001C</v>
      </c>
    </row>
    <row r="517" spans="1:4" x14ac:dyDescent="0.25">
      <c r="A517">
        <f t="shared" si="52"/>
        <v>509</v>
      </c>
      <c r="B517" t="str">
        <f t="shared" si="50"/>
        <v>0x1FD</v>
      </c>
      <c r="C517">
        <f t="shared" si="54"/>
        <v>29</v>
      </c>
      <c r="D517" t="str">
        <f t="shared" si="51"/>
        <v>0001D</v>
      </c>
    </row>
    <row r="518" spans="1:4" x14ac:dyDescent="0.25">
      <c r="A518">
        <f t="shared" si="52"/>
        <v>510</v>
      </c>
      <c r="B518" t="str">
        <f t="shared" si="50"/>
        <v>0x1FE</v>
      </c>
      <c r="C518">
        <f t="shared" si="54"/>
        <v>30</v>
      </c>
      <c r="D518" t="str">
        <f t="shared" si="51"/>
        <v>0001E</v>
      </c>
    </row>
    <row r="519" spans="1:4" x14ac:dyDescent="0.25">
      <c r="A519">
        <f t="shared" si="52"/>
        <v>511</v>
      </c>
      <c r="B519" t="str">
        <f t="shared" si="50"/>
        <v>0x1FF</v>
      </c>
      <c r="C519">
        <f t="shared" si="54"/>
        <v>31</v>
      </c>
      <c r="D519" t="str">
        <f t="shared" si="51"/>
        <v>0001F</v>
      </c>
    </row>
    <row r="520" spans="1:4" x14ac:dyDescent="0.25">
      <c r="A520">
        <f t="shared" si="52"/>
        <v>512</v>
      </c>
      <c r="B520" t="str">
        <f t="shared" si="50"/>
        <v>0x200</v>
      </c>
      <c r="C520">
        <v>0</v>
      </c>
      <c r="D520" t="str">
        <f t="shared" si="51"/>
        <v>00000</v>
      </c>
    </row>
    <row r="521" spans="1:4" x14ac:dyDescent="0.25">
      <c r="A521">
        <f t="shared" si="52"/>
        <v>513</v>
      </c>
      <c r="B521" t="str">
        <f t="shared" ref="B521:B584" si="55">CONCATENATE("0x",DEC2HEX(A521,3))</f>
        <v>0x201</v>
      </c>
      <c r="C521">
        <f>C520+1</f>
        <v>1</v>
      </c>
      <c r="D521" t="str">
        <f t="shared" ref="D521:D584" si="56">DEC2HEX(C521,5)</f>
        <v>00001</v>
      </c>
    </row>
    <row r="522" spans="1:4" x14ac:dyDescent="0.25">
      <c r="A522">
        <f t="shared" ref="A522:A585" si="57">A521+1</f>
        <v>514</v>
      </c>
      <c r="B522" t="str">
        <f t="shared" si="55"/>
        <v>0x202</v>
      </c>
      <c r="C522">
        <f t="shared" ref="C522:C551" si="58">C521+1</f>
        <v>2</v>
      </c>
      <c r="D522" t="str">
        <f t="shared" si="56"/>
        <v>00002</v>
      </c>
    </row>
    <row r="523" spans="1:4" x14ac:dyDescent="0.25">
      <c r="A523">
        <f t="shared" si="57"/>
        <v>515</v>
      </c>
      <c r="B523" t="str">
        <f t="shared" si="55"/>
        <v>0x203</v>
      </c>
      <c r="C523">
        <f t="shared" si="58"/>
        <v>3</v>
      </c>
      <c r="D523" t="str">
        <f t="shared" si="56"/>
        <v>00003</v>
      </c>
    </row>
    <row r="524" spans="1:4" x14ac:dyDescent="0.25">
      <c r="A524">
        <f t="shared" si="57"/>
        <v>516</v>
      </c>
      <c r="B524" t="str">
        <f t="shared" si="55"/>
        <v>0x204</v>
      </c>
      <c r="C524">
        <f t="shared" si="58"/>
        <v>4</v>
      </c>
      <c r="D524" t="str">
        <f t="shared" si="56"/>
        <v>00004</v>
      </c>
    </row>
    <row r="525" spans="1:4" x14ac:dyDescent="0.25">
      <c r="A525">
        <f t="shared" si="57"/>
        <v>517</v>
      </c>
      <c r="B525" t="str">
        <f t="shared" si="55"/>
        <v>0x205</v>
      </c>
      <c r="C525">
        <f t="shared" si="58"/>
        <v>5</v>
      </c>
      <c r="D525" t="str">
        <f t="shared" si="56"/>
        <v>00005</v>
      </c>
    </row>
    <row r="526" spans="1:4" x14ac:dyDescent="0.25">
      <c r="A526">
        <f t="shared" si="57"/>
        <v>518</v>
      </c>
      <c r="B526" t="str">
        <f t="shared" si="55"/>
        <v>0x206</v>
      </c>
      <c r="C526">
        <f t="shared" si="58"/>
        <v>6</v>
      </c>
      <c r="D526" t="str">
        <f t="shared" si="56"/>
        <v>00006</v>
      </c>
    </row>
    <row r="527" spans="1:4" x14ac:dyDescent="0.25">
      <c r="A527">
        <f t="shared" si="57"/>
        <v>519</v>
      </c>
      <c r="B527" t="str">
        <f t="shared" si="55"/>
        <v>0x207</v>
      </c>
      <c r="C527">
        <f t="shared" si="58"/>
        <v>7</v>
      </c>
      <c r="D527" t="str">
        <f t="shared" si="56"/>
        <v>00007</v>
      </c>
    </row>
    <row r="528" spans="1:4" x14ac:dyDescent="0.25">
      <c r="A528">
        <f t="shared" si="57"/>
        <v>520</v>
      </c>
      <c r="B528" t="str">
        <f t="shared" si="55"/>
        <v>0x208</v>
      </c>
      <c r="C528">
        <f t="shared" si="58"/>
        <v>8</v>
      </c>
      <c r="D528" t="str">
        <f t="shared" si="56"/>
        <v>00008</v>
      </c>
    </row>
    <row r="529" spans="1:4" x14ac:dyDescent="0.25">
      <c r="A529">
        <f t="shared" si="57"/>
        <v>521</v>
      </c>
      <c r="B529" t="str">
        <f t="shared" si="55"/>
        <v>0x209</v>
      </c>
      <c r="C529">
        <f t="shared" si="58"/>
        <v>9</v>
      </c>
      <c r="D529" t="str">
        <f t="shared" si="56"/>
        <v>00009</v>
      </c>
    </row>
    <row r="530" spans="1:4" x14ac:dyDescent="0.25">
      <c r="A530">
        <f t="shared" si="57"/>
        <v>522</v>
      </c>
      <c r="B530" t="str">
        <f t="shared" si="55"/>
        <v>0x20A</v>
      </c>
      <c r="C530">
        <f t="shared" si="58"/>
        <v>10</v>
      </c>
      <c r="D530" t="str">
        <f t="shared" si="56"/>
        <v>0000A</v>
      </c>
    </row>
    <row r="531" spans="1:4" x14ac:dyDescent="0.25">
      <c r="A531">
        <f t="shared" si="57"/>
        <v>523</v>
      </c>
      <c r="B531" t="str">
        <f t="shared" si="55"/>
        <v>0x20B</v>
      </c>
      <c r="C531">
        <f t="shared" si="58"/>
        <v>11</v>
      </c>
      <c r="D531" t="str">
        <f t="shared" si="56"/>
        <v>0000B</v>
      </c>
    </row>
    <row r="532" spans="1:4" x14ac:dyDescent="0.25">
      <c r="A532">
        <f t="shared" si="57"/>
        <v>524</v>
      </c>
      <c r="B532" t="str">
        <f t="shared" si="55"/>
        <v>0x20C</v>
      </c>
      <c r="C532">
        <f t="shared" si="58"/>
        <v>12</v>
      </c>
      <c r="D532" t="str">
        <f t="shared" si="56"/>
        <v>0000C</v>
      </c>
    </row>
    <row r="533" spans="1:4" x14ac:dyDescent="0.25">
      <c r="A533">
        <f t="shared" si="57"/>
        <v>525</v>
      </c>
      <c r="B533" t="str">
        <f t="shared" si="55"/>
        <v>0x20D</v>
      </c>
      <c r="C533">
        <f t="shared" si="58"/>
        <v>13</v>
      </c>
      <c r="D533" t="str">
        <f t="shared" si="56"/>
        <v>0000D</v>
      </c>
    </row>
    <row r="534" spans="1:4" x14ac:dyDescent="0.25">
      <c r="A534">
        <f t="shared" si="57"/>
        <v>526</v>
      </c>
      <c r="B534" t="str">
        <f t="shared" si="55"/>
        <v>0x20E</v>
      </c>
      <c r="C534">
        <f t="shared" si="58"/>
        <v>14</v>
      </c>
      <c r="D534" t="str">
        <f t="shared" si="56"/>
        <v>0000E</v>
      </c>
    </row>
    <row r="535" spans="1:4" x14ac:dyDescent="0.25">
      <c r="A535">
        <f t="shared" si="57"/>
        <v>527</v>
      </c>
      <c r="B535" t="str">
        <f t="shared" si="55"/>
        <v>0x20F</v>
      </c>
      <c r="C535">
        <f t="shared" si="58"/>
        <v>15</v>
      </c>
      <c r="D535" t="str">
        <f t="shared" si="56"/>
        <v>0000F</v>
      </c>
    </row>
    <row r="536" spans="1:4" x14ac:dyDescent="0.25">
      <c r="A536">
        <f t="shared" si="57"/>
        <v>528</v>
      </c>
      <c r="B536" t="str">
        <f t="shared" si="55"/>
        <v>0x210</v>
      </c>
      <c r="C536">
        <f t="shared" si="58"/>
        <v>16</v>
      </c>
      <c r="D536" t="str">
        <f t="shared" si="56"/>
        <v>00010</v>
      </c>
    </row>
    <row r="537" spans="1:4" x14ac:dyDescent="0.25">
      <c r="A537">
        <f t="shared" si="57"/>
        <v>529</v>
      </c>
      <c r="B537" t="str">
        <f t="shared" si="55"/>
        <v>0x211</v>
      </c>
      <c r="C537">
        <f t="shared" si="58"/>
        <v>17</v>
      </c>
      <c r="D537" t="str">
        <f t="shared" si="56"/>
        <v>00011</v>
      </c>
    </row>
    <row r="538" spans="1:4" x14ac:dyDescent="0.25">
      <c r="A538">
        <f t="shared" si="57"/>
        <v>530</v>
      </c>
      <c r="B538" t="str">
        <f t="shared" si="55"/>
        <v>0x212</v>
      </c>
      <c r="C538">
        <f t="shared" si="58"/>
        <v>18</v>
      </c>
      <c r="D538" t="str">
        <f t="shared" si="56"/>
        <v>00012</v>
      </c>
    </row>
    <row r="539" spans="1:4" x14ac:dyDescent="0.25">
      <c r="A539">
        <f t="shared" si="57"/>
        <v>531</v>
      </c>
      <c r="B539" t="str">
        <f t="shared" si="55"/>
        <v>0x213</v>
      </c>
      <c r="C539">
        <f t="shared" si="58"/>
        <v>19</v>
      </c>
      <c r="D539" t="str">
        <f t="shared" si="56"/>
        <v>00013</v>
      </c>
    </row>
    <row r="540" spans="1:4" x14ac:dyDescent="0.25">
      <c r="A540">
        <f t="shared" si="57"/>
        <v>532</v>
      </c>
      <c r="B540" t="str">
        <f t="shared" si="55"/>
        <v>0x214</v>
      </c>
      <c r="C540">
        <f t="shared" si="58"/>
        <v>20</v>
      </c>
      <c r="D540" t="str">
        <f t="shared" si="56"/>
        <v>00014</v>
      </c>
    </row>
    <row r="541" spans="1:4" x14ac:dyDescent="0.25">
      <c r="A541">
        <f t="shared" si="57"/>
        <v>533</v>
      </c>
      <c r="B541" t="str">
        <f t="shared" si="55"/>
        <v>0x215</v>
      </c>
      <c r="C541">
        <f t="shared" si="58"/>
        <v>21</v>
      </c>
      <c r="D541" t="str">
        <f t="shared" si="56"/>
        <v>00015</v>
      </c>
    </row>
    <row r="542" spans="1:4" x14ac:dyDescent="0.25">
      <c r="A542">
        <f t="shared" si="57"/>
        <v>534</v>
      </c>
      <c r="B542" t="str">
        <f t="shared" si="55"/>
        <v>0x216</v>
      </c>
      <c r="C542">
        <f t="shared" si="58"/>
        <v>22</v>
      </c>
      <c r="D542" t="str">
        <f t="shared" si="56"/>
        <v>00016</v>
      </c>
    </row>
    <row r="543" spans="1:4" x14ac:dyDescent="0.25">
      <c r="A543">
        <f t="shared" si="57"/>
        <v>535</v>
      </c>
      <c r="B543" t="str">
        <f t="shared" si="55"/>
        <v>0x217</v>
      </c>
      <c r="C543">
        <f t="shared" si="58"/>
        <v>23</v>
      </c>
      <c r="D543" t="str">
        <f t="shared" si="56"/>
        <v>00017</v>
      </c>
    </row>
    <row r="544" spans="1:4" x14ac:dyDescent="0.25">
      <c r="A544">
        <f t="shared" si="57"/>
        <v>536</v>
      </c>
      <c r="B544" t="str">
        <f t="shared" si="55"/>
        <v>0x218</v>
      </c>
      <c r="C544">
        <f t="shared" si="58"/>
        <v>24</v>
      </c>
      <c r="D544" t="str">
        <f t="shared" si="56"/>
        <v>00018</v>
      </c>
    </row>
    <row r="545" spans="1:4" x14ac:dyDescent="0.25">
      <c r="A545">
        <f t="shared" si="57"/>
        <v>537</v>
      </c>
      <c r="B545" t="str">
        <f t="shared" si="55"/>
        <v>0x219</v>
      </c>
      <c r="C545">
        <f t="shared" si="58"/>
        <v>25</v>
      </c>
      <c r="D545" t="str">
        <f t="shared" si="56"/>
        <v>00019</v>
      </c>
    </row>
    <row r="546" spans="1:4" x14ac:dyDescent="0.25">
      <c r="A546">
        <f t="shared" si="57"/>
        <v>538</v>
      </c>
      <c r="B546" t="str">
        <f t="shared" si="55"/>
        <v>0x21A</v>
      </c>
      <c r="C546">
        <f t="shared" si="58"/>
        <v>26</v>
      </c>
      <c r="D546" t="str">
        <f t="shared" si="56"/>
        <v>0001A</v>
      </c>
    </row>
    <row r="547" spans="1:4" x14ac:dyDescent="0.25">
      <c r="A547">
        <f t="shared" si="57"/>
        <v>539</v>
      </c>
      <c r="B547" t="str">
        <f t="shared" si="55"/>
        <v>0x21B</v>
      </c>
      <c r="C547">
        <f t="shared" si="58"/>
        <v>27</v>
      </c>
      <c r="D547" t="str">
        <f t="shared" si="56"/>
        <v>0001B</v>
      </c>
    </row>
    <row r="548" spans="1:4" x14ac:dyDescent="0.25">
      <c r="A548">
        <f t="shared" si="57"/>
        <v>540</v>
      </c>
      <c r="B548" t="str">
        <f t="shared" si="55"/>
        <v>0x21C</v>
      </c>
      <c r="C548">
        <f t="shared" si="58"/>
        <v>28</v>
      </c>
      <c r="D548" t="str">
        <f t="shared" si="56"/>
        <v>0001C</v>
      </c>
    </row>
    <row r="549" spans="1:4" x14ac:dyDescent="0.25">
      <c r="A549">
        <f t="shared" si="57"/>
        <v>541</v>
      </c>
      <c r="B549" t="str">
        <f t="shared" si="55"/>
        <v>0x21D</v>
      </c>
      <c r="C549">
        <f t="shared" si="58"/>
        <v>29</v>
      </c>
      <c r="D549" t="str">
        <f t="shared" si="56"/>
        <v>0001D</v>
      </c>
    </row>
    <row r="550" spans="1:4" x14ac:dyDescent="0.25">
      <c r="A550">
        <f t="shared" si="57"/>
        <v>542</v>
      </c>
      <c r="B550" t="str">
        <f t="shared" si="55"/>
        <v>0x21E</v>
      </c>
      <c r="C550">
        <f t="shared" si="58"/>
        <v>30</v>
      </c>
      <c r="D550" t="str">
        <f t="shared" si="56"/>
        <v>0001E</v>
      </c>
    </row>
    <row r="551" spans="1:4" x14ac:dyDescent="0.25">
      <c r="A551">
        <f t="shared" si="57"/>
        <v>543</v>
      </c>
      <c r="B551" t="str">
        <f t="shared" si="55"/>
        <v>0x21F</v>
      </c>
      <c r="C551">
        <f t="shared" si="58"/>
        <v>31</v>
      </c>
      <c r="D551" t="str">
        <f t="shared" si="56"/>
        <v>0001F</v>
      </c>
    </row>
    <row r="552" spans="1:4" x14ac:dyDescent="0.25">
      <c r="A552">
        <f t="shared" si="57"/>
        <v>544</v>
      </c>
      <c r="B552" t="str">
        <f t="shared" si="55"/>
        <v>0x220</v>
      </c>
      <c r="C552">
        <v>0</v>
      </c>
      <c r="D552" t="str">
        <f t="shared" si="56"/>
        <v>00000</v>
      </c>
    </row>
    <row r="553" spans="1:4" x14ac:dyDescent="0.25">
      <c r="A553">
        <f t="shared" si="57"/>
        <v>545</v>
      </c>
      <c r="B553" t="str">
        <f t="shared" si="55"/>
        <v>0x221</v>
      </c>
      <c r="C553">
        <f>C552+1</f>
        <v>1</v>
      </c>
      <c r="D553" t="str">
        <f t="shared" si="56"/>
        <v>00001</v>
      </c>
    </row>
    <row r="554" spans="1:4" x14ac:dyDescent="0.25">
      <c r="A554">
        <f t="shared" si="57"/>
        <v>546</v>
      </c>
      <c r="B554" t="str">
        <f t="shared" si="55"/>
        <v>0x222</v>
      </c>
      <c r="C554">
        <f t="shared" ref="C554:C583" si="59">C553+1</f>
        <v>2</v>
      </c>
      <c r="D554" t="str">
        <f t="shared" si="56"/>
        <v>00002</v>
      </c>
    </row>
    <row r="555" spans="1:4" x14ac:dyDescent="0.25">
      <c r="A555">
        <f t="shared" si="57"/>
        <v>547</v>
      </c>
      <c r="B555" t="str">
        <f t="shared" si="55"/>
        <v>0x223</v>
      </c>
      <c r="C555">
        <f t="shared" si="59"/>
        <v>3</v>
      </c>
      <c r="D555" t="str">
        <f t="shared" si="56"/>
        <v>00003</v>
      </c>
    </row>
    <row r="556" spans="1:4" x14ac:dyDescent="0.25">
      <c r="A556">
        <f t="shared" si="57"/>
        <v>548</v>
      </c>
      <c r="B556" t="str">
        <f t="shared" si="55"/>
        <v>0x224</v>
      </c>
      <c r="C556">
        <f t="shared" si="59"/>
        <v>4</v>
      </c>
      <c r="D556" t="str">
        <f t="shared" si="56"/>
        <v>00004</v>
      </c>
    </row>
    <row r="557" spans="1:4" x14ac:dyDescent="0.25">
      <c r="A557">
        <f t="shared" si="57"/>
        <v>549</v>
      </c>
      <c r="B557" t="str">
        <f t="shared" si="55"/>
        <v>0x225</v>
      </c>
      <c r="C557">
        <f t="shared" si="59"/>
        <v>5</v>
      </c>
      <c r="D557" t="str">
        <f t="shared" si="56"/>
        <v>00005</v>
      </c>
    </row>
    <row r="558" spans="1:4" x14ac:dyDescent="0.25">
      <c r="A558">
        <f t="shared" si="57"/>
        <v>550</v>
      </c>
      <c r="B558" t="str">
        <f t="shared" si="55"/>
        <v>0x226</v>
      </c>
      <c r="C558">
        <f t="shared" si="59"/>
        <v>6</v>
      </c>
      <c r="D558" t="str">
        <f t="shared" si="56"/>
        <v>00006</v>
      </c>
    </row>
    <row r="559" spans="1:4" x14ac:dyDescent="0.25">
      <c r="A559">
        <f t="shared" si="57"/>
        <v>551</v>
      </c>
      <c r="B559" t="str">
        <f t="shared" si="55"/>
        <v>0x227</v>
      </c>
      <c r="C559">
        <f t="shared" si="59"/>
        <v>7</v>
      </c>
      <c r="D559" t="str">
        <f t="shared" si="56"/>
        <v>00007</v>
      </c>
    </row>
    <row r="560" spans="1:4" x14ac:dyDescent="0.25">
      <c r="A560">
        <f t="shared" si="57"/>
        <v>552</v>
      </c>
      <c r="B560" t="str">
        <f t="shared" si="55"/>
        <v>0x228</v>
      </c>
      <c r="C560">
        <f t="shared" si="59"/>
        <v>8</v>
      </c>
      <c r="D560" t="str">
        <f t="shared" si="56"/>
        <v>00008</v>
      </c>
    </row>
    <row r="561" spans="1:4" x14ac:dyDescent="0.25">
      <c r="A561">
        <f t="shared" si="57"/>
        <v>553</v>
      </c>
      <c r="B561" t="str">
        <f t="shared" si="55"/>
        <v>0x229</v>
      </c>
      <c r="C561">
        <f t="shared" si="59"/>
        <v>9</v>
      </c>
      <c r="D561" t="str">
        <f t="shared" si="56"/>
        <v>00009</v>
      </c>
    </row>
    <row r="562" spans="1:4" x14ac:dyDescent="0.25">
      <c r="A562">
        <f t="shared" si="57"/>
        <v>554</v>
      </c>
      <c r="B562" t="str">
        <f t="shared" si="55"/>
        <v>0x22A</v>
      </c>
      <c r="C562">
        <f t="shared" si="59"/>
        <v>10</v>
      </c>
      <c r="D562" t="str">
        <f t="shared" si="56"/>
        <v>0000A</v>
      </c>
    </row>
    <row r="563" spans="1:4" x14ac:dyDescent="0.25">
      <c r="A563">
        <f t="shared" si="57"/>
        <v>555</v>
      </c>
      <c r="B563" t="str">
        <f t="shared" si="55"/>
        <v>0x22B</v>
      </c>
      <c r="C563">
        <f t="shared" si="59"/>
        <v>11</v>
      </c>
      <c r="D563" t="str">
        <f t="shared" si="56"/>
        <v>0000B</v>
      </c>
    </row>
    <row r="564" spans="1:4" x14ac:dyDescent="0.25">
      <c r="A564">
        <f t="shared" si="57"/>
        <v>556</v>
      </c>
      <c r="B564" t="str">
        <f t="shared" si="55"/>
        <v>0x22C</v>
      </c>
      <c r="C564">
        <f t="shared" si="59"/>
        <v>12</v>
      </c>
      <c r="D564" t="str">
        <f t="shared" si="56"/>
        <v>0000C</v>
      </c>
    </row>
    <row r="565" spans="1:4" x14ac:dyDescent="0.25">
      <c r="A565">
        <f t="shared" si="57"/>
        <v>557</v>
      </c>
      <c r="B565" t="str">
        <f t="shared" si="55"/>
        <v>0x22D</v>
      </c>
      <c r="C565">
        <f t="shared" si="59"/>
        <v>13</v>
      </c>
      <c r="D565" t="str">
        <f t="shared" si="56"/>
        <v>0000D</v>
      </c>
    </row>
    <row r="566" spans="1:4" x14ac:dyDescent="0.25">
      <c r="A566">
        <f t="shared" si="57"/>
        <v>558</v>
      </c>
      <c r="B566" t="str">
        <f t="shared" si="55"/>
        <v>0x22E</v>
      </c>
      <c r="C566">
        <f t="shared" si="59"/>
        <v>14</v>
      </c>
      <c r="D566" t="str">
        <f t="shared" si="56"/>
        <v>0000E</v>
      </c>
    </row>
    <row r="567" spans="1:4" x14ac:dyDescent="0.25">
      <c r="A567">
        <f t="shared" si="57"/>
        <v>559</v>
      </c>
      <c r="B567" t="str">
        <f t="shared" si="55"/>
        <v>0x22F</v>
      </c>
      <c r="C567">
        <f t="shared" si="59"/>
        <v>15</v>
      </c>
      <c r="D567" t="str">
        <f t="shared" si="56"/>
        <v>0000F</v>
      </c>
    </row>
    <row r="568" spans="1:4" x14ac:dyDescent="0.25">
      <c r="A568">
        <f t="shared" si="57"/>
        <v>560</v>
      </c>
      <c r="B568" t="str">
        <f t="shared" si="55"/>
        <v>0x230</v>
      </c>
      <c r="C568">
        <f t="shared" si="59"/>
        <v>16</v>
      </c>
      <c r="D568" t="str">
        <f t="shared" si="56"/>
        <v>00010</v>
      </c>
    </row>
    <row r="569" spans="1:4" x14ac:dyDescent="0.25">
      <c r="A569">
        <f t="shared" si="57"/>
        <v>561</v>
      </c>
      <c r="B569" t="str">
        <f t="shared" si="55"/>
        <v>0x231</v>
      </c>
      <c r="C569">
        <f t="shared" si="59"/>
        <v>17</v>
      </c>
      <c r="D569" t="str">
        <f t="shared" si="56"/>
        <v>00011</v>
      </c>
    </row>
    <row r="570" spans="1:4" x14ac:dyDescent="0.25">
      <c r="A570">
        <f t="shared" si="57"/>
        <v>562</v>
      </c>
      <c r="B570" t="str">
        <f t="shared" si="55"/>
        <v>0x232</v>
      </c>
      <c r="C570">
        <f t="shared" si="59"/>
        <v>18</v>
      </c>
      <c r="D570" t="str">
        <f t="shared" si="56"/>
        <v>00012</v>
      </c>
    </row>
    <row r="571" spans="1:4" x14ac:dyDescent="0.25">
      <c r="A571">
        <f t="shared" si="57"/>
        <v>563</v>
      </c>
      <c r="B571" t="str">
        <f t="shared" si="55"/>
        <v>0x233</v>
      </c>
      <c r="C571">
        <f t="shared" si="59"/>
        <v>19</v>
      </c>
      <c r="D571" t="str">
        <f t="shared" si="56"/>
        <v>00013</v>
      </c>
    </row>
    <row r="572" spans="1:4" x14ac:dyDescent="0.25">
      <c r="A572">
        <f t="shared" si="57"/>
        <v>564</v>
      </c>
      <c r="B572" t="str">
        <f t="shared" si="55"/>
        <v>0x234</v>
      </c>
      <c r="C572">
        <f t="shared" si="59"/>
        <v>20</v>
      </c>
      <c r="D572" t="str">
        <f t="shared" si="56"/>
        <v>00014</v>
      </c>
    </row>
    <row r="573" spans="1:4" x14ac:dyDescent="0.25">
      <c r="A573">
        <f t="shared" si="57"/>
        <v>565</v>
      </c>
      <c r="B573" t="str">
        <f t="shared" si="55"/>
        <v>0x235</v>
      </c>
      <c r="C573">
        <f t="shared" si="59"/>
        <v>21</v>
      </c>
      <c r="D573" t="str">
        <f t="shared" si="56"/>
        <v>00015</v>
      </c>
    </row>
    <row r="574" spans="1:4" x14ac:dyDescent="0.25">
      <c r="A574">
        <f t="shared" si="57"/>
        <v>566</v>
      </c>
      <c r="B574" t="str">
        <f t="shared" si="55"/>
        <v>0x236</v>
      </c>
      <c r="C574">
        <f t="shared" si="59"/>
        <v>22</v>
      </c>
      <c r="D574" t="str">
        <f t="shared" si="56"/>
        <v>00016</v>
      </c>
    </row>
    <row r="575" spans="1:4" x14ac:dyDescent="0.25">
      <c r="A575">
        <f t="shared" si="57"/>
        <v>567</v>
      </c>
      <c r="B575" t="str">
        <f t="shared" si="55"/>
        <v>0x237</v>
      </c>
      <c r="C575">
        <f t="shared" si="59"/>
        <v>23</v>
      </c>
      <c r="D575" t="str">
        <f t="shared" si="56"/>
        <v>00017</v>
      </c>
    </row>
    <row r="576" spans="1:4" x14ac:dyDescent="0.25">
      <c r="A576">
        <f t="shared" si="57"/>
        <v>568</v>
      </c>
      <c r="B576" t="str">
        <f t="shared" si="55"/>
        <v>0x238</v>
      </c>
      <c r="C576">
        <f t="shared" si="59"/>
        <v>24</v>
      </c>
      <c r="D576" t="str">
        <f t="shared" si="56"/>
        <v>00018</v>
      </c>
    </row>
    <row r="577" spans="1:4" x14ac:dyDescent="0.25">
      <c r="A577">
        <f t="shared" si="57"/>
        <v>569</v>
      </c>
      <c r="B577" t="str">
        <f t="shared" si="55"/>
        <v>0x239</v>
      </c>
      <c r="C577">
        <f t="shared" si="59"/>
        <v>25</v>
      </c>
      <c r="D577" t="str">
        <f t="shared" si="56"/>
        <v>00019</v>
      </c>
    </row>
    <row r="578" spans="1:4" x14ac:dyDescent="0.25">
      <c r="A578">
        <f t="shared" si="57"/>
        <v>570</v>
      </c>
      <c r="B578" t="str">
        <f t="shared" si="55"/>
        <v>0x23A</v>
      </c>
      <c r="C578">
        <f t="shared" si="59"/>
        <v>26</v>
      </c>
      <c r="D578" t="str">
        <f t="shared" si="56"/>
        <v>0001A</v>
      </c>
    </row>
    <row r="579" spans="1:4" x14ac:dyDescent="0.25">
      <c r="A579">
        <f t="shared" si="57"/>
        <v>571</v>
      </c>
      <c r="B579" t="str">
        <f t="shared" si="55"/>
        <v>0x23B</v>
      </c>
      <c r="C579">
        <f t="shared" si="59"/>
        <v>27</v>
      </c>
      <c r="D579" t="str">
        <f t="shared" si="56"/>
        <v>0001B</v>
      </c>
    </row>
    <row r="580" spans="1:4" x14ac:dyDescent="0.25">
      <c r="A580">
        <f t="shared" si="57"/>
        <v>572</v>
      </c>
      <c r="B580" t="str">
        <f t="shared" si="55"/>
        <v>0x23C</v>
      </c>
      <c r="C580">
        <f t="shared" si="59"/>
        <v>28</v>
      </c>
      <c r="D580" t="str">
        <f t="shared" si="56"/>
        <v>0001C</v>
      </c>
    </row>
    <row r="581" spans="1:4" x14ac:dyDescent="0.25">
      <c r="A581">
        <f t="shared" si="57"/>
        <v>573</v>
      </c>
      <c r="B581" t="str">
        <f t="shared" si="55"/>
        <v>0x23D</v>
      </c>
      <c r="C581">
        <f t="shared" si="59"/>
        <v>29</v>
      </c>
      <c r="D581" t="str">
        <f t="shared" si="56"/>
        <v>0001D</v>
      </c>
    </row>
    <row r="582" spans="1:4" x14ac:dyDescent="0.25">
      <c r="A582">
        <f t="shared" si="57"/>
        <v>574</v>
      </c>
      <c r="B582" t="str">
        <f t="shared" si="55"/>
        <v>0x23E</v>
      </c>
      <c r="C582">
        <f t="shared" si="59"/>
        <v>30</v>
      </c>
      <c r="D582" t="str">
        <f t="shared" si="56"/>
        <v>0001E</v>
      </c>
    </row>
    <row r="583" spans="1:4" x14ac:dyDescent="0.25">
      <c r="A583">
        <f t="shared" si="57"/>
        <v>575</v>
      </c>
      <c r="B583" t="str">
        <f t="shared" si="55"/>
        <v>0x23F</v>
      </c>
      <c r="C583">
        <f t="shared" si="59"/>
        <v>31</v>
      </c>
      <c r="D583" t="str">
        <f t="shared" si="56"/>
        <v>0001F</v>
      </c>
    </row>
    <row r="584" spans="1:4" x14ac:dyDescent="0.25">
      <c r="A584">
        <f t="shared" si="57"/>
        <v>576</v>
      </c>
      <c r="B584" t="str">
        <f t="shared" si="55"/>
        <v>0x240</v>
      </c>
      <c r="C584">
        <v>0</v>
      </c>
      <c r="D584" t="str">
        <f t="shared" si="56"/>
        <v>00000</v>
      </c>
    </row>
    <row r="585" spans="1:4" x14ac:dyDescent="0.25">
      <c r="A585">
        <f t="shared" si="57"/>
        <v>577</v>
      </c>
      <c r="B585" t="str">
        <f t="shared" ref="B585:B648" si="60">CONCATENATE("0x",DEC2HEX(A585,3))</f>
        <v>0x241</v>
      </c>
      <c r="C585">
        <f>C584+1</f>
        <v>1</v>
      </c>
      <c r="D585" t="str">
        <f t="shared" ref="D585:D648" si="61">DEC2HEX(C585,5)</f>
        <v>00001</v>
      </c>
    </row>
    <row r="586" spans="1:4" x14ac:dyDescent="0.25">
      <c r="A586">
        <f t="shared" ref="A586:A649" si="62">A585+1</f>
        <v>578</v>
      </c>
      <c r="B586" t="str">
        <f t="shared" si="60"/>
        <v>0x242</v>
      </c>
      <c r="C586">
        <f t="shared" ref="C586:C615" si="63">C585+1</f>
        <v>2</v>
      </c>
      <c r="D586" t="str">
        <f t="shared" si="61"/>
        <v>00002</v>
      </c>
    </row>
    <row r="587" spans="1:4" x14ac:dyDescent="0.25">
      <c r="A587">
        <f t="shared" si="62"/>
        <v>579</v>
      </c>
      <c r="B587" t="str">
        <f t="shared" si="60"/>
        <v>0x243</v>
      </c>
      <c r="C587">
        <f t="shared" si="63"/>
        <v>3</v>
      </c>
      <c r="D587" t="str">
        <f t="shared" si="61"/>
        <v>00003</v>
      </c>
    </row>
    <row r="588" spans="1:4" x14ac:dyDescent="0.25">
      <c r="A588">
        <f t="shared" si="62"/>
        <v>580</v>
      </c>
      <c r="B588" t="str">
        <f t="shared" si="60"/>
        <v>0x244</v>
      </c>
      <c r="C588">
        <f t="shared" si="63"/>
        <v>4</v>
      </c>
      <c r="D588" t="str">
        <f t="shared" si="61"/>
        <v>00004</v>
      </c>
    </row>
    <row r="589" spans="1:4" x14ac:dyDescent="0.25">
      <c r="A589">
        <f t="shared" si="62"/>
        <v>581</v>
      </c>
      <c r="B589" t="str">
        <f t="shared" si="60"/>
        <v>0x245</v>
      </c>
      <c r="C589">
        <f t="shared" si="63"/>
        <v>5</v>
      </c>
      <c r="D589" t="str">
        <f t="shared" si="61"/>
        <v>00005</v>
      </c>
    </row>
    <row r="590" spans="1:4" x14ac:dyDescent="0.25">
      <c r="A590">
        <f t="shared" si="62"/>
        <v>582</v>
      </c>
      <c r="B590" t="str">
        <f t="shared" si="60"/>
        <v>0x246</v>
      </c>
      <c r="C590">
        <f t="shared" si="63"/>
        <v>6</v>
      </c>
      <c r="D590" t="str">
        <f t="shared" si="61"/>
        <v>00006</v>
      </c>
    </row>
    <row r="591" spans="1:4" x14ac:dyDescent="0.25">
      <c r="A591">
        <f t="shared" si="62"/>
        <v>583</v>
      </c>
      <c r="B591" t="str">
        <f t="shared" si="60"/>
        <v>0x247</v>
      </c>
      <c r="C591">
        <f t="shared" si="63"/>
        <v>7</v>
      </c>
      <c r="D591" t="str">
        <f t="shared" si="61"/>
        <v>00007</v>
      </c>
    </row>
    <row r="592" spans="1:4" x14ac:dyDescent="0.25">
      <c r="A592">
        <f t="shared" si="62"/>
        <v>584</v>
      </c>
      <c r="B592" t="str">
        <f t="shared" si="60"/>
        <v>0x248</v>
      </c>
      <c r="C592">
        <f t="shared" si="63"/>
        <v>8</v>
      </c>
      <c r="D592" t="str">
        <f t="shared" si="61"/>
        <v>00008</v>
      </c>
    </row>
    <row r="593" spans="1:4" x14ac:dyDescent="0.25">
      <c r="A593">
        <f t="shared" si="62"/>
        <v>585</v>
      </c>
      <c r="B593" t="str">
        <f t="shared" si="60"/>
        <v>0x249</v>
      </c>
      <c r="C593">
        <f t="shared" si="63"/>
        <v>9</v>
      </c>
      <c r="D593" t="str">
        <f t="shared" si="61"/>
        <v>00009</v>
      </c>
    </row>
    <row r="594" spans="1:4" x14ac:dyDescent="0.25">
      <c r="A594">
        <f t="shared" si="62"/>
        <v>586</v>
      </c>
      <c r="B594" t="str">
        <f t="shared" si="60"/>
        <v>0x24A</v>
      </c>
      <c r="C594">
        <f t="shared" si="63"/>
        <v>10</v>
      </c>
      <c r="D594" t="str">
        <f t="shared" si="61"/>
        <v>0000A</v>
      </c>
    </row>
    <row r="595" spans="1:4" x14ac:dyDescent="0.25">
      <c r="A595">
        <f t="shared" si="62"/>
        <v>587</v>
      </c>
      <c r="B595" t="str">
        <f t="shared" si="60"/>
        <v>0x24B</v>
      </c>
      <c r="C595">
        <f t="shared" si="63"/>
        <v>11</v>
      </c>
      <c r="D595" t="str">
        <f t="shared" si="61"/>
        <v>0000B</v>
      </c>
    </row>
    <row r="596" spans="1:4" x14ac:dyDescent="0.25">
      <c r="A596">
        <f t="shared" si="62"/>
        <v>588</v>
      </c>
      <c r="B596" t="str">
        <f t="shared" si="60"/>
        <v>0x24C</v>
      </c>
      <c r="C596">
        <f t="shared" si="63"/>
        <v>12</v>
      </c>
      <c r="D596" t="str">
        <f t="shared" si="61"/>
        <v>0000C</v>
      </c>
    </row>
    <row r="597" spans="1:4" x14ac:dyDescent="0.25">
      <c r="A597">
        <f t="shared" si="62"/>
        <v>589</v>
      </c>
      <c r="B597" t="str">
        <f t="shared" si="60"/>
        <v>0x24D</v>
      </c>
      <c r="C597">
        <f t="shared" si="63"/>
        <v>13</v>
      </c>
      <c r="D597" t="str">
        <f t="shared" si="61"/>
        <v>0000D</v>
      </c>
    </row>
    <row r="598" spans="1:4" x14ac:dyDescent="0.25">
      <c r="A598">
        <f t="shared" si="62"/>
        <v>590</v>
      </c>
      <c r="B598" t="str">
        <f t="shared" si="60"/>
        <v>0x24E</v>
      </c>
      <c r="C598">
        <f t="shared" si="63"/>
        <v>14</v>
      </c>
      <c r="D598" t="str">
        <f t="shared" si="61"/>
        <v>0000E</v>
      </c>
    </row>
    <row r="599" spans="1:4" x14ac:dyDescent="0.25">
      <c r="A599">
        <f t="shared" si="62"/>
        <v>591</v>
      </c>
      <c r="B599" t="str">
        <f t="shared" si="60"/>
        <v>0x24F</v>
      </c>
      <c r="C599">
        <f t="shared" si="63"/>
        <v>15</v>
      </c>
      <c r="D599" t="str">
        <f t="shared" si="61"/>
        <v>0000F</v>
      </c>
    </row>
    <row r="600" spans="1:4" x14ac:dyDescent="0.25">
      <c r="A600">
        <f t="shared" si="62"/>
        <v>592</v>
      </c>
      <c r="B600" t="str">
        <f t="shared" si="60"/>
        <v>0x250</v>
      </c>
      <c r="C600">
        <f t="shared" si="63"/>
        <v>16</v>
      </c>
      <c r="D600" t="str">
        <f t="shared" si="61"/>
        <v>00010</v>
      </c>
    </row>
    <row r="601" spans="1:4" x14ac:dyDescent="0.25">
      <c r="A601">
        <f t="shared" si="62"/>
        <v>593</v>
      </c>
      <c r="B601" t="str">
        <f t="shared" si="60"/>
        <v>0x251</v>
      </c>
      <c r="C601">
        <f t="shared" si="63"/>
        <v>17</v>
      </c>
      <c r="D601" t="str">
        <f t="shared" si="61"/>
        <v>00011</v>
      </c>
    </row>
    <row r="602" spans="1:4" x14ac:dyDescent="0.25">
      <c r="A602">
        <f t="shared" si="62"/>
        <v>594</v>
      </c>
      <c r="B602" t="str">
        <f t="shared" si="60"/>
        <v>0x252</v>
      </c>
      <c r="C602">
        <f t="shared" si="63"/>
        <v>18</v>
      </c>
      <c r="D602" t="str">
        <f t="shared" si="61"/>
        <v>00012</v>
      </c>
    </row>
    <row r="603" spans="1:4" x14ac:dyDescent="0.25">
      <c r="A603">
        <f t="shared" si="62"/>
        <v>595</v>
      </c>
      <c r="B603" t="str">
        <f t="shared" si="60"/>
        <v>0x253</v>
      </c>
      <c r="C603">
        <f t="shared" si="63"/>
        <v>19</v>
      </c>
      <c r="D603" t="str">
        <f t="shared" si="61"/>
        <v>00013</v>
      </c>
    </row>
    <row r="604" spans="1:4" x14ac:dyDescent="0.25">
      <c r="A604">
        <f t="shared" si="62"/>
        <v>596</v>
      </c>
      <c r="B604" t="str">
        <f t="shared" si="60"/>
        <v>0x254</v>
      </c>
      <c r="C604">
        <f t="shared" si="63"/>
        <v>20</v>
      </c>
      <c r="D604" t="str">
        <f t="shared" si="61"/>
        <v>00014</v>
      </c>
    </row>
    <row r="605" spans="1:4" x14ac:dyDescent="0.25">
      <c r="A605">
        <f t="shared" si="62"/>
        <v>597</v>
      </c>
      <c r="B605" t="str">
        <f t="shared" si="60"/>
        <v>0x255</v>
      </c>
      <c r="C605">
        <f t="shared" si="63"/>
        <v>21</v>
      </c>
      <c r="D605" t="str">
        <f t="shared" si="61"/>
        <v>00015</v>
      </c>
    </row>
    <row r="606" spans="1:4" x14ac:dyDescent="0.25">
      <c r="A606">
        <f t="shared" si="62"/>
        <v>598</v>
      </c>
      <c r="B606" t="str">
        <f t="shared" si="60"/>
        <v>0x256</v>
      </c>
      <c r="C606">
        <f t="shared" si="63"/>
        <v>22</v>
      </c>
      <c r="D606" t="str">
        <f t="shared" si="61"/>
        <v>00016</v>
      </c>
    </row>
    <row r="607" spans="1:4" x14ac:dyDescent="0.25">
      <c r="A607">
        <f t="shared" si="62"/>
        <v>599</v>
      </c>
      <c r="B607" t="str">
        <f t="shared" si="60"/>
        <v>0x257</v>
      </c>
      <c r="C607">
        <f t="shared" si="63"/>
        <v>23</v>
      </c>
      <c r="D607" t="str">
        <f t="shared" si="61"/>
        <v>00017</v>
      </c>
    </row>
    <row r="608" spans="1:4" x14ac:dyDescent="0.25">
      <c r="A608">
        <f t="shared" si="62"/>
        <v>600</v>
      </c>
      <c r="B608" t="str">
        <f t="shared" si="60"/>
        <v>0x258</v>
      </c>
      <c r="C608">
        <f t="shared" si="63"/>
        <v>24</v>
      </c>
      <c r="D608" t="str">
        <f t="shared" si="61"/>
        <v>00018</v>
      </c>
    </row>
    <row r="609" spans="1:4" x14ac:dyDescent="0.25">
      <c r="A609">
        <f t="shared" si="62"/>
        <v>601</v>
      </c>
      <c r="B609" t="str">
        <f t="shared" si="60"/>
        <v>0x259</v>
      </c>
      <c r="C609">
        <f t="shared" si="63"/>
        <v>25</v>
      </c>
      <c r="D609" t="str">
        <f t="shared" si="61"/>
        <v>00019</v>
      </c>
    </row>
    <row r="610" spans="1:4" x14ac:dyDescent="0.25">
      <c r="A610">
        <f t="shared" si="62"/>
        <v>602</v>
      </c>
      <c r="B610" t="str">
        <f t="shared" si="60"/>
        <v>0x25A</v>
      </c>
      <c r="C610">
        <f t="shared" si="63"/>
        <v>26</v>
      </c>
      <c r="D610" t="str">
        <f t="shared" si="61"/>
        <v>0001A</v>
      </c>
    </row>
    <row r="611" spans="1:4" x14ac:dyDescent="0.25">
      <c r="A611">
        <f t="shared" si="62"/>
        <v>603</v>
      </c>
      <c r="B611" t="str">
        <f t="shared" si="60"/>
        <v>0x25B</v>
      </c>
      <c r="C611">
        <f t="shared" si="63"/>
        <v>27</v>
      </c>
      <c r="D611" t="str">
        <f t="shared" si="61"/>
        <v>0001B</v>
      </c>
    </row>
    <row r="612" spans="1:4" x14ac:dyDescent="0.25">
      <c r="A612">
        <f t="shared" si="62"/>
        <v>604</v>
      </c>
      <c r="B612" t="str">
        <f t="shared" si="60"/>
        <v>0x25C</v>
      </c>
      <c r="C612">
        <f t="shared" si="63"/>
        <v>28</v>
      </c>
      <c r="D612" t="str">
        <f t="shared" si="61"/>
        <v>0001C</v>
      </c>
    </row>
    <row r="613" spans="1:4" x14ac:dyDescent="0.25">
      <c r="A613">
        <f t="shared" si="62"/>
        <v>605</v>
      </c>
      <c r="B613" t="str">
        <f t="shared" si="60"/>
        <v>0x25D</v>
      </c>
      <c r="C613">
        <f t="shared" si="63"/>
        <v>29</v>
      </c>
      <c r="D613" t="str">
        <f t="shared" si="61"/>
        <v>0001D</v>
      </c>
    </row>
    <row r="614" spans="1:4" x14ac:dyDescent="0.25">
      <c r="A614">
        <f t="shared" si="62"/>
        <v>606</v>
      </c>
      <c r="B614" t="str">
        <f t="shared" si="60"/>
        <v>0x25E</v>
      </c>
      <c r="C614">
        <f t="shared" si="63"/>
        <v>30</v>
      </c>
      <c r="D614" t="str">
        <f t="shared" si="61"/>
        <v>0001E</v>
      </c>
    </row>
    <row r="615" spans="1:4" x14ac:dyDescent="0.25">
      <c r="A615">
        <f t="shared" si="62"/>
        <v>607</v>
      </c>
      <c r="B615" t="str">
        <f t="shared" si="60"/>
        <v>0x25F</v>
      </c>
      <c r="C615">
        <f t="shared" si="63"/>
        <v>31</v>
      </c>
      <c r="D615" t="str">
        <f t="shared" si="61"/>
        <v>0001F</v>
      </c>
    </row>
    <row r="616" spans="1:4" x14ac:dyDescent="0.25">
      <c r="A616">
        <f t="shared" si="62"/>
        <v>608</v>
      </c>
      <c r="B616" t="str">
        <f t="shared" si="60"/>
        <v>0x260</v>
      </c>
      <c r="C616">
        <v>0</v>
      </c>
      <c r="D616" t="str">
        <f t="shared" si="61"/>
        <v>00000</v>
      </c>
    </row>
    <row r="617" spans="1:4" x14ac:dyDescent="0.25">
      <c r="A617">
        <f t="shared" si="62"/>
        <v>609</v>
      </c>
      <c r="B617" t="str">
        <f t="shared" si="60"/>
        <v>0x261</v>
      </c>
      <c r="C617">
        <f>C616+1</f>
        <v>1</v>
      </c>
      <c r="D617" t="str">
        <f t="shared" si="61"/>
        <v>00001</v>
      </c>
    </row>
    <row r="618" spans="1:4" x14ac:dyDescent="0.25">
      <c r="A618">
        <f t="shared" si="62"/>
        <v>610</v>
      </c>
      <c r="B618" t="str">
        <f t="shared" si="60"/>
        <v>0x262</v>
      </c>
      <c r="C618">
        <f t="shared" ref="C618:C647" si="64">C617+1</f>
        <v>2</v>
      </c>
      <c r="D618" t="str">
        <f t="shared" si="61"/>
        <v>00002</v>
      </c>
    </row>
    <row r="619" spans="1:4" x14ac:dyDescent="0.25">
      <c r="A619">
        <f t="shared" si="62"/>
        <v>611</v>
      </c>
      <c r="B619" t="str">
        <f t="shared" si="60"/>
        <v>0x263</v>
      </c>
      <c r="C619">
        <f t="shared" si="64"/>
        <v>3</v>
      </c>
      <c r="D619" t="str">
        <f t="shared" si="61"/>
        <v>00003</v>
      </c>
    </row>
    <row r="620" spans="1:4" x14ac:dyDescent="0.25">
      <c r="A620">
        <f t="shared" si="62"/>
        <v>612</v>
      </c>
      <c r="B620" t="str">
        <f t="shared" si="60"/>
        <v>0x264</v>
      </c>
      <c r="C620">
        <f t="shared" si="64"/>
        <v>4</v>
      </c>
      <c r="D620" t="str">
        <f t="shared" si="61"/>
        <v>00004</v>
      </c>
    </row>
    <row r="621" spans="1:4" x14ac:dyDescent="0.25">
      <c r="A621">
        <f t="shared" si="62"/>
        <v>613</v>
      </c>
      <c r="B621" t="str">
        <f t="shared" si="60"/>
        <v>0x265</v>
      </c>
      <c r="C621">
        <f t="shared" si="64"/>
        <v>5</v>
      </c>
      <c r="D621" t="str">
        <f t="shared" si="61"/>
        <v>00005</v>
      </c>
    </row>
    <row r="622" spans="1:4" x14ac:dyDescent="0.25">
      <c r="A622">
        <f t="shared" si="62"/>
        <v>614</v>
      </c>
      <c r="B622" t="str">
        <f t="shared" si="60"/>
        <v>0x266</v>
      </c>
      <c r="C622">
        <f t="shared" si="64"/>
        <v>6</v>
      </c>
      <c r="D622" t="str">
        <f t="shared" si="61"/>
        <v>00006</v>
      </c>
    </row>
    <row r="623" spans="1:4" x14ac:dyDescent="0.25">
      <c r="A623">
        <f t="shared" si="62"/>
        <v>615</v>
      </c>
      <c r="B623" t="str">
        <f t="shared" si="60"/>
        <v>0x267</v>
      </c>
      <c r="C623">
        <f t="shared" si="64"/>
        <v>7</v>
      </c>
      <c r="D623" t="str">
        <f t="shared" si="61"/>
        <v>00007</v>
      </c>
    </row>
    <row r="624" spans="1:4" x14ac:dyDescent="0.25">
      <c r="A624">
        <f t="shared" si="62"/>
        <v>616</v>
      </c>
      <c r="B624" t="str">
        <f t="shared" si="60"/>
        <v>0x268</v>
      </c>
      <c r="C624">
        <f t="shared" si="64"/>
        <v>8</v>
      </c>
      <c r="D624" t="str">
        <f t="shared" si="61"/>
        <v>00008</v>
      </c>
    </row>
    <row r="625" spans="1:4" x14ac:dyDescent="0.25">
      <c r="A625">
        <f t="shared" si="62"/>
        <v>617</v>
      </c>
      <c r="B625" t="str">
        <f t="shared" si="60"/>
        <v>0x269</v>
      </c>
      <c r="C625">
        <f t="shared" si="64"/>
        <v>9</v>
      </c>
      <c r="D625" t="str">
        <f t="shared" si="61"/>
        <v>00009</v>
      </c>
    </row>
    <row r="626" spans="1:4" x14ac:dyDescent="0.25">
      <c r="A626">
        <f t="shared" si="62"/>
        <v>618</v>
      </c>
      <c r="B626" t="str">
        <f t="shared" si="60"/>
        <v>0x26A</v>
      </c>
      <c r="C626">
        <f t="shared" si="64"/>
        <v>10</v>
      </c>
      <c r="D626" t="str">
        <f t="shared" si="61"/>
        <v>0000A</v>
      </c>
    </row>
    <row r="627" spans="1:4" x14ac:dyDescent="0.25">
      <c r="A627">
        <f t="shared" si="62"/>
        <v>619</v>
      </c>
      <c r="B627" t="str">
        <f t="shared" si="60"/>
        <v>0x26B</v>
      </c>
      <c r="C627">
        <f t="shared" si="64"/>
        <v>11</v>
      </c>
      <c r="D627" t="str">
        <f t="shared" si="61"/>
        <v>0000B</v>
      </c>
    </row>
    <row r="628" spans="1:4" x14ac:dyDescent="0.25">
      <c r="A628">
        <f t="shared" si="62"/>
        <v>620</v>
      </c>
      <c r="B628" t="str">
        <f t="shared" si="60"/>
        <v>0x26C</v>
      </c>
      <c r="C628">
        <f t="shared" si="64"/>
        <v>12</v>
      </c>
      <c r="D628" t="str">
        <f t="shared" si="61"/>
        <v>0000C</v>
      </c>
    </row>
    <row r="629" spans="1:4" x14ac:dyDescent="0.25">
      <c r="A629">
        <f t="shared" si="62"/>
        <v>621</v>
      </c>
      <c r="B629" t="str">
        <f t="shared" si="60"/>
        <v>0x26D</v>
      </c>
      <c r="C629">
        <f t="shared" si="64"/>
        <v>13</v>
      </c>
      <c r="D629" t="str">
        <f t="shared" si="61"/>
        <v>0000D</v>
      </c>
    </row>
    <row r="630" spans="1:4" x14ac:dyDescent="0.25">
      <c r="A630">
        <f t="shared" si="62"/>
        <v>622</v>
      </c>
      <c r="B630" t="str">
        <f t="shared" si="60"/>
        <v>0x26E</v>
      </c>
      <c r="C630">
        <f t="shared" si="64"/>
        <v>14</v>
      </c>
      <c r="D630" t="str">
        <f t="shared" si="61"/>
        <v>0000E</v>
      </c>
    </row>
    <row r="631" spans="1:4" x14ac:dyDescent="0.25">
      <c r="A631">
        <f t="shared" si="62"/>
        <v>623</v>
      </c>
      <c r="B631" t="str">
        <f t="shared" si="60"/>
        <v>0x26F</v>
      </c>
      <c r="C631">
        <f t="shared" si="64"/>
        <v>15</v>
      </c>
      <c r="D631" t="str">
        <f t="shared" si="61"/>
        <v>0000F</v>
      </c>
    </row>
    <row r="632" spans="1:4" x14ac:dyDescent="0.25">
      <c r="A632">
        <f t="shared" si="62"/>
        <v>624</v>
      </c>
      <c r="B632" t="str">
        <f t="shared" si="60"/>
        <v>0x270</v>
      </c>
      <c r="C632">
        <f t="shared" si="64"/>
        <v>16</v>
      </c>
      <c r="D632" t="str">
        <f t="shared" si="61"/>
        <v>00010</v>
      </c>
    </row>
    <row r="633" spans="1:4" x14ac:dyDescent="0.25">
      <c r="A633">
        <f t="shared" si="62"/>
        <v>625</v>
      </c>
      <c r="B633" t="str">
        <f t="shared" si="60"/>
        <v>0x271</v>
      </c>
      <c r="C633">
        <f t="shared" si="64"/>
        <v>17</v>
      </c>
      <c r="D633" t="str">
        <f t="shared" si="61"/>
        <v>00011</v>
      </c>
    </row>
    <row r="634" spans="1:4" x14ac:dyDescent="0.25">
      <c r="A634">
        <f t="shared" si="62"/>
        <v>626</v>
      </c>
      <c r="B634" t="str">
        <f t="shared" si="60"/>
        <v>0x272</v>
      </c>
      <c r="C634">
        <f t="shared" si="64"/>
        <v>18</v>
      </c>
      <c r="D634" t="str">
        <f t="shared" si="61"/>
        <v>00012</v>
      </c>
    </row>
    <row r="635" spans="1:4" x14ac:dyDescent="0.25">
      <c r="A635">
        <f t="shared" si="62"/>
        <v>627</v>
      </c>
      <c r="B635" t="str">
        <f t="shared" si="60"/>
        <v>0x273</v>
      </c>
      <c r="C635">
        <f t="shared" si="64"/>
        <v>19</v>
      </c>
      <c r="D635" t="str">
        <f t="shared" si="61"/>
        <v>00013</v>
      </c>
    </row>
    <row r="636" spans="1:4" x14ac:dyDescent="0.25">
      <c r="A636">
        <f t="shared" si="62"/>
        <v>628</v>
      </c>
      <c r="B636" t="str">
        <f t="shared" si="60"/>
        <v>0x274</v>
      </c>
      <c r="C636">
        <f t="shared" si="64"/>
        <v>20</v>
      </c>
      <c r="D636" t="str">
        <f t="shared" si="61"/>
        <v>00014</v>
      </c>
    </row>
    <row r="637" spans="1:4" x14ac:dyDescent="0.25">
      <c r="A637">
        <f t="shared" si="62"/>
        <v>629</v>
      </c>
      <c r="B637" t="str">
        <f t="shared" si="60"/>
        <v>0x275</v>
      </c>
      <c r="C637">
        <f t="shared" si="64"/>
        <v>21</v>
      </c>
      <c r="D637" t="str">
        <f t="shared" si="61"/>
        <v>00015</v>
      </c>
    </row>
    <row r="638" spans="1:4" x14ac:dyDescent="0.25">
      <c r="A638">
        <f t="shared" si="62"/>
        <v>630</v>
      </c>
      <c r="B638" t="str">
        <f t="shared" si="60"/>
        <v>0x276</v>
      </c>
      <c r="C638">
        <f t="shared" si="64"/>
        <v>22</v>
      </c>
      <c r="D638" t="str">
        <f t="shared" si="61"/>
        <v>00016</v>
      </c>
    </row>
    <row r="639" spans="1:4" x14ac:dyDescent="0.25">
      <c r="A639">
        <f t="shared" si="62"/>
        <v>631</v>
      </c>
      <c r="B639" t="str">
        <f t="shared" si="60"/>
        <v>0x277</v>
      </c>
      <c r="C639">
        <f t="shared" si="64"/>
        <v>23</v>
      </c>
      <c r="D639" t="str">
        <f t="shared" si="61"/>
        <v>00017</v>
      </c>
    </row>
    <row r="640" spans="1:4" x14ac:dyDescent="0.25">
      <c r="A640">
        <f t="shared" si="62"/>
        <v>632</v>
      </c>
      <c r="B640" t="str">
        <f t="shared" si="60"/>
        <v>0x278</v>
      </c>
      <c r="C640">
        <f t="shared" si="64"/>
        <v>24</v>
      </c>
      <c r="D640" t="str">
        <f t="shared" si="61"/>
        <v>00018</v>
      </c>
    </row>
    <row r="641" spans="1:4" x14ac:dyDescent="0.25">
      <c r="A641">
        <f t="shared" si="62"/>
        <v>633</v>
      </c>
      <c r="B641" t="str">
        <f t="shared" si="60"/>
        <v>0x279</v>
      </c>
      <c r="C641">
        <f t="shared" si="64"/>
        <v>25</v>
      </c>
      <c r="D641" t="str">
        <f t="shared" si="61"/>
        <v>00019</v>
      </c>
    </row>
    <row r="642" spans="1:4" x14ac:dyDescent="0.25">
      <c r="A642">
        <f t="shared" si="62"/>
        <v>634</v>
      </c>
      <c r="B642" t="str">
        <f t="shared" si="60"/>
        <v>0x27A</v>
      </c>
      <c r="C642">
        <f t="shared" si="64"/>
        <v>26</v>
      </c>
      <c r="D642" t="str">
        <f t="shared" si="61"/>
        <v>0001A</v>
      </c>
    </row>
    <row r="643" spans="1:4" x14ac:dyDescent="0.25">
      <c r="A643">
        <f t="shared" si="62"/>
        <v>635</v>
      </c>
      <c r="B643" t="str">
        <f t="shared" si="60"/>
        <v>0x27B</v>
      </c>
      <c r="C643">
        <f t="shared" si="64"/>
        <v>27</v>
      </c>
      <c r="D643" t="str">
        <f t="shared" si="61"/>
        <v>0001B</v>
      </c>
    </row>
    <row r="644" spans="1:4" x14ac:dyDescent="0.25">
      <c r="A644">
        <f t="shared" si="62"/>
        <v>636</v>
      </c>
      <c r="B644" t="str">
        <f t="shared" si="60"/>
        <v>0x27C</v>
      </c>
      <c r="C644">
        <f t="shared" si="64"/>
        <v>28</v>
      </c>
      <c r="D644" t="str">
        <f t="shared" si="61"/>
        <v>0001C</v>
      </c>
    </row>
    <row r="645" spans="1:4" x14ac:dyDescent="0.25">
      <c r="A645">
        <f t="shared" si="62"/>
        <v>637</v>
      </c>
      <c r="B645" t="str">
        <f t="shared" si="60"/>
        <v>0x27D</v>
      </c>
      <c r="C645">
        <f t="shared" si="64"/>
        <v>29</v>
      </c>
      <c r="D645" t="str">
        <f t="shared" si="61"/>
        <v>0001D</v>
      </c>
    </row>
    <row r="646" spans="1:4" x14ac:dyDescent="0.25">
      <c r="A646">
        <f t="shared" si="62"/>
        <v>638</v>
      </c>
      <c r="B646" t="str">
        <f t="shared" si="60"/>
        <v>0x27E</v>
      </c>
      <c r="C646">
        <f t="shared" si="64"/>
        <v>30</v>
      </c>
      <c r="D646" t="str">
        <f t="shared" si="61"/>
        <v>0001E</v>
      </c>
    </row>
    <row r="647" spans="1:4" x14ac:dyDescent="0.25">
      <c r="A647">
        <f t="shared" si="62"/>
        <v>639</v>
      </c>
      <c r="B647" t="str">
        <f t="shared" si="60"/>
        <v>0x27F</v>
      </c>
      <c r="C647">
        <f t="shared" si="64"/>
        <v>31</v>
      </c>
      <c r="D647" t="str">
        <f t="shared" si="61"/>
        <v>0001F</v>
      </c>
    </row>
    <row r="648" spans="1:4" x14ac:dyDescent="0.25">
      <c r="A648">
        <f t="shared" si="62"/>
        <v>640</v>
      </c>
      <c r="B648" t="str">
        <f t="shared" si="60"/>
        <v>0x280</v>
      </c>
      <c r="C648">
        <v>0</v>
      </c>
      <c r="D648" t="str">
        <f t="shared" si="61"/>
        <v>00000</v>
      </c>
    </row>
    <row r="649" spans="1:4" x14ac:dyDescent="0.25">
      <c r="A649">
        <f t="shared" si="62"/>
        <v>641</v>
      </c>
      <c r="B649" t="str">
        <f t="shared" ref="B649:B712" si="65">CONCATENATE("0x",DEC2HEX(A649,3))</f>
        <v>0x281</v>
      </c>
      <c r="C649">
        <f>C648+1</f>
        <v>1</v>
      </c>
      <c r="D649" t="str">
        <f t="shared" ref="D649:D712" si="66">DEC2HEX(C649,5)</f>
        <v>00001</v>
      </c>
    </row>
    <row r="650" spans="1:4" x14ac:dyDescent="0.25">
      <c r="A650">
        <f t="shared" ref="A650:A713" si="67">A649+1</f>
        <v>642</v>
      </c>
      <c r="B650" t="str">
        <f t="shared" si="65"/>
        <v>0x282</v>
      </c>
      <c r="C650">
        <f t="shared" ref="C650:C679" si="68">C649+1</f>
        <v>2</v>
      </c>
      <c r="D650" t="str">
        <f t="shared" si="66"/>
        <v>00002</v>
      </c>
    </row>
    <row r="651" spans="1:4" x14ac:dyDescent="0.25">
      <c r="A651">
        <f t="shared" si="67"/>
        <v>643</v>
      </c>
      <c r="B651" t="str">
        <f t="shared" si="65"/>
        <v>0x283</v>
      </c>
      <c r="C651">
        <f t="shared" si="68"/>
        <v>3</v>
      </c>
      <c r="D651" t="str">
        <f t="shared" si="66"/>
        <v>00003</v>
      </c>
    </row>
    <row r="652" spans="1:4" x14ac:dyDescent="0.25">
      <c r="A652">
        <f t="shared" si="67"/>
        <v>644</v>
      </c>
      <c r="B652" t="str">
        <f t="shared" si="65"/>
        <v>0x284</v>
      </c>
      <c r="C652">
        <f t="shared" si="68"/>
        <v>4</v>
      </c>
      <c r="D652" t="str">
        <f t="shared" si="66"/>
        <v>00004</v>
      </c>
    </row>
    <row r="653" spans="1:4" x14ac:dyDescent="0.25">
      <c r="A653">
        <f t="shared" si="67"/>
        <v>645</v>
      </c>
      <c r="B653" t="str">
        <f t="shared" si="65"/>
        <v>0x285</v>
      </c>
      <c r="C653">
        <f t="shared" si="68"/>
        <v>5</v>
      </c>
      <c r="D653" t="str">
        <f t="shared" si="66"/>
        <v>00005</v>
      </c>
    </row>
    <row r="654" spans="1:4" x14ac:dyDescent="0.25">
      <c r="A654">
        <f t="shared" si="67"/>
        <v>646</v>
      </c>
      <c r="B654" t="str">
        <f t="shared" si="65"/>
        <v>0x286</v>
      </c>
      <c r="C654">
        <f t="shared" si="68"/>
        <v>6</v>
      </c>
      <c r="D654" t="str">
        <f t="shared" si="66"/>
        <v>00006</v>
      </c>
    </row>
    <row r="655" spans="1:4" x14ac:dyDescent="0.25">
      <c r="A655">
        <f t="shared" si="67"/>
        <v>647</v>
      </c>
      <c r="B655" t="str">
        <f t="shared" si="65"/>
        <v>0x287</v>
      </c>
      <c r="C655">
        <f t="shared" si="68"/>
        <v>7</v>
      </c>
      <c r="D655" t="str">
        <f t="shared" si="66"/>
        <v>00007</v>
      </c>
    </row>
    <row r="656" spans="1:4" x14ac:dyDescent="0.25">
      <c r="A656">
        <f t="shared" si="67"/>
        <v>648</v>
      </c>
      <c r="B656" t="str">
        <f t="shared" si="65"/>
        <v>0x288</v>
      </c>
      <c r="C656">
        <f t="shared" si="68"/>
        <v>8</v>
      </c>
      <c r="D656" t="str">
        <f t="shared" si="66"/>
        <v>00008</v>
      </c>
    </row>
    <row r="657" spans="1:4" x14ac:dyDescent="0.25">
      <c r="A657">
        <f t="shared" si="67"/>
        <v>649</v>
      </c>
      <c r="B657" t="str">
        <f t="shared" si="65"/>
        <v>0x289</v>
      </c>
      <c r="C657">
        <f t="shared" si="68"/>
        <v>9</v>
      </c>
      <c r="D657" t="str">
        <f t="shared" si="66"/>
        <v>00009</v>
      </c>
    </row>
    <row r="658" spans="1:4" x14ac:dyDescent="0.25">
      <c r="A658">
        <f t="shared" si="67"/>
        <v>650</v>
      </c>
      <c r="B658" t="str">
        <f t="shared" si="65"/>
        <v>0x28A</v>
      </c>
      <c r="C658">
        <f t="shared" si="68"/>
        <v>10</v>
      </c>
      <c r="D658" t="str">
        <f t="shared" si="66"/>
        <v>0000A</v>
      </c>
    </row>
    <row r="659" spans="1:4" x14ac:dyDescent="0.25">
      <c r="A659">
        <f t="shared" si="67"/>
        <v>651</v>
      </c>
      <c r="B659" t="str">
        <f t="shared" si="65"/>
        <v>0x28B</v>
      </c>
      <c r="C659">
        <f t="shared" si="68"/>
        <v>11</v>
      </c>
      <c r="D659" t="str">
        <f t="shared" si="66"/>
        <v>0000B</v>
      </c>
    </row>
    <row r="660" spans="1:4" x14ac:dyDescent="0.25">
      <c r="A660">
        <f t="shared" si="67"/>
        <v>652</v>
      </c>
      <c r="B660" t="str">
        <f t="shared" si="65"/>
        <v>0x28C</v>
      </c>
      <c r="C660">
        <f t="shared" si="68"/>
        <v>12</v>
      </c>
      <c r="D660" t="str">
        <f t="shared" si="66"/>
        <v>0000C</v>
      </c>
    </row>
    <row r="661" spans="1:4" x14ac:dyDescent="0.25">
      <c r="A661">
        <f t="shared" si="67"/>
        <v>653</v>
      </c>
      <c r="B661" t="str">
        <f t="shared" si="65"/>
        <v>0x28D</v>
      </c>
      <c r="C661">
        <f t="shared" si="68"/>
        <v>13</v>
      </c>
      <c r="D661" t="str">
        <f t="shared" si="66"/>
        <v>0000D</v>
      </c>
    </row>
    <row r="662" spans="1:4" x14ac:dyDescent="0.25">
      <c r="A662">
        <f t="shared" si="67"/>
        <v>654</v>
      </c>
      <c r="B662" t="str">
        <f t="shared" si="65"/>
        <v>0x28E</v>
      </c>
      <c r="C662">
        <f t="shared" si="68"/>
        <v>14</v>
      </c>
      <c r="D662" t="str">
        <f t="shared" si="66"/>
        <v>0000E</v>
      </c>
    </row>
    <row r="663" spans="1:4" x14ac:dyDescent="0.25">
      <c r="A663">
        <f t="shared" si="67"/>
        <v>655</v>
      </c>
      <c r="B663" t="str">
        <f t="shared" si="65"/>
        <v>0x28F</v>
      </c>
      <c r="C663">
        <f t="shared" si="68"/>
        <v>15</v>
      </c>
      <c r="D663" t="str">
        <f t="shared" si="66"/>
        <v>0000F</v>
      </c>
    </row>
    <row r="664" spans="1:4" x14ac:dyDescent="0.25">
      <c r="A664">
        <f t="shared" si="67"/>
        <v>656</v>
      </c>
      <c r="B664" t="str">
        <f t="shared" si="65"/>
        <v>0x290</v>
      </c>
      <c r="C664">
        <f t="shared" si="68"/>
        <v>16</v>
      </c>
      <c r="D664" t="str">
        <f t="shared" si="66"/>
        <v>00010</v>
      </c>
    </row>
    <row r="665" spans="1:4" x14ac:dyDescent="0.25">
      <c r="A665">
        <f t="shared" si="67"/>
        <v>657</v>
      </c>
      <c r="B665" t="str">
        <f t="shared" si="65"/>
        <v>0x291</v>
      </c>
      <c r="C665">
        <f t="shared" si="68"/>
        <v>17</v>
      </c>
      <c r="D665" t="str">
        <f t="shared" si="66"/>
        <v>00011</v>
      </c>
    </row>
    <row r="666" spans="1:4" x14ac:dyDescent="0.25">
      <c r="A666">
        <f t="shared" si="67"/>
        <v>658</v>
      </c>
      <c r="B666" t="str">
        <f t="shared" si="65"/>
        <v>0x292</v>
      </c>
      <c r="C666">
        <f t="shared" si="68"/>
        <v>18</v>
      </c>
      <c r="D666" t="str">
        <f t="shared" si="66"/>
        <v>00012</v>
      </c>
    </row>
    <row r="667" spans="1:4" x14ac:dyDescent="0.25">
      <c r="A667">
        <f t="shared" si="67"/>
        <v>659</v>
      </c>
      <c r="B667" t="str">
        <f t="shared" si="65"/>
        <v>0x293</v>
      </c>
      <c r="C667">
        <f t="shared" si="68"/>
        <v>19</v>
      </c>
      <c r="D667" t="str">
        <f t="shared" si="66"/>
        <v>00013</v>
      </c>
    </row>
    <row r="668" spans="1:4" x14ac:dyDescent="0.25">
      <c r="A668">
        <f t="shared" si="67"/>
        <v>660</v>
      </c>
      <c r="B668" t="str">
        <f t="shared" si="65"/>
        <v>0x294</v>
      </c>
      <c r="C668">
        <f t="shared" si="68"/>
        <v>20</v>
      </c>
      <c r="D668" t="str">
        <f t="shared" si="66"/>
        <v>00014</v>
      </c>
    </row>
    <row r="669" spans="1:4" x14ac:dyDescent="0.25">
      <c r="A669">
        <f t="shared" si="67"/>
        <v>661</v>
      </c>
      <c r="B669" t="str">
        <f t="shared" si="65"/>
        <v>0x295</v>
      </c>
      <c r="C669">
        <f t="shared" si="68"/>
        <v>21</v>
      </c>
      <c r="D669" t="str">
        <f t="shared" si="66"/>
        <v>00015</v>
      </c>
    </row>
    <row r="670" spans="1:4" x14ac:dyDescent="0.25">
      <c r="A670">
        <f t="shared" si="67"/>
        <v>662</v>
      </c>
      <c r="B670" t="str">
        <f t="shared" si="65"/>
        <v>0x296</v>
      </c>
      <c r="C670">
        <f t="shared" si="68"/>
        <v>22</v>
      </c>
      <c r="D670" t="str">
        <f t="shared" si="66"/>
        <v>00016</v>
      </c>
    </row>
    <row r="671" spans="1:4" x14ac:dyDescent="0.25">
      <c r="A671">
        <f t="shared" si="67"/>
        <v>663</v>
      </c>
      <c r="B671" t="str">
        <f t="shared" si="65"/>
        <v>0x297</v>
      </c>
      <c r="C671">
        <f t="shared" si="68"/>
        <v>23</v>
      </c>
      <c r="D671" t="str">
        <f t="shared" si="66"/>
        <v>00017</v>
      </c>
    </row>
    <row r="672" spans="1:4" x14ac:dyDescent="0.25">
      <c r="A672">
        <f t="shared" si="67"/>
        <v>664</v>
      </c>
      <c r="B672" t="str">
        <f t="shared" si="65"/>
        <v>0x298</v>
      </c>
      <c r="C672">
        <f t="shared" si="68"/>
        <v>24</v>
      </c>
      <c r="D672" t="str">
        <f t="shared" si="66"/>
        <v>00018</v>
      </c>
    </row>
    <row r="673" spans="1:4" x14ac:dyDescent="0.25">
      <c r="A673">
        <f t="shared" si="67"/>
        <v>665</v>
      </c>
      <c r="B673" t="str">
        <f t="shared" si="65"/>
        <v>0x299</v>
      </c>
      <c r="C673">
        <f t="shared" si="68"/>
        <v>25</v>
      </c>
      <c r="D673" t="str">
        <f t="shared" si="66"/>
        <v>00019</v>
      </c>
    </row>
    <row r="674" spans="1:4" x14ac:dyDescent="0.25">
      <c r="A674">
        <f t="shared" si="67"/>
        <v>666</v>
      </c>
      <c r="B674" t="str">
        <f t="shared" si="65"/>
        <v>0x29A</v>
      </c>
      <c r="C674">
        <f t="shared" si="68"/>
        <v>26</v>
      </c>
      <c r="D674" t="str">
        <f t="shared" si="66"/>
        <v>0001A</v>
      </c>
    </row>
    <row r="675" spans="1:4" x14ac:dyDescent="0.25">
      <c r="A675">
        <f t="shared" si="67"/>
        <v>667</v>
      </c>
      <c r="B675" t="str">
        <f t="shared" si="65"/>
        <v>0x29B</v>
      </c>
      <c r="C675">
        <f t="shared" si="68"/>
        <v>27</v>
      </c>
      <c r="D675" t="str">
        <f t="shared" si="66"/>
        <v>0001B</v>
      </c>
    </row>
    <row r="676" spans="1:4" x14ac:dyDescent="0.25">
      <c r="A676">
        <f t="shared" si="67"/>
        <v>668</v>
      </c>
      <c r="B676" t="str">
        <f t="shared" si="65"/>
        <v>0x29C</v>
      </c>
      <c r="C676">
        <f t="shared" si="68"/>
        <v>28</v>
      </c>
      <c r="D676" t="str">
        <f t="shared" si="66"/>
        <v>0001C</v>
      </c>
    </row>
    <row r="677" spans="1:4" x14ac:dyDescent="0.25">
      <c r="A677">
        <f t="shared" si="67"/>
        <v>669</v>
      </c>
      <c r="B677" t="str">
        <f t="shared" si="65"/>
        <v>0x29D</v>
      </c>
      <c r="C677">
        <f t="shared" si="68"/>
        <v>29</v>
      </c>
      <c r="D677" t="str">
        <f t="shared" si="66"/>
        <v>0001D</v>
      </c>
    </row>
    <row r="678" spans="1:4" x14ac:dyDescent="0.25">
      <c r="A678">
        <f t="shared" si="67"/>
        <v>670</v>
      </c>
      <c r="B678" t="str">
        <f t="shared" si="65"/>
        <v>0x29E</v>
      </c>
      <c r="C678">
        <f t="shared" si="68"/>
        <v>30</v>
      </c>
      <c r="D678" t="str">
        <f t="shared" si="66"/>
        <v>0001E</v>
      </c>
    </row>
    <row r="679" spans="1:4" x14ac:dyDescent="0.25">
      <c r="A679">
        <f t="shared" si="67"/>
        <v>671</v>
      </c>
      <c r="B679" t="str">
        <f t="shared" si="65"/>
        <v>0x29F</v>
      </c>
      <c r="C679">
        <f t="shared" si="68"/>
        <v>31</v>
      </c>
      <c r="D679" t="str">
        <f t="shared" si="66"/>
        <v>0001F</v>
      </c>
    </row>
    <row r="680" spans="1:4" x14ac:dyDescent="0.25">
      <c r="A680">
        <f t="shared" si="67"/>
        <v>672</v>
      </c>
      <c r="B680" t="str">
        <f t="shared" si="65"/>
        <v>0x2A0</v>
      </c>
      <c r="C680">
        <v>0</v>
      </c>
      <c r="D680" t="str">
        <f t="shared" si="66"/>
        <v>00000</v>
      </c>
    </row>
    <row r="681" spans="1:4" x14ac:dyDescent="0.25">
      <c r="A681">
        <f t="shared" si="67"/>
        <v>673</v>
      </c>
      <c r="B681" t="str">
        <f t="shared" si="65"/>
        <v>0x2A1</v>
      </c>
      <c r="C681">
        <f>C680+1</f>
        <v>1</v>
      </c>
      <c r="D681" t="str">
        <f t="shared" si="66"/>
        <v>00001</v>
      </c>
    </row>
    <row r="682" spans="1:4" x14ac:dyDescent="0.25">
      <c r="A682">
        <f t="shared" si="67"/>
        <v>674</v>
      </c>
      <c r="B682" t="str">
        <f t="shared" si="65"/>
        <v>0x2A2</v>
      </c>
      <c r="C682">
        <f t="shared" ref="C682:C711" si="69">C681+1</f>
        <v>2</v>
      </c>
      <c r="D682" t="str">
        <f t="shared" si="66"/>
        <v>00002</v>
      </c>
    </row>
    <row r="683" spans="1:4" x14ac:dyDescent="0.25">
      <c r="A683">
        <f t="shared" si="67"/>
        <v>675</v>
      </c>
      <c r="B683" t="str">
        <f t="shared" si="65"/>
        <v>0x2A3</v>
      </c>
      <c r="C683">
        <f t="shared" si="69"/>
        <v>3</v>
      </c>
      <c r="D683" t="str">
        <f t="shared" si="66"/>
        <v>00003</v>
      </c>
    </row>
    <row r="684" spans="1:4" x14ac:dyDescent="0.25">
      <c r="A684">
        <f t="shared" si="67"/>
        <v>676</v>
      </c>
      <c r="B684" t="str">
        <f t="shared" si="65"/>
        <v>0x2A4</v>
      </c>
      <c r="C684">
        <f t="shared" si="69"/>
        <v>4</v>
      </c>
      <c r="D684" t="str">
        <f t="shared" si="66"/>
        <v>00004</v>
      </c>
    </row>
    <row r="685" spans="1:4" x14ac:dyDescent="0.25">
      <c r="A685">
        <f t="shared" si="67"/>
        <v>677</v>
      </c>
      <c r="B685" t="str">
        <f t="shared" si="65"/>
        <v>0x2A5</v>
      </c>
      <c r="C685">
        <f t="shared" si="69"/>
        <v>5</v>
      </c>
      <c r="D685" t="str">
        <f t="shared" si="66"/>
        <v>00005</v>
      </c>
    </row>
    <row r="686" spans="1:4" x14ac:dyDescent="0.25">
      <c r="A686">
        <f t="shared" si="67"/>
        <v>678</v>
      </c>
      <c r="B686" t="str">
        <f t="shared" si="65"/>
        <v>0x2A6</v>
      </c>
      <c r="C686">
        <f t="shared" si="69"/>
        <v>6</v>
      </c>
      <c r="D686" t="str">
        <f t="shared" si="66"/>
        <v>00006</v>
      </c>
    </row>
    <row r="687" spans="1:4" x14ac:dyDescent="0.25">
      <c r="A687">
        <f t="shared" si="67"/>
        <v>679</v>
      </c>
      <c r="B687" t="str">
        <f t="shared" si="65"/>
        <v>0x2A7</v>
      </c>
      <c r="C687">
        <f t="shared" si="69"/>
        <v>7</v>
      </c>
      <c r="D687" t="str">
        <f t="shared" si="66"/>
        <v>00007</v>
      </c>
    </row>
    <row r="688" spans="1:4" x14ac:dyDescent="0.25">
      <c r="A688">
        <f t="shared" si="67"/>
        <v>680</v>
      </c>
      <c r="B688" t="str">
        <f t="shared" si="65"/>
        <v>0x2A8</v>
      </c>
      <c r="C688">
        <f t="shared" si="69"/>
        <v>8</v>
      </c>
      <c r="D688" t="str">
        <f t="shared" si="66"/>
        <v>00008</v>
      </c>
    </row>
    <row r="689" spans="1:4" x14ac:dyDescent="0.25">
      <c r="A689">
        <f t="shared" si="67"/>
        <v>681</v>
      </c>
      <c r="B689" t="str">
        <f t="shared" si="65"/>
        <v>0x2A9</v>
      </c>
      <c r="C689">
        <f t="shared" si="69"/>
        <v>9</v>
      </c>
      <c r="D689" t="str">
        <f t="shared" si="66"/>
        <v>00009</v>
      </c>
    </row>
    <row r="690" spans="1:4" x14ac:dyDescent="0.25">
      <c r="A690">
        <f t="shared" si="67"/>
        <v>682</v>
      </c>
      <c r="B690" t="str">
        <f t="shared" si="65"/>
        <v>0x2AA</v>
      </c>
      <c r="C690">
        <f t="shared" si="69"/>
        <v>10</v>
      </c>
      <c r="D690" t="str">
        <f t="shared" si="66"/>
        <v>0000A</v>
      </c>
    </row>
    <row r="691" spans="1:4" x14ac:dyDescent="0.25">
      <c r="A691">
        <f t="shared" si="67"/>
        <v>683</v>
      </c>
      <c r="B691" t="str">
        <f t="shared" si="65"/>
        <v>0x2AB</v>
      </c>
      <c r="C691">
        <f t="shared" si="69"/>
        <v>11</v>
      </c>
      <c r="D691" t="str">
        <f t="shared" si="66"/>
        <v>0000B</v>
      </c>
    </row>
    <row r="692" spans="1:4" x14ac:dyDescent="0.25">
      <c r="A692">
        <f t="shared" si="67"/>
        <v>684</v>
      </c>
      <c r="B692" t="str">
        <f t="shared" si="65"/>
        <v>0x2AC</v>
      </c>
      <c r="C692">
        <f t="shared" si="69"/>
        <v>12</v>
      </c>
      <c r="D692" t="str">
        <f t="shared" si="66"/>
        <v>0000C</v>
      </c>
    </row>
    <row r="693" spans="1:4" x14ac:dyDescent="0.25">
      <c r="A693">
        <f t="shared" si="67"/>
        <v>685</v>
      </c>
      <c r="B693" t="str">
        <f t="shared" si="65"/>
        <v>0x2AD</v>
      </c>
      <c r="C693">
        <f t="shared" si="69"/>
        <v>13</v>
      </c>
      <c r="D693" t="str">
        <f t="shared" si="66"/>
        <v>0000D</v>
      </c>
    </row>
    <row r="694" spans="1:4" x14ac:dyDescent="0.25">
      <c r="A694">
        <f t="shared" si="67"/>
        <v>686</v>
      </c>
      <c r="B694" t="str">
        <f t="shared" si="65"/>
        <v>0x2AE</v>
      </c>
      <c r="C694">
        <f t="shared" si="69"/>
        <v>14</v>
      </c>
      <c r="D694" t="str">
        <f t="shared" si="66"/>
        <v>0000E</v>
      </c>
    </row>
    <row r="695" spans="1:4" x14ac:dyDescent="0.25">
      <c r="A695">
        <f t="shared" si="67"/>
        <v>687</v>
      </c>
      <c r="B695" t="str">
        <f t="shared" si="65"/>
        <v>0x2AF</v>
      </c>
      <c r="C695">
        <f t="shared" si="69"/>
        <v>15</v>
      </c>
      <c r="D695" t="str">
        <f t="shared" si="66"/>
        <v>0000F</v>
      </c>
    </row>
    <row r="696" spans="1:4" x14ac:dyDescent="0.25">
      <c r="A696">
        <f t="shared" si="67"/>
        <v>688</v>
      </c>
      <c r="B696" t="str">
        <f t="shared" si="65"/>
        <v>0x2B0</v>
      </c>
      <c r="C696">
        <f t="shared" si="69"/>
        <v>16</v>
      </c>
      <c r="D696" t="str">
        <f t="shared" si="66"/>
        <v>00010</v>
      </c>
    </row>
    <row r="697" spans="1:4" x14ac:dyDescent="0.25">
      <c r="A697">
        <f t="shared" si="67"/>
        <v>689</v>
      </c>
      <c r="B697" t="str">
        <f t="shared" si="65"/>
        <v>0x2B1</v>
      </c>
      <c r="C697">
        <f t="shared" si="69"/>
        <v>17</v>
      </c>
      <c r="D697" t="str">
        <f t="shared" si="66"/>
        <v>00011</v>
      </c>
    </row>
    <row r="698" spans="1:4" x14ac:dyDescent="0.25">
      <c r="A698">
        <f t="shared" si="67"/>
        <v>690</v>
      </c>
      <c r="B698" t="str">
        <f t="shared" si="65"/>
        <v>0x2B2</v>
      </c>
      <c r="C698">
        <f t="shared" si="69"/>
        <v>18</v>
      </c>
      <c r="D698" t="str">
        <f t="shared" si="66"/>
        <v>00012</v>
      </c>
    </row>
    <row r="699" spans="1:4" x14ac:dyDescent="0.25">
      <c r="A699">
        <f t="shared" si="67"/>
        <v>691</v>
      </c>
      <c r="B699" t="str">
        <f t="shared" si="65"/>
        <v>0x2B3</v>
      </c>
      <c r="C699">
        <f t="shared" si="69"/>
        <v>19</v>
      </c>
      <c r="D699" t="str">
        <f t="shared" si="66"/>
        <v>00013</v>
      </c>
    </row>
    <row r="700" spans="1:4" x14ac:dyDescent="0.25">
      <c r="A700">
        <f t="shared" si="67"/>
        <v>692</v>
      </c>
      <c r="B700" t="str">
        <f t="shared" si="65"/>
        <v>0x2B4</v>
      </c>
      <c r="C700">
        <f t="shared" si="69"/>
        <v>20</v>
      </c>
      <c r="D700" t="str">
        <f t="shared" si="66"/>
        <v>00014</v>
      </c>
    </row>
    <row r="701" spans="1:4" x14ac:dyDescent="0.25">
      <c r="A701">
        <f t="shared" si="67"/>
        <v>693</v>
      </c>
      <c r="B701" t="str">
        <f t="shared" si="65"/>
        <v>0x2B5</v>
      </c>
      <c r="C701">
        <f t="shared" si="69"/>
        <v>21</v>
      </c>
      <c r="D701" t="str">
        <f t="shared" si="66"/>
        <v>00015</v>
      </c>
    </row>
    <row r="702" spans="1:4" x14ac:dyDescent="0.25">
      <c r="A702">
        <f t="shared" si="67"/>
        <v>694</v>
      </c>
      <c r="B702" t="str">
        <f t="shared" si="65"/>
        <v>0x2B6</v>
      </c>
      <c r="C702">
        <f t="shared" si="69"/>
        <v>22</v>
      </c>
      <c r="D702" t="str">
        <f t="shared" si="66"/>
        <v>00016</v>
      </c>
    </row>
    <row r="703" spans="1:4" x14ac:dyDescent="0.25">
      <c r="A703">
        <f t="shared" si="67"/>
        <v>695</v>
      </c>
      <c r="B703" t="str">
        <f t="shared" si="65"/>
        <v>0x2B7</v>
      </c>
      <c r="C703">
        <f t="shared" si="69"/>
        <v>23</v>
      </c>
      <c r="D703" t="str">
        <f t="shared" si="66"/>
        <v>00017</v>
      </c>
    </row>
    <row r="704" spans="1:4" x14ac:dyDescent="0.25">
      <c r="A704">
        <f t="shared" si="67"/>
        <v>696</v>
      </c>
      <c r="B704" t="str">
        <f t="shared" si="65"/>
        <v>0x2B8</v>
      </c>
      <c r="C704">
        <f t="shared" si="69"/>
        <v>24</v>
      </c>
      <c r="D704" t="str">
        <f t="shared" si="66"/>
        <v>00018</v>
      </c>
    </row>
    <row r="705" spans="1:4" x14ac:dyDescent="0.25">
      <c r="A705">
        <f t="shared" si="67"/>
        <v>697</v>
      </c>
      <c r="B705" t="str">
        <f t="shared" si="65"/>
        <v>0x2B9</v>
      </c>
      <c r="C705">
        <f t="shared" si="69"/>
        <v>25</v>
      </c>
      <c r="D705" t="str">
        <f t="shared" si="66"/>
        <v>00019</v>
      </c>
    </row>
    <row r="706" spans="1:4" x14ac:dyDescent="0.25">
      <c r="A706">
        <f t="shared" si="67"/>
        <v>698</v>
      </c>
      <c r="B706" t="str">
        <f t="shared" si="65"/>
        <v>0x2BA</v>
      </c>
      <c r="C706">
        <f t="shared" si="69"/>
        <v>26</v>
      </c>
      <c r="D706" t="str">
        <f t="shared" si="66"/>
        <v>0001A</v>
      </c>
    </row>
    <row r="707" spans="1:4" x14ac:dyDescent="0.25">
      <c r="A707">
        <f t="shared" si="67"/>
        <v>699</v>
      </c>
      <c r="B707" t="str">
        <f t="shared" si="65"/>
        <v>0x2BB</v>
      </c>
      <c r="C707">
        <f t="shared" si="69"/>
        <v>27</v>
      </c>
      <c r="D707" t="str">
        <f t="shared" si="66"/>
        <v>0001B</v>
      </c>
    </row>
    <row r="708" spans="1:4" x14ac:dyDescent="0.25">
      <c r="A708">
        <f t="shared" si="67"/>
        <v>700</v>
      </c>
      <c r="B708" t="str">
        <f t="shared" si="65"/>
        <v>0x2BC</v>
      </c>
      <c r="C708">
        <f t="shared" si="69"/>
        <v>28</v>
      </c>
      <c r="D708" t="str">
        <f t="shared" si="66"/>
        <v>0001C</v>
      </c>
    </row>
    <row r="709" spans="1:4" x14ac:dyDescent="0.25">
      <c r="A709">
        <f t="shared" si="67"/>
        <v>701</v>
      </c>
      <c r="B709" t="str">
        <f t="shared" si="65"/>
        <v>0x2BD</v>
      </c>
      <c r="C709">
        <f t="shared" si="69"/>
        <v>29</v>
      </c>
      <c r="D709" t="str">
        <f t="shared" si="66"/>
        <v>0001D</v>
      </c>
    </row>
    <row r="710" spans="1:4" x14ac:dyDescent="0.25">
      <c r="A710">
        <f t="shared" si="67"/>
        <v>702</v>
      </c>
      <c r="B710" t="str">
        <f t="shared" si="65"/>
        <v>0x2BE</v>
      </c>
      <c r="C710">
        <f t="shared" si="69"/>
        <v>30</v>
      </c>
      <c r="D710" t="str">
        <f t="shared" si="66"/>
        <v>0001E</v>
      </c>
    </row>
    <row r="711" spans="1:4" x14ac:dyDescent="0.25">
      <c r="A711">
        <f t="shared" si="67"/>
        <v>703</v>
      </c>
      <c r="B711" t="str">
        <f t="shared" si="65"/>
        <v>0x2BF</v>
      </c>
      <c r="C711">
        <f t="shared" si="69"/>
        <v>31</v>
      </c>
      <c r="D711" t="str">
        <f t="shared" si="66"/>
        <v>0001F</v>
      </c>
    </row>
    <row r="712" spans="1:4" x14ac:dyDescent="0.25">
      <c r="A712">
        <f t="shared" si="67"/>
        <v>704</v>
      </c>
      <c r="B712" t="str">
        <f t="shared" si="65"/>
        <v>0x2C0</v>
      </c>
      <c r="C712">
        <v>0</v>
      </c>
      <c r="D712" t="str">
        <f t="shared" si="66"/>
        <v>00000</v>
      </c>
    </row>
    <row r="713" spans="1:4" x14ac:dyDescent="0.25">
      <c r="A713">
        <f t="shared" si="67"/>
        <v>705</v>
      </c>
      <c r="B713" t="str">
        <f t="shared" ref="B713:B776" si="70">CONCATENATE("0x",DEC2HEX(A713,3))</f>
        <v>0x2C1</v>
      </c>
      <c r="C713">
        <f>C712+1</f>
        <v>1</v>
      </c>
      <c r="D713" t="str">
        <f t="shared" ref="D713:D776" si="71">DEC2HEX(C713,5)</f>
        <v>00001</v>
      </c>
    </row>
    <row r="714" spans="1:4" x14ac:dyDescent="0.25">
      <c r="A714">
        <f t="shared" ref="A714:A777" si="72">A713+1</f>
        <v>706</v>
      </c>
      <c r="B714" t="str">
        <f t="shared" si="70"/>
        <v>0x2C2</v>
      </c>
      <c r="C714">
        <f t="shared" ref="C714:C743" si="73">C713+1</f>
        <v>2</v>
      </c>
      <c r="D714" t="str">
        <f t="shared" si="71"/>
        <v>00002</v>
      </c>
    </row>
    <row r="715" spans="1:4" x14ac:dyDescent="0.25">
      <c r="A715">
        <f t="shared" si="72"/>
        <v>707</v>
      </c>
      <c r="B715" t="str">
        <f t="shared" si="70"/>
        <v>0x2C3</v>
      </c>
      <c r="C715">
        <f t="shared" si="73"/>
        <v>3</v>
      </c>
      <c r="D715" t="str">
        <f t="shared" si="71"/>
        <v>00003</v>
      </c>
    </row>
    <row r="716" spans="1:4" x14ac:dyDescent="0.25">
      <c r="A716">
        <f t="shared" si="72"/>
        <v>708</v>
      </c>
      <c r="B716" t="str">
        <f t="shared" si="70"/>
        <v>0x2C4</v>
      </c>
      <c r="C716">
        <f t="shared" si="73"/>
        <v>4</v>
      </c>
      <c r="D716" t="str">
        <f t="shared" si="71"/>
        <v>00004</v>
      </c>
    </row>
    <row r="717" spans="1:4" x14ac:dyDescent="0.25">
      <c r="A717">
        <f t="shared" si="72"/>
        <v>709</v>
      </c>
      <c r="B717" t="str">
        <f t="shared" si="70"/>
        <v>0x2C5</v>
      </c>
      <c r="C717">
        <f t="shared" si="73"/>
        <v>5</v>
      </c>
      <c r="D717" t="str">
        <f t="shared" si="71"/>
        <v>00005</v>
      </c>
    </row>
    <row r="718" spans="1:4" x14ac:dyDescent="0.25">
      <c r="A718">
        <f t="shared" si="72"/>
        <v>710</v>
      </c>
      <c r="B718" t="str">
        <f t="shared" si="70"/>
        <v>0x2C6</v>
      </c>
      <c r="C718">
        <f t="shared" si="73"/>
        <v>6</v>
      </c>
      <c r="D718" t="str">
        <f t="shared" si="71"/>
        <v>00006</v>
      </c>
    </row>
    <row r="719" spans="1:4" x14ac:dyDescent="0.25">
      <c r="A719">
        <f t="shared" si="72"/>
        <v>711</v>
      </c>
      <c r="B719" t="str">
        <f t="shared" si="70"/>
        <v>0x2C7</v>
      </c>
      <c r="C719">
        <f t="shared" si="73"/>
        <v>7</v>
      </c>
      <c r="D719" t="str">
        <f t="shared" si="71"/>
        <v>00007</v>
      </c>
    </row>
    <row r="720" spans="1:4" x14ac:dyDescent="0.25">
      <c r="A720">
        <f t="shared" si="72"/>
        <v>712</v>
      </c>
      <c r="B720" t="str">
        <f t="shared" si="70"/>
        <v>0x2C8</v>
      </c>
      <c r="C720">
        <f t="shared" si="73"/>
        <v>8</v>
      </c>
      <c r="D720" t="str">
        <f t="shared" si="71"/>
        <v>00008</v>
      </c>
    </row>
    <row r="721" spans="1:4" x14ac:dyDescent="0.25">
      <c r="A721">
        <f t="shared" si="72"/>
        <v>713</v>
      </c>
      <c r="B721" t="str">
        <f t="shared" si="70"/>
        <v>0x2C9</v>
      </c>
      <c r="C721">
        <f t="shared" si="73"/>
        <v>9</v>
      </c>
      <c r="D721" t="str">
        <f t="shared" si="71"/>
        <v>00009</v>
      </c>
    </row>
    <row r="722" spans="1:4" x14ac:dyDescent="0.25">
      <c r="A722">
        <f t="shared" si="72"/>
        <v>714</v>
      </c>
      <c r="B722" t="str">
        <f t="shared" si="70"/>
        <v>0x2CA</v>
      </c>
      <c r="C722">
        <f t="shared" si="73"/>
        <v>10</v>
      </c>
      <c r="D722" t="str">
        <f t="shared" si="71"/>
        <v>0000A</v>
      </c>
    </row>
    <row r="723" spans="1:4" x14ac:dyDescent="0.25">
      <c r="A723">
        <f t="shared" si="72"/>
        <v>715</v>
      </c>
      <c r="B723" t="str">
        <f t="shared" si="70"/>
        <v>0x2CB</v>
      </c>
      <c r="C723">
        <f t="shared" si="73"/>
        <v>11</v>
      </c>
      <c r="D723" t="str">
        <f t="shared" si="71"/>
        <v>0000B</v>
      </c>
    </row>
    <row r="724" spans="1:4" x14ac:dyDescent="0.25">
      <c r="A724">
        <f t="shared" si="72"/>
        <v>716</v>
      </c>
      <c r="B724" t="str">
        <f t="shared" si="70"/>
        <v>0x2CC</v>
      </c>
      <c r="C724">
        <f t="shared" si="73"/>
        <v>12</v>
      </c>
      <c r="D724" t="str">
        <f t="shared" si="71"/>
        <v>0000C</v>
      </c>
    </row>
    <row r="725" spans="1:4" x14ac:dyDescent="0.25">
      <c r="A725">
        <f t="shared" si="72"/>
        <v>717</v>
      </c>
      <c r="B725" t="str">
        <f t="shared" si="70"/>
        <v>0x2CD</v>
      </c>
      <c r="C725">
        <f t="shared" si="73"/>
        <v>13</v>
      </c>
      <c r="D725" t="str">
        <f t="shared" si="71"/>
        <v>0000D</v>
      </c>
    </row>
    <row r="726" spans="1:4" x14ac:dyDescent="0.25">
      <c r="A726">
        <f t="shared" si="72"/>
        <v>718</v>
      </c>
      <c r="B726" t="str">
        <f t="shared" si="70"/>
        <v>0x2CE</v>
      </c>
      <c r="C726">
        <f t="shared" si="73"/>
        <v>14</v>
      </c>
      <c r="D726" t="str">
        <f t="shared" si="71"/>
        <v>0000E</v>
      </c>
    </row>
    <row r="727" spans="1:4" x14ac:dyDescent="0.25">
      <c r="A727">
        <f t="shared" si="72"/>
        <v>719</v>
      </c>
      <c r="B727" t="str">
        <f t="shared" si="70"/>
        <v>0x2CF</v>
      </c>
      <c r="C727">
        <f t="shared" si="73"/>
        <v>15</v>
      </c>
      <c r="D727" t="str">
        <f t="shared" si="71"/>
        <v>0000F</v>
      </c>
    </row>
    <row r="728" spans="1:4" x14ac:dyDescent="0.25">
      <c r="A728">
        <f t="shared" si="72"/>
        <v>720</v>
      </c>
      <c r="B728" t="str">
        <f t="shared" si="70"/>
        <v>0x2D0</v>
      </c>
      <c r="C728">
        <f t="shared" si="73"/>
        <v>16</v>
      </c>
      <c r="D728" t="str">
        <f t="shared" si="71"/>
        <v>00010</v>
      </c>
    </row>
    <row r="729" spans="1:4" x14ac:dyDescent="0.25">
      <c r="A729">
        <f t="shared" si="72"/>
        <v>721</v>
      </c>
      <c r="B729" t="str">
        <f t="shared" si="70"/>
        <v>0x2D1</v>
      </c>
      <c r="C729">
        <f t="shared" si="73"/>
        <v>17</v>
      </c>
      <c r="D729" t="str">
        <f t="shared" si="71"/>
        <v>00011</v>
      </c>
    </row>
    <row r="730" spans="1:4" x14ac:dyDescent="0.25">
      <c r="A730">
        <f t="shared" si="72"/>
        <v>722</v>
      </c>
      <c r="B730" t="str">
        <f t="shared" si="70"/>
        <v>0x2D2</v>
      </c>
      <c r="C730">
        <f t="shared" si="73"/>
        <v>18</v>
      </c>
      <c r="D730" t="str">
        <f t="shared" si="71"/>
        <v>00012</v>
      </c>
    </row>
    <row r="731" spans="1:4" x14ac:dyDescent="0.25">
      <c r="A731">
        <f t="shared" si="72"/>
        <v>723</v>
      </c>
      <c r="B731" t="str">
        <f t="shared" si="70"/>
        <v>0x2D3</v>
      </c>
      <c r="C731">
        <f t="shared" si="73"/>
        <v>19</v>
      </c>
      <c r="D731" t="str">
        <f t="shared" si="71"/>
        <v>00013</v>
      </c>
    </row>
    <row r="732" spans="1:4" x14ac:dyDescent="0.25">
      <c r="A732">
        <f t="shared" si="72"/>
        <v>724</v>
      </c>
      <c r="B732" t="str">
        <f t="shared" si="70"/>
        <v>0x2D4</v>
      </c>
      <c r="C732">
        <f t="shared" si="73"/>
        <v>20</v>
      </c>
      <c r="D732" t="str">
        <f t="shared" si="71"/>
        <v>00014</v>
      </c>
    </row>
    <row r="733" spans="1:4" x14ac:dyDescent="0.25">
      <c r="A733">
        <f t="shared" si="72"/>
        <v>725</v>
      </c>
      <c r="B733" t="str">
        <f t="shared" si="70"/>
        <v>0x2D5</v>
      </c>
      <c r="C733">
        <f t="shared" si="73"/>
        <v>21</v>
      </c>
      <c r="D733" t="str">
        <f t="shared" si="71"/>
        <v>00015</v>
      </c>
    </row>
    <row r="734" spans="1:4" x14ac:dyDescent="0.25">
      <c r="A734">
        <f t="shared" si="72"/>
        <v>726</v>
      </c>
      <c r="B734" t="str">
        <f t="shared" si="70"/>
        <v>0x2D6</v>
      </c>
      <c r="C734">
        <f t="shared" si="73"/>
        <v>22</v>
      </c>
      <c r="D734" t="str">
        <f t="shared" si="71"/>
        <v>00016</v>
      </c>
    </row>
    <row r="735" spans="1:4" x14ac:dyDescent="0.25">
      <c r="A735">
        <f t="shared" si="72"/>
        <v>727</v>
      </c>
      <c r="B735" t="str">
        <f t="shared" si="70"/>
        <v>0x2D7</v>
      </c>
      <c r="C735">
        <f t="shared" si="73"/>
        <v>23</v>
      </c>
      <c r="D735" t="str">
        <f t="shared" si="71"/>
        <v>00017</v>
      </c>
    </row>
    <row r="736" spans="1:4" x14ac:dyDescent="0.25">
      <c r="A736">
        <f t="shared" si="72"/>
        <v>728</v>
      </c>
      <c r="B736" t="str">
        <f t="shared" si="70"/>
        <v>0x2D8</v>
      </c>
      <c r="C736">
        <f t="shared" si="73"/>
        <v>24</v>
      </c>
      <c r="D736" t="str">
        <f t="shared" si="71"/>
        <v>00018</v>
      </c>
    </row>
    <row r="737" spans="1:4" x14ac:dyDescent="0.25">
      <c r="A737">
        <f t="shared" si="72"/>
        <v>729</v>
      </c>
      <c r="B737" t="str">
        <f t="shared" si="70"/>
        <v>0x2D9</v>
      </c>
      <c r="C737">
        <f t="shared" si="73"/>
        <v>25</v>
      </c>
      <c r="D737" t="str">
        <f t="shared" si="71"/>
        <v>00019</v>
      </c>
    </row>
    <row r="738" spans="1:4" x14ac:dyDescent="0.25">
      <c r="A738">
        <f t="shared" si="72"/>
        <v>730</v>
      </c>
      <c r="B738" t="str">
        <f t="shared" si="70"/>
        <v>0x2DA</v>
      </c>
      <c r="C738">
        <f t="shared" si="73"/>
        <v>26</v>
      </c>
      <c r="D738" t="str">
        <f t="shared" si="71"/>
        <v>0001A</v>
      </c>
    </row>
    <row r="739" spans="1:4" x14ac:dyDescent="0.25">
      <c r="A739">
        <f t="shared" si="72"/>
        <v>731</v>
      </c>
      <c r="B739" t="str">
        <f t="shared" si="70"/>
        <v>0x2DB</v>
      </c>
      <c r="C739">
        <f t="shared" si="73"/>
        <v>27</v>
      </c>
      <c r="D739" t="str">
        <f t="shared" si="71"/>
        <v>0001B</v>
      </c>
    </row>
    <row r="740" spans="1:4" x14ac:dyDescent="0.25">
      <c r="A740">
        <f t="shared" si="72"/>
        <v>732</v>
      </c>
      <c r="B740" t="str">
        <f t="shared" si="70"/>
        <v>0x2DC</v>
      </c>
      <c r="C740">
        <f t="shared" si="73"/>
        <v>28</v>
      </c>
      <c r="D740" t="str">
        <f t="shared" si="71"/>
        <v>0001C</v>
      </c>
    </row>
    <row r="741" spans="1:4" x14ac:dyDescent="0.25">
      <c r="A741">
        <f t="shared" si="72"/>
        <v>733</v>
      </c>
      <c r="B741" t="str">
        <f t="shared" si="70"/>
        <v>0x2DD</v>
      </c>
      <c r="C741">
        <f t="shared" si="73"/>
        <v>29</v>
      </c>
      <c r="D741" t="str">
        <f t="shared" si="71"/>
        <v>0001D</v>
      </c>
    </row>
    <row r="742" spans="1:4" x14ac:dyDescent="0.25">
      <c r="A742">
        <f t="shared" si="72"/>
        <v>734</v>
      </c>
      <c r="B742" t="str">
        <f t="shared" si="70"/>
        <v>0x2DE</v>
      </c>
      <c r="C742">
        <f t="shared" si="73"/>
        <v>30</v>
      </c>
      <c r="D742" t="str">
        <f t="shared" si="71"/>
        <v>0001E</v>
      </c>
    </row>
    <row r="743" spans="1:4" x14ac:dyDescent="0.25">
      <c r="A743">
        <f t="shared" si="72"/>
        <v>735</v>
      </c>
      <c r="B743" t="str">
        <f t="shared" si="70"/>
        <v>0x2DF</v>
      </c>
      <c r="C743">
        <f t="shared" si="73"/>
        <v>31</v>
      </c>
      <c r="D743" t="str">
        <f t="shared" si="71"/>
        <v>0001F</v>
      </c>
    </row>
    <row r="744" spans="1:4" x14ac:dyDescent="0.25">
      <c r="A744">
        <f t="shared" si="72"/>
        <v>736</v>
      </c>
      <c r="B744" t="str">
        <f t="shared" si="70"/>
        <v>0x2E0</v>
      </c>
      <c r="C744">
        <v>0</v>
      </c>
      <c r="D744" t="str">
        <f t="shared" si="71"/>
        <v>00000</v>
      </c>
    </row>
    <row r="745" spans="1:4" x14ac:dyDescent="0.25">
      <c r="A745">
        <f t="shared" si="72"/>
        <v>737</v>
      </c>
      <c r="B745" t="str">
        <f t="shared" si="70"/>
        <v>0x2E1</v>
      </c>
      <c r="C745">
        <f>C744+1</f>
        <v>1</v>
      </c>
      <c r="D745" t="str">
        <f t="shared" si="71"/>
        <v>00001</v>
      </c>
    </row>
    <row r="746" spans="1:4" x14ac:dyDescent="0.25">
      <c r="A746">
        <f t="shared" si="72"/>
        <v>738</v>
      </c>
      <c r="B746" t="str">
        <f t="shared" si="70"/>
        <v>0x2E2</v>
      </c>
      <c r="C746">
        <f t="shared" ref="C746:C775" si="74">C745+1</f>
        <v>2</v>
      </c>
      <c r="D746" t="str">
        <f t="shared" si="71"/>
        <v>00002</v>
      </c>
    </row>
    <row r="747" spans="1:4" x14ac:dyDescent="0.25">
      <c r="A747">
        <f t="shared" si="72"/>
        <v>739</v>
      </c>
      <c r="B747" t="str">
        <f t="shared" si="70"/>
        <v>0x2E3</v>
      </c>
      <c r="C747">
        <f t="shared" si="74"/>
        <v>3</v>
      </c>
      <c r="D747" t="str">
        <f t="shared" si="71"/>
        <v>00003</v>
      </c>
    </row>
    <row r="748" spans="1:4" x14ac:dyDescent="0.25">
      <c r="A748">
        <f t="shared" si="72"/>
        <v>740</v>
      </c>
      <c r="B748" t="str">
        <f t="shared" si="70"/>
        <v>0x2E4</v>
      </c>
      <c r="C748">
        <f t="shared" si="74"/>
        <v>4</v>
      </c>
      <c r="D748" t="str">
        <f t="shared" si="71"/>
        <v>00004</v>
      </c>
    </row>
    <row r="749" spans="1:4" x14ac:dyDescent="0.25">
      <c r="A749">
        <f t="shared" si="72"/>
        <v>741</v>
      </c>
      <c r="B749" t="str">
        <f t="shared" si="70"/>
        <v>0x2E5</v>
      </c>
      <c r="C749">
        <f t="shared" si="74"/>
        <v>5</v>
      </c>
      <c r="D749" t="str">
        <f t="shared" si="71"/>
        <v>00005</v>
      </c>
    </row>
    <row r="750" spans="1:4" x14ac:dyDescent="0.25">
      <c r="A750">
        <f t="shared" si="72"/>
        <v>742</v>
      </c>
      <c r="B750" t="str">
        <f t="shared" si="70"/>
        <v>0x2E6</v>
      </c>
      <c r="C750">
        <f t="shared" si="74"/>
        <v>6</v>
      </c>
      <c r="D750" t="str">
        <f t="shared" si="71"/>
        <v>00006</v>
      </c>
    </row>
    <row r="751" spans="1:4" x14ac:dyDescent="0.25">
      <c r="A751">
        <f t="shared" si="72"/>
        <v>743</v>
      </c>
      <c r="B751" t="str">
        <f t="shared" si="70"/>
        <v>0x2E7</v>
      </c>
      <c r="C751">
        <f t="shared" si="74"/>
        <v>7</v>
      </c>
      <c r="D751" t="str">
        <f t="shared" si="71"/>
        <v>00007</v>
      </c>
    </row>
    <row r="752" spans="1:4" x14ac:dyDescent="0.25">
      <c r="A752">
        <f t="shared" si="72"/>
        <v>744</v>
      </c>
      <c r="B752" t="str">
        <f t="shared" si="70"/>
        <v>0x2E8</v>
      </c>
      <c r="C752">
        <f t="shared" si="74"/>
        <v>8</v>
      </c>
      <c r="D752" t="str">
        <f t="shared" si="71"/>
        <v>00008</v>
      </c>
    </row>
    <row r="753" spans="1:4" x14ac:dyDescent="0.25">
      <c r="A753">
        <f t="shared" si="72"/>
        <v>745</v>
      </c>
      <c r="B753" t="str">
        <f t="shared" si="70"/>
        <v>0x2E9</v>
      </c>
      <c r="C753">
        <f t="shared" si="74"/>
        <v>9</v>
      </c>
      <c r="D753" t="str">
        <f t="shared" si="71"/>
        <v>00009</v>
      </c>
    </row>
    <row r="754" spans="1:4" x14ac:dyDescent="0.25">
      <c r="A754">
        <f t="shared" si="72"/>
        <v>746</v>
      </c>
      <c r="B754" t="str">
        <f t="shared" si="70"/>
        <v>0x2EA</v>
      </c>
      <c r="C754">
        <f t="shared" si="74"/>
        <v>10</v>
      </c>
      <c r="D754" t="str">
        <f t="shared" si="71"/>
        <v>0000A</v>
      </c>
    </row>
    <row r="755" spans="1:4" x14ac:dyDescent="0.25">
      <c r="A755">
        <f t="shared" si="72"/>
        <v>747</v>
      </c>
      <c r="B755" t="str">
        <f t="shared" si="70"/>
        <v>0x2EB</v>
      </c>
      <c r="C755">
        <f t="shared" si="74"/>
        <v>11</v>
      </c>
      <c r="D755" t="str">
        <f t="shared" si="71"/>
        <v>0000B</v>
      </c>
    </row>
    <row r="756" spans="1:4" x14ac:dyDescent="0.25">
      <c r="A756">
        <f t="shared" si="72"/>
        <v>748</v>
      </c>
      <c r="B756" t="str">
        <f t="shared" si="70"/>
        <v>0x2EC</v>
      </c>
      <c r="C756">
        <f t="shared" si="74"/>
        <v>12</v>
      </c>
      <c r="D756" t="str">
        <f t="shared" si="71"/>
        <v>0000C</v>
      </c>
    </row>
    <row r="757" spans="1:4" x14ac:dyDescent="0.25">
      <c r="A757">
        <f t="shared" si="72"/>
        <v>749</v>
      </c>
      <c r="B757" t="str">
        <f t="shared" si="70"/>
        <v>0x2ED</v>
      </c>
      <c r="C757">
        <f t="shared" si="74"/>
        <v>13</v>
      </c>
      <c r="D757" t="str">
        <f t="shared" si="71"/>
        <v>0000D</v>
      </c>
    </row>
    <row r="758" spans="1:4" x14ac:dyDescent="0.25">
      <c r="A758">
        <f t="shared" si="72"/>
        <v>750</v>
      </c>
      <c r="B758" t="str">
        <f t="shared" si="70"/>
        <v>0x2EE</v>
      </c>
      <c r="C758">
        <f t="shared" si="74"/>
        <v>14</v>
      </c>
      <c r="D758" t="str">
        <f t="shared" si="71"/>
        <v>0000E</v>
      </c>
    </row>
    <row r="759" spans="1:4" x14ac:dyDescent="0.25">
      <c r="A759">
        <f t="shared" si="72"/>
        <v>751</v>
      </c>
      <c r="B759" t="str">
        <f t="shared" si="70"/>
        <v>0x2EF</v>
      </c>
      <c r="C759">
        <f t="shared" si="74"/>
        <v>15</v>
      </c>
      <c r="D759" t="str">
        <f t="shared" si="71"/>
        <v>0000F</v>
      </c>
    </row>
    <row r="760" spans="1:4" x14ac:dyDescent="0.25">
      <c r="A760">
        <f t="shared" si="72"/>
        <v>752</v>
      </c>
      <c r="B760" t="str">
        <f t="shared" si="70"/>
        <v>0x2F0</v>
      </c>
      <c r="C760">
        <f t="shared" si="74"/>
        <v>16</v>
      </c>
      <c r="D760" t="str">
        <f t="shared" si="71"/>
        <v>00010</v>
      </c>
    </row>
    <row r="761" spans="1:4" x14ac:dyDescent="0.25">
      <c r="A761">
        <f t="shared" si="72"/>
        <v>753</v>
      </c>
      <c r="B761" t="str">
        <f t="shared" si="70"/>
        <v>0x2F1</v>
      </c>
      <c r="C761">
        <f t="shared" si="74"/>
        <v>17</v>
      </c>
      <c r="D761" t="str">
        <f t="shared" si="71"/>
        <v>00011</v>
      </c>
    </row>
    <row r="762" spans="1:4" x14ac:dyDescent="0.25">
      <c r="A762">
        <f t="shared" si="72"/>
        <v>754</v>
      </c>
      <c r="B762" t="str">
        <f t="shared" si="70"/>
        <v>0x2F2</v>
      </c>
      <c r="C762">
        <f t="shared" si="74"/>
        <v>18</v>
      </c>
      <c r="D762" t="str">
        <f t="shared" si="71"/>
        <v>00012</v>
      </c>
    </row>
    <row r="763" spans="1:4" x14ac:dyDescent="0.25">
      <c r="A763">
        <f t="shared" si="72"/>
        <v>755</v>
      </c>
      <c r="B763" t="str">
        <f t="shared" si="70"/>
        <v>0x2F3</v>
      </c>
      <c r="C763">
        <f t="shared" si="74"/>
        <v>19</v>
      </c>
      <c r="D763" t="str">
        <f t="shared" si="71"/>
        <v>00013</v>
      </c>
    </row>
    <row r="764" spans="1:4" x14ac:dyDescent="0.25">
      <c r="A764">
        <f t="shared" si="72"/>
        <v>756</v>
      </c>
      <c r="B764" t="str">
        <f t="shared" si="70"/>
        <v>0x2F4</v>
      </c>
      <c r="C764">
        <f t="shared" si="74"/>
        <v>20</v>
      </c>
      <c r="D764" t="str">
        <f t="shared" si="71"/>
        <v>00014</v>
      </c>
    </row>
    <row r="765" spans="1:4" x14ac:dyDescent="0.25">
      <c r="A765">
        <f t="shared" si="72"/>
        <v>757</v>
      </c>
      <c r="B765" t="str">
        <f t="shared" si="70"/>
        <v>0x2F5</v>
      </c>
      <c r="C765">
        <f t="shared" si="74"/>
        <v>21</v>
      </c>
      <c r="D765" t="str">
        <f t="shared" si="71"/>
        <v>00015</v>
      </c>
    </row>
    <row r="766" spans="1:4" x14ac:dyDescent="0.25">
      <c r="A766">
        <f t="shared" si="72"/>
        <v>758</v>
      </c>
      <c r="B766" t="str">
        <f t="shared" si="70"/>
        <v>0x2F6</v>
      </c>
      <c r="C766">
        <f t="shared" si="74"/>
        <v>22</v>
      </c>
      <c r="D766" t="str">
        <f t="shared" si="71"/>
        <v>00016</v>
      </c>
    </row>
    <row r="767" spans="1:4" x14ac:dyDescent="0.25">
      <c r="A767">
        <f t="shared" si="72"/>
        <v>759</v>
      </c>
      <c r="B767" t="str">
        <f t="shared" si="70"/>
        <v>0x2F7</v>
      </c>
      <c r="C767">
        <f t="shared" si="74"/>
        <v>23</v>
      </c>
      <c r="D767" t="str">
        <f t="shared" si="71"/>
        <v>00017</v>
      </c>
    </row>
    <row r="768" spans="1:4" x14ac:dyDescent="0.25">
      <c r="A768">
        <f t="shared" si="72"/>
        <v>760</v>
      </c>
      <c r="B768" t="str">
        <f t="shared" si="70"/>
        <v>0x2F8</v>
      </c>
      <c r="C768">
        <f t="shared" si="74"/>
        <v>24</v>
      </c>
      <c r="D768" t="str">
        <f t="shared" si="71"/>
        <v>00018</v>
      </c>
    </row>
    <row r="769" spans="1:4" x14ac:dyDescent="0.25">
      <c r="A769">
        <f t="shared" si="72"/>
        <v>761</v>
      </c>
      <c r="B769" t="str">
        <f t="shared" si="70"/>
        <v>0x2F9</v>
      </c>
      <c r="C769">
        <f t="shared" si="74"/>
        <v>25</v>
      </c>
      <c r="D769" t="str">
        <f t="shared" si="71"/>
        <v>00019</v>
      </c>
    </row>
    <row r="770" spans="1:4" x14ac:dyDescent="0.25">
      <c r="A770">
        <f t="shared" si="72"/>
        <v>762</v>
      </c>
      <c r="B770" t="str">
        <f t="shared" si="70"/>
        <v>0x2FA</v>
      </c>
      <c r="C770">
        <f t="shared" si="74"/>
        <v>26</v>
      </c>
      <c r="D770" t="str">
        <f t="shared" si="71"/>
        <v>0001A</v>
      </c>
    </row>
    <row r="771" spans="1:4" x14ac:dyDescent="0.25">
      <c r="A771">
        <f t="shared" si="72"/>
        <v>763</v>
      </c>
      <c r="B771" t="str">
        <f t="shared" si="70"/>
        <v>0x2FB</v>
      </c>
      <c r="C771">
        <f t="shared" si="74"/>
        <v>27</v>
      </c>
      <c r="D771" t="str">
        <f t="shared" si="71"/>
        <v>0001B</v>
      </c>
    </row>
    <row r="772" spans="1:4" x14ac:dyDescent="0.25">
      <c r="A772">
        <f t="shared" si="72"/>
        <v>764</v>
      </c>
      <c r="B772" t="str">
        <f t="shared" si="70"/>
        <v>0x2FC</v>
      </c>
      <c r="C772">
        <f t="shared" si="74"/>
        <v>28</v>
      </c>
      <c r="D772" t="str">
        <f t="shared" si="71"/>
        <v>0001C</v>
      </c>
    </row>
    <row r="773" spans="1:4" x14ac:dyDescent="0.25">
      <c r="A773">
        <f t="shared" si="72"/>
        <v>765</v>
      </c>
      <c r="B773" t="str">
        <f t="shared" si="70"/>
        <v>0x2FD</v>
      </c>
      <c r="C773">
        <f t="shared" si="74"/>
        <v>29</v>
      </c>
      <c r="D773" t="str">
        <f t="shared" si="71"/>
        <v>0001D</v>
      </c>
    </row>
    <row r="774" spans="1:4" x14ac:dyDescent="0.25">
      <c r="A774">
        <f t="shared" si="72"/>
        <v>766</v>
      </c>
      <c r="B774" t="str">
        <f t="shared" si="70"/>
        <v>0x2FE</v>
      </c>
      <c r="C774">
        <f t="shared" si="74"/>
        <v>30</v>
      </c>
      <c r="D774" t="str">
        <f t="shared" si="71"/>
        <v>0001E</v>
      </c>
    </row>
    <row r="775" spans="1:4" x14ac:dyDescent="0.25">
      <c r="A775">
        <f t="shared" si="72"/>
        <v>767</v>
      </c>
      <c r="B775" t="str">
        <f t="shared" si="70"/>
        <v>0x2FF</v>
      </c>
      <c r="C775">
        <f t="shared" si="74"/>
        <v>31</v>
      </c>
      <c r="D775" t="str">
        <f t="shared" si="71"/>
        <v>0001F</v>
      </c>
    </row>
    <row r="776" spans="1:4" x14ac:dyDescent="0.25">
      <c r="A776">
        <f t="shared" si="72"/>
        <v>768</v>
      </c>
      <c r="B776" t="str">
        <f t="shared" si="70"/>
        <v>0x300</v>
      </c>
      <c r="C776">
        <v>0</v>
      </c>
      <c r="D776" t="str">
        <f t="shared" si="71"/>
        <v>00000</v>
      </c>
    </row>
    <row r="777" spans="1:4" x14ac:dyDescent="0.25">
      <c r="A777">
        <f t="shared" si="72"/>
        <v>769</v>
      </c>
      <c r="B777" t="str">
        <f t="shared" ref="B777:B840" si="75">CONCATENATE("0x",DEC2HEX(A777,3))</f>
        <v>0x301</v>
      </c>
      <c r="C777">
        <f>C776+1</f>
        <v>1</v>
      </c>
      <c r="D777" t="str">
        <f t="shared" ref="D777:D840" si="76">DEC2HEX(C777,5)</f>
        <v>00001</v>
      </c>
    </row>
    <row r="778" spans="1:4" x14ac:dyDescent="0.25">
      <c r="A778">
        <f t="shared" ref="A778:A841" si="77">A777+1</f>
        <v>770</v>
      </c>
      <c r="B778" t="str">
        <f t="shared" si="75"/>
        <v>0x302</v>
      </c>
      <c r="C778">
        <f t="shared" ref="C778:C807" si="78">C777+1</f>
        <v>2</v>
      </c>
      <c r="D778" t="str">
        <f t="shared" si="76"/>
        <v>00002</v>
      </c>
    </row>
    <row r="779" spans="1:4" x14ac:dyDescent="0.25">
      <c r="A779">
        <f t="shared" si="77"/>
        <v>771</v>
      </c>
      <c r="B779" t="str">
        <f t="shared" si="75"/>
        <v>0x303</v>
      </c>
      <c r="C779">
        <f t="shared" si="78"/>
        <v>3</v>
      </c>
      <c r="D779" t="str">
        <f t="shared" si="76"/>
        <v>00003</v>
      </c>
    </row>
    <row r="780" spans="1:4" x14ac:dyDescent="0.25">
      <c r="A780">
        <f t="shared" si="77"/>
        <v>772</v>
      </c>
      <c r="B780" t="str">
        <f t="shared" si="75"/>
        <v>0x304</v>
      </c>
      <c r="C780">
        <f t="shared" si="78"/>
        <v>4</v>
      </c>
      <c r="D780" t="str">
        <f t="shared" si="76"/>
        <v>00004</v>
      </c>
    </row>
    <row r="781" spans="1:4" x14ac:dyDescent="0.25">
      <c r="A781">
        <f t="shared" si="77"/>
        <v>773</v>
      </c>
      <c r="B781" t="str">
        <f t="shared" si="75"/>
        <v>0x305</v>
      </c>
      <c r="C781">
        <f t="shared" si="78"/>
        <v>5</v>
      </c>
      <c r="D781" t="str">
        <f t="shared" si="76"/>
        <v>00005</v>
      </c>
    </row>
    <row r="782" spans="1:4" x14ac:dyDescent="0.25">
      <c r="A782">
        <f t="shared" si="77"/>
        <v>774</v>
      </c>
      <c r="B782" t="str">
        <f t="shared" si="75"/>
        <v>0x306</v>
      </c>
      <c r="C782">
        <f t="shared" si="78"/>
        <v>6</v>
      </c>
      <c r="D782" t="str">
        <f t="shared" si="76"/>
        <v>00006</v>
      </c>
    </row>
    <row r="783" spans="1:4" x14ac:dyDescent="0.25">
      <c r="A783">
        <f t="shared" si="77"/>
        <v>775</v>
      </c>
      <c r="B783" t="str">
        <f t="shared" si="75"/>
        <v>0x307</v>
      </c>
      <c r="C783">
        <f t="shared" si="78"/>
        <v>7</v>
      </c>
      <c r="D783" t="str">
        <f t="shared" si="76"/>
        <v>00007</v>
      </c>
    </row>
    <row r="784" spans="1:4" x14ac:dyDescent="0.25">
      <c r="A784">
        <f t="shared" si="77"/>
        <v>776</v>
      </c>
      <c r="B784" t="str">
        <f t="shared" si="75"/>
        <v>0x308</v>
      </c>
      <c r="C784">
        <f t="shared" si="78"/>
        <v>8</v>
      </c>
      <c r="D784" t="str">
        <f t="shared" si="76"/>
        <v>00008</v>
      </c>
    </row>
    <row r="785" spans="1:4" x14ac:dyDescent="0.25">
      <c r="A785">
        <f t="shared" si="77"/>
        <v>777</v>
      </c>
      <c r="B785" t="str">
        <f t="shared" si="75"/>
        <v>0x309</v>
      </c>
      <c r="C785">
        <f t="shared" si="78"/>
        <v>9</v>
      </c>
      <c r="D785" t="str">
        <f t="shared" si="76"/>
        <v>00009</v>
      </c>
    </row>
    <row r="786" spans="1:4" x14ac:dyDescent="0.25">
      <c r="A786">
        <f t="shared" si="77"/>
        <v>778</v>
      </c>
      <c r="B786" t="str">
        <f t="shared" si="75"/>
        <v>0x30A</v>
      </c>
      <c r="C786">
        <f t="shared" si="78"/>
        <v>10</v>
      </c>
      <c r="D786" t="str">
        <f t="shared" si="76"/>
        <v>0000A</v>
      </c>
    </row>
    <row r="787" spans="1:4" x14ac:dyDescent="0.25">
      <c r="A787">
        <f t="shared" si="77"/>
        <v>779</v>
      </c>
      <c r="B787" t="str">
        <f t="shared" si="75"/>
        <v>0x30B</v>
      </c>
      <c r="C787">
        <f t="shared" si="78"/>
        <v>11</v>
      </c>
      <c r="D787" t="str">
        <f t="shared" si="76"/>
        <v>0000B</v>
      </c>
    </row>
    <row r="788" spans="1:4" x14ac:dyDescent="0.25">
      <c r="A788">
        <f t="shared" si="77"/>
        <v>780</v>
      </c>
      <c r="B788" t="str">
        <f t="shared" si="75"/>
        <v>0x30C</v>
      </c>
      <c r="C788">
        <f t="shared" si="78"/>
        <v>12</v>
      </c>
      <c r="D788" t="str">
        <f t="shared" si="76"/>
        <v>0000C</v>
      </c>
    </row>
    <row r="789" spans="1:4" x14ac:dyDescent="0.25">
      <c r="A789">
        <f t="shared" si="77"/>
        <v>781</v>
      </c>
      <c r="B789" t="str">
        <f t="shared" si="75"/>
        <v>0x30D</v>
      </c>
      <c r="C789">
        <f t="shared" si="78"/>
        <v>13</v>
      </c>
      <c r="D789" t="str">
        <f t="shared" si="76"/>
        <v>0000D</v>
      </c>
    </row>
    <row r="790" spans="1:4" x14ac:dyDescent="0.25">
      <c r="A790">
        <f t="shared" si="77"/>
        <v>782</v>
      </c>
      <c r="B790" t="str">
        <f t="shared" si="75"/>
        <v>0x30E</v>
      </c>
      <c r="C790">
        <f t="shared" si="78"/>
        <v>14</v>
      </c>
      <c r="D790" t="str">
        <f t="shared" si="76"/>
        <v>0000E</v>
      </c>
    </row>
    <row r="791" spans="1:4" x14ac:dyDescent="0.25">
      <c r="A791">
        <f t="shared" si="77"/>
        <v>783</v>
      </c>
      <c r="B791" t="str">
        <f t="shared" si="75"/>
        <v>0x30F</v>
      </c>
      <c r="C791">
        <f t="shared" si="78"/>
        <v>15</v>
      </c>
      <c r="D791" t="str">
        <f t="shared" si="76"/>
        <v>0000F</v>
      </c>
    </row>
    <row r="792" spans="1:4" x14ac:dyDescent="0.25">
      <c r="A792">
        <f t="shared" si="77"/>
        <v>784</v>
      </c>
      <c r="B792" t="str">
        <f t="shared" si="75"/>
        <v>0x310</v>
      </c>
      <c r="C792">
        <f t="shared" si="78"/>
        <v>16</v>
      </c>
      <c r="D792" t="str">
        <f t="shared" si="76"/>
        <v>00010</v>
      </c>
    </row>
    <row r="793" spans="1:4" x14ac:dyDescent="0.25">
      <c r="A793">
        <f t="shared" si="77"/>
        <v>785</v>
      </c>
      <c r="B793" t="str">
        <f t="shared" si="75"/>
        <v>0x311</v>
      </c>
      <c r="C793">
        <f t="shared" si="78"/>
        <v>17</v>
      </c>
      <c r="D793" t="str">
        <f t="shared" si="76"/>
        <v>00011</v>
      </c>
    </row>
    <row r="794" spans="1:4" x14ac:dyDescent="0.25">
      <c r="A794">
        <f t="shared" si="77"/>
        <v>786</v>
      </c>
      <c r="B794" t="str">
        <f t="shared" si="75"/>
        <v>0x312</v>
      </c>
      <c r="C794">
        <f t="shared" si="78"/>
        <v>18</v>
      </c>
      <c r="D794" t="str">
        <f t="shared" si="76"/>
        <v>00012</v>
      </c>
    </row>
    <row r="795" spans="1:4" x14ac:dyDescent="0.25">
      <c r="A795">
        <f t="shared" si="77"/>
        <v>787</v>
      </c>
      <c r="B795" t="str">
        <f t="shared" si="75"/>
        <v>0x313</v>
      </c>
      <c r="C795">
        <f t="shared" si="78"/>
        <v>19</v>
      </c>
      <c r="D795" t="str">
        <f t="shared" si="76"/>
        <v>00013</v>
      </c>
    </row>
    <row r="796" spans="1:4" x14ac:dyDescent="0.25">
      <c r="A796">
        <f t="shared" si="77"/>
        <v>788</v>
      </c>
      <c r="B796" t="str">
        <f t="shared" si="75"/>
        <v>0x314</v>
      </c>
      <c r="C796">
        <f t="shared" si="78"/>
        <v>20</v>
      </c>
      <c r="D796" t="str">
        <f t="shared" si="76"/>
        <v>00014</v>
      </c>
    </row>
    <row r="797" spans="1:4" x14ac:dyDescent="0.25">
      <c r="A797">
        <f t="shared" si="77"/>
        <v>789</v>
      </c>
      <c r="B797" t="str">
        <f t="shared" si="75"/>
        <v>0x315</v>
      </c>
      <c r="C797">
        <f t="shared" si="78"/>
        <v>21</v>
      </c>
      <c r="D797" t="str">
        <f t="shared" si="76"/>
        <v>00015</v>
      </c>
    </row>
    <row r="798" spans="1:4" x14ac:dyDescent="0.25">
      <c r="A798">
        <f t="shared" si="77"/>
        <v>790</v>
      </c>
      <c r="B798" t="str">
        <f t="shared" si="75"/>
        <v>0x316</v>
      </c>
      <c r="C798">
        <f t="shared" si="78"/>
        <v>22</v>
      </c>
      <c r="D798" t="str">
        <f t="shared" si="76"/>
        <v>00016</v>
      </c>
    </row>
    <row r="799" spans="1:4" x14ac:dyDescent="0.25">
      <c r="A799">
        <f t="shared" si="77"/>
        <v>791</v>
      </c>
      <c r="B799" t="str">
        <f t="shared" si="75"/>
        <v>0x317</v>
      </c>
      <c r="C799">
        <f t="shared" si="78"/>
        <v>23</v>
      </c>
      <c r="D799" t="str">
        <f t="shared" si="76"/>
        <v>00017</v>
      </c>
    </row>
    <row r="800" spans="1:4" x14ac:dyDescent="0.25">
      <c r="A800">
        <f t="shared" si="77"/>
        <v>792</v>
      </c>
      <c r="B800" t="str">
        <f t="shared" si="75"/>
        <v>0x318</v>
      </c>
      <c r="C800">
        <f t="shared" si="78"/>
        <v>24</v>
      </c>
      <c r="D800" t="str">
        <f t="shared" si="76"/>
        <v>00018</v>
      </c>
    </row>
    <row r="801" spans="1:4" x14ac:dyDescent="0.25">
      <c r="A801">
        <f t="shared" si="77"/>
        <v>793</v>
      </c>
      <c r="B801" t="str">
        <f t="shared" si="75"/>
        <v>0x319</v>
      </c>
      <c r="C801">
        <f t="shared" si="78"/>
        <v>25</v>
      </c>
      <c r="D801" t="str">
        <f t="shared" si="76"/>
        <v>00019</v>
      </c>
    </row>
    <row r="802" spans="1:4" x14ac:dyDescent="0.25">
      <c r="A802">
        <f t="shared" si="77"/>
        <v>794</v>
      </c>
      <c r="B802" t="str">
        <f t="shared" si="75"/>
        <v>0x31A</v>
      </c>
      <c r="C802">
        <f t="shared" si="78"/>
        <v>26</v>
      </c>
      <c r="D802" t="str">
        <f t="shared" si="76"/>
        <v>0001A</v>
      </c>
    </row>
    <row r="803" spans="1:4" x14ac:dyDescent="0.25">
      <c r="A803">
        <f t="shared" si="77"/>
        <v>795</v>
      </c>
      <c r="B803" t="str">
        <f t="shared" si="75"/>
        <v>0x31B</v>
      </c>
      <c r="C803">
        <f t="shared" si="78"/>
        <v>27</v>
      </c>
      <c r="D803" t="str">
        <f t="shared" si="76"/>
        <v>0001B</v>
      </c>
    </row>
    <row r="804" spans="1:4" x14ac:dyDescent="0.25">
      <c r="A804">
        <f t="shared" si="77"/>
        <v>796</v>
      </c>
      <c r="B804" t="str">
        <f t="shared" si="75"/>
        <v>0x31C</v>
      </c>
      <c r="C804">
        <f t="shared" si="78"/>
        <v>28</v>
      </c>
      <c r="D804" t="str">
        <f t="shared" si="76"/>
        <v>0001C</v>
      </c>
    </row>
    <row r="805" spans="1:4" x14ac:dyDescent="0.25">
      <c r="A805">
        <f t="shared" si="77"/>
        <v>797</v>
      </c>
      <c r="B805" t="str">
        <f t="shared" si="75"/>
        <v>0x31D</v>
      </c>
      <c r="C805">
        <f t="shared" si="78"/>
        <v>29</v>
      </c>
      <c r="D805" t="str">
        <f t="shared" si="76"/>
        <v>0001D</v>
      </c>
    </row>
    <row r="806" spans="1:4" x14ac:dyDescent="0.25">
      <c r="A806">
        <f t="shared" si="77"/>
        <v>798</v>
      </c>
      <c r="B806" t="str">
        <f t="shared" si="75"/>
        <v>0x31E</v>
      </c>
      <c r="C806">
        <f t="shared" si="78"/>
        <v>30</v>
      </c>
      <c r="D806" t="str">
        <f t="shared" si="76"/>
        <v>0001E</v>
      </c>
    </row>
    <row r="807" spans="1:4" x14ac:dyDescent="0.25">
      <c r="A807">
        <f t="shared" si="77"/>
        <v>799</v>
      </c>
      <c r="B807" t="str">
        <f t="shared" si="75"/>
        <v>0x31F</v>
      </c>
      <c r="C807">
        <f t="shared" si="78"/>
        <v>31</v>
      </c>
      <c r="D807" t="str">
        <f t="shared" si="76"/>
        <v>0001F</v>
      </c>
    </row>
    <row r="808" spans="1:4" x14ac:dyDescent="0.25">
      <c r="A808">
        <f t="shared" si="77"/>
        <v>800</v>
      </c>
      <c r="B808" t="str">
        <f t="shared" si="75"/>
        <v>0x320</v>
      </c>
      <c r="C808">
        <v>0</v>
      </c>
      <c r="D808" t="str">
        <f t="shared" si="76"/>
        <v>00000</v>
      </c>
    </row>
    <row r="809" spans="1:4" x14ac:dyDescent="0.25">
      <c r="A809">
        <f t="shared" si="77"/>
        <v>801</v>
      </c>
      <c r="B809" t="str">
        <f t="shared" si="75"/>
        <v>0x321</v>
      </c>
      <c r="C809">
        <f>C808+1</f>
        <v>1</v>
      </c>
      <c r="D809" t="str">
        <f t="shared" si="76"/>
        <v>00001</v>
      </c>
    </row>
    <row r="810" spans="1:4" x14ac:dyDescent="0.25">
      <c r="A810">
        <f t="shared" si="77"/>
        <v>802</v>
      </c>
      <c r="B810" t="str">
        <f t="shared" si="75"/>
        <v>0x322</v>
      </c>
      <c r="C810">
        <f t="shared" ref="C810:C839" si="79">C809+1</f>
        <v>2</v>
      </c>
      <c r="D810" t="str">
        <f t="shared" si="76"/>
        <v>00002</v>
      </c>
    </row>
    <row r="811" spans="1:4" x14ac:dyDescent="0.25">
      <c r="A811">
        <f t="shared" si="77"/>
        <v>803</v>
      </c>
      <c r="B811" t="str">
        <f t="shared" si="75"/>
        <v>0x323</v>
      </c>
      <c r="C811">
        <f t="shared" si="79"/>
        <v>3</v>
      </c>
      <c r="D811" t="str">
        <f t="shared" si="76"/>
        <v>00003</v>
      </c>
    </row>
    <row r="812" spans="1:4" x14ac:dyDescent="0.25">
      <c r="A812">
        <f t="shared" si="77"/>
        <v>804</v>
      </c>
      <c r="B812" t="str">
        <f t="shared" si="75"/>
        <v>0x324</v>
      </c>
      <c r="C812">
        <f t="shared" si="79"/>
        <v>4</v>
      </c>
      <c r="D812" t="str">
        <f t="shared" si="76"/>
        <v>00004</v>
      </c>
    </row>
    <row r="813" spans="1:4" x14ac:dyDescent="0.25">
      <c r="A813">
        <f t="shared" si="77"/>
        <v>805</v>
      </c>
      <c r="B813" t="str">
        <f t="shared" si="75"/>
        <v>0x325</v>
      </c>
      <c r="C813">
        <f t="shared" si="79"/>
        <v>5</v>
      </c>
      <c r="D813" t="str">
        <f t="shared" si="76"/>
        <v>00005</v>
      </c>
    </row>
    <row r="814" spans="1:4" x14ac:dyDescent="0.25">
      <c r="A814">
        <f t="shared" si="77"/>
        <v>806</v>
      </c>
      <c r="B814" t="str">
        <f t="shared" si="75"/>
        <v>0x326</v>
      </c>
      <c r="C814">
        <f t="shared" si="79"/>
        <v>6</v>
      </c>
      <c r="D814" t="str">
        <f t="shared" si="76"/>
        <v>00006</v>
      </c>
    </row>
    <row r="815" spans="1:4" x14ac:dyDescent="0.25">
      <c r="A815">
        <f t="shared" si="77"/>
        <v>807</v>
      </c>
      <c r="B815" t="str">
        <f t="shared" si="75"/>
        <v>0x327</v>
      </c>
      <c r="C815">
        <f t="shared" si="79"/>
        <v>7</v>
      </c>
      <c r="D815" t="str">
        <f t="shared" si="76"/>
        <v>00007</v>
      </c>
    </row>
    <row r="816" spans="1:4" x14ac:dyDescent="0.25">
      <c r="A816">
        <f t="shared" si="77"/>
        <v>808</v>
      </c>
      <c r="B816" t="str">
        <f t="shared" si="75"/>
        <v>0x328</v>
      </c>
      <c r="C816">
        <f t="shared" si="79"/>
        <v>8</v>
      </c>
      <c r="D816" t="str">
        <f t="shared" si="76"/>
        <v>00008</v>
      </c>
    </row>
    <row r="817" spans="1:4" x14ac:dyDescent="0.25">
      <c r="A817">
        <f t="shared" si="77"/>
        <v>809</v>
      </c>
      <c r="B817" t="str">
        <f t="shared" si="75"/>
        <v>0x329</v>
      </c>
      <c r="C817">
        <f t="shared" si="79"/>
        <v>9</v>
      </c>
      <c r="D817" t="str">
        <f t="shared" si="76"/>
        <v>00009</v>
      </c>
    </row>
    <row r="818" spans="1:4" x14ac:dyDescent="0.25">
      <c r="A818">
        <f t="shared" si="77"/>
        <v>810</v>
      </c>
      <c r="B818" t="str">
        <f t="shared" si="75"/>
        <v>0x32A</v>
      </c>
      <c r="C818">
        <f t="shared" si="79"/>
        <v>10</v>
      </c>
      <c r="D818" t="str">
        <f t="shared" si="76"/>
        <v>0000A</v>
      </c>
    </row>
    <row r="819" spans="1:4" x14ac:dyDescent="0.25">
      <c r="A819">
        <f t="shared" si="77"/>
        <v>811</v>
      </c>
      <c r="B819" t="str">
        <f t="shared" si="75"/>
        <v>0x32B</v>
      </c>
      <c r="C819">
        <f t="shared" si="79"/>
        <v>11</v>
      </c>
      <c r="D819" t="str">
        <f t="shared" si="76"/>
        <v>0000B</v>
      </c>
    </row>
    <row r="820" spans="1:4" x14ac:dyDescent="0.25">
      <c r="A820">
        <f t="shared" si="77"/>
        <v>812</v>
      </c>
      <c r="B820" t="str">
        <f t="shared" si="75"/>
        <v>0x32C</v>
      </c>
      <c r="C820">
        <f t="shared" si="79"/>
        <v>12</v>
      </c>
      <c r="D820" t="str">
        <f t="shared" si="76"/>
        <v>0000C</v>
      </c>
    </row>
    <row r="821" spans="1:4" x14ac:dyDescent="0.25">
      <c r="A821">
        <f t="shared" si="77"/>
        <v>813</v>
      </c>
      <c r="B821" t="str">
        <f t="shared" si="75"/>
        <v>0x32D</v>
      </c>
      <c r="C821">
        <f t="shared" si="79"/>
        <v>13</v>
      </c>
      <c r="D821" t="str">
        <f t="shared" si="76"/>
        <v>0000D</v>
      </c>
    </row>
    <row r="822" spans="1:4" x14ac:dyDescent="0.25">
      <c r="A822">
        <f t="shared" si="77"/>
        <v>814</v>
      </c>
      <c r="B822" t="str">
        <f t="shared" si="75"/>
        <v>0x32E</v>
      </c>
      <c r="C822">
        <f t="shared" si="79"/>
        <v>14</v>
      </c>
      <c r="D822" t="str">
        <f t="shared" si="76"/>
        <v>0000E</v>
      </c>
    </row>
    <row r="823" spans="1:4" x14ac:dyDescent="0.25">
      <c r="A823">
        <f t="shared" si="77"/>
        <v>815</v>
      </c>
      <c r="B823" t="str">
        <f t="shared" si="75"/>
        <v>0x32F</v>
      </c>
      <c r="C823">
        <f t="shared" si="79"/>
        <v>15</v>
      </c>
      <c r="D823" t="str">
        <f t="shared" si="76"/>
        <v>0000F</v>
      </c>
    </row>
    <row r="824" spans="1:4" x14ac:dyDescent="0.25">
      <c r="A824">
        <f t="shared" si="77"/>
        <v>816</v>
      </c>
      <c r="B824" t="str">
        <f t="shared" si="75"/>
        <v>0x330</v>
      </c>
      <c r="C824">
        <f t="shared" si="79"/>
        <v>16</v>
      </c>
      <c r="D824" t="str">
        <f t="shared" si="76"/>
        <v>00010</v>
      </c>
    </row>
    <row r="825" spans="1:4" x14ac:dyDescent="0.25">
      <c r="A825">
        <f t="shared" si="77"/>
        <v>817</v>
      </c>
      <c r="B825" t="str">
        <f t="shared" si="75"/>
        <v>0x331</v>
      </c>
      <c r="C825">
        <f t="shared" si="79"/>
        <v>17</v>
      </c>
      <c r="D825" t="str">
        <f t="shared" si="76"/>
        <v>00011</v>
      </c>
    </row>
    <row r="826" spans="1:4" x14ac:dyDescent="0.25">
      <c r="A826">
        <f t="shared" si="77"/>
        <v>818</v>
      </c>
      <c r="B826" t="str">
        <f t="shared" si="75"/>
        <v>0x332</v>
      </c>
      <c r="C826">
        <f t="shared" si="79"/>
        <v>18</v>
      </c>
      <c r="D826" t="str">
        <f t="shared" si="76"/>
        <v>00012</v>
      </c>
    </row>
    <row r="827" spans="1:4" x14ac:dyDescent="0.25">
      <c r="A827">
        <f t="shared" si="77"/>
        <v>819</v>
      </c>
      <c r="B827" t="str">
        <f t="shared" si="75"/>
        <v>0x333</v>
      </c>
      <c r="C827">
        <f t="shared" si="79"/>
        <v>19</v>
      </c>
      <c r="D827" t="str">
        <f t="shared" si="76"/>
        <v>00013</v>
      </c>
    </row>
    <row r="828" spans="1:4" x14ac:dyDescent="0.25">
      <c r="A828">
        <f t="shared" si="77"/>
        <v>820</v>
      </c>
      <c r="B828" t="str">
        <f t="shared" si="75"/>
        <v>0x334</v>
      </c>
      <c r="C828">
        <f t="shared" si="79"/>
        <v>20</v>
      </c>
      <c r="D828" t="str">
        <f t="shared" si="76"/>
        <v>00014</v>
      </c>
    </row>
    <row r="829" spans="1:4" x14ac:dyDescent="0.25">
      <c r="A829">
        <f t="shared" si="77"/>
        <v>821</v>
      </c>
      <c r="B829" t="str">
        <f t="shared" si="75"/>
        <v>0x335</v>
      </c>
      <c r="C829">
        <f t="shared" si="79"/>
        <v>21</v>
      </c>
      <c r="D829" t="str">
        <f t="shared" si="76"/>
        <v>00015</v>
      </c>
    </row>
    <row r="830" spans="1:4" x14ac:dyDescent="0.25">
      <c r="A830">
        <f t="shared" si="77"/>
        <v>822</v>
      </c>
      <c r="B830" t="str">
        <f t="shared" si="75"/>
        <v>0x336</v>
      </c>
      <c r="C830">
        <f t="shared" si="79"/>
        <v>22</v>
      </c>
      <c r="D830" t="str">
        <f t="shared" si="76"/>
        <v>00016</v>
      </c>
    </row>
    <row r="831" spans="1:4" x14ac:dyDescent="0.25">
      <c r="A831">
        <f t="shared" si="77"/>
        <v>823</v>
      </c>
      <c r="B831" t="str">
        <f t="shared" si="75"/>
        <v>0x337</v>
      </c>
      <c r="C831">
        <f t="shared" si="79"/>
        <v>23</v>
      </c>
      <c r="D831" t="str">
        <f t="shared" si="76"/>
        <v>00017</v>
      </c>
    </row>
    <row r="832" spans="1:4" x14ac:dyDescent="0.25">
      <c r="A832">
        <f t="shared" si="77"/>
        <v>824</v>
      </c>
      <c r="B832" t="str">
        <f t="shared" si="75"/>
        <v>0x338</v>
      </c>
      <c r="C832">
        <f t="shared" si="79"/>
        <v>24</v>
      </c>
      <c r="D832" t="str">
        <f t="shared" si="76"/>
        <v>00018</v>
      </c>
    </row>
    <row r="833" spans="1:4" x14ac:dyDescent="0.25">
      <c r="A833">
        <f t="shared" si="77"/>
        <v>825</v>
      </c>
      <c r="B833" t="str">
        <f t="shared" si="75"/>
        <v>0x339</v>
      </c>
      <c r="C833">
        <f t="shared" si="79"/>
        <v>25</v>
      </c>
      <c r="D833" t="str">
        <f t="shared" si="76"/>
        <v>00019</v>
      </c>
    </row>
    <row r="834" spans="1:4" x14ac:dyDescent="0.25">
      <c r="A834">
        <f t="shared" si="77"/>
        <v>826</v>
      </c>
      <c r="B834" t="str">
        <f t="shared" si="75"/>
        <v>0x33A</v>
      </c>
      <c r="C834">
        <f t="shared" si="79"/>
        <v>26</v>
      </c>
      <c r="D834" t="str">
        <f t="shared" si="76"/>
        <v>0001A</v>
      </c>
    </row>
    <row r="835" spans="1:4" x14ac:dyDescent="0.25">
      <c r="A835">
        <f t="shared" si="77"/>
        <v>827</v>
      </c>
      <c r="B835" t="str">
        <f t="shared" si="75"/>
        <v>0x33B</v>
      </c>
      <c r="C835">
        <f t="shared" si="79"/>
        <v>27</v>
      </c>
      <c r="D835" t="str">
        <f t="shared" si="76"/>
        <v>0001B</v>
      </c>
    </row>
    <row r="836" spans="1:4" x14ac:dyDescent="0.25">
      <c r="A836">
        <f t="shared" si="77"/>
        <v>828</v>
      </c>
      <c r="B836" t="str">
        <f t="shared" si="75"/>
        <v>0x33C</v>
      </c>
      <c r="C836">
        <f t="shared" si="79"/>
        <v>28</v>
      </c>
      <c r="D836" t="str">
        <f t="shared" si="76"/>
        <v>0001C</v>
      </c>
    </row>
    <row r="837" spans="1:4" x14ac:dyDescent="0.25">
      <c r="A837">
        <f t="shared" si="77"/>
        <v>829</v>
      </c>
      <c r="B837" t="str">
        <f t="shared" si="75"/>
        <v>0x33D</v>
      </c>
      <c r="C837">
        <f t="shared" si="79"/>
        <v>29</v>
      </c>
      <c r="D837" t="str">
        <f t="shared" si="76"/>
        <v>0001D</v>
      </c>
    </row>
    <row r="838" spans="1:4" x14ac:dyDescent="0.25">
      <c r="A838">
        <f t="shared" si="77"/>
        <v>830</v>
      </c>
      <c r="B838" t="str">
        <f t="shared" si="75"/>
        <v>0x33E</v>
      </c>
      <c r="C838">
        <f t="shared" si="79"/>
        <v>30</v>
      </c>
      <c r="D838" t="str">
        <f t="shared" si="76"/>
        <v>0001E</v>
      </c>
    </row>
    <row r="839" spans="1:4" x14ac:dyDescent="0.25">
      <c r="A839">
        <f t="shared" si="77"/>
        <v>831</v>
      </c>
      <c r="B839" t="str">
        <f t="shared" si="75"/>
        <v>0x33F</v>
      </c>
      <c r="C839">
        <f t="shared" si="79"/>
        <v>31</v>
      </c>
      <c r="D839" t="str">
        <f t="shared" si="76"/>
        <v>0001F</v>
      </c>
    </row>
    <row r="840" spans="1:4" x14ac:dyDescent="0.25">
      <c r="A840">
        <f t="shared" si="77"/>
        <v>832</v>
      </c>
      <c r="B840" t="str">
        <f t="shared" si="75"/>
        <v>0x340</v>
      </c>
      <c r="C840">
        <v>0</v>
      </c>
      <c r="D840" t="str">
        <f t="shared" si="76"/>
        <v>00000</v>
      </c>
    </row>
    <row r="841" spans="1:4" x14ac:dyDescent="0.25">
      <c r="A841">
        <f t="shared" si="77"/>
        <v>833</v>
      </c>
      <c r="B841" t="str">
        <f t="shared" ref="B841:B904" si="80">CONCATENATE("0x",DEC2HEX(A841,3))</f>
        <v>0x341</v>
      </c>
      <c r="C841">
        <f>C840+1</f>
        <v>1</v>
      </c>
      <c r="D841" t="str">
        <f t="shared" ref="D841:D904" si="81">DEC2HEX(C841,5)</f>
        <v>00001</v>
      </c>
    </row>
    <row r="842" spans="1:4" x14ac:dyDescent="0.25">
      <c r="A842">
        <f t="shared" ref="A842:A905" si="82">A841+1</f>
        <v>834</v>
      </c>
      <c r="B842" t="str">
        <f t="shared" si="80"/>
        <v>0x342</v>
      </c>
      <c r="C842">
        <f t="shared" ref="C842:C871" si="83">C841+1</f>
        <v>2</v>
      </c>
      <c r="D842" t="str">
        <f t="shared" si="81"/>
        <v>00002</v>
      </c>
    </row>
    <row r="843" spans="1:4" x14ac:dyDescent="0.25">
      <c r="A843">
        <f t="shared" si="82"/>
        <v>835</v>
      </c>
      <c r="B843" t="str">
        <f t="shared" si="80"/>
        <v>0x343</v>
      </c>
      <c r="C843">
        <f t="shared" si="83"/>
        <v>3</v>
      </c>
      <c r="D843" t="str">
        <f t="shared" si="81"/>
        <v>00003</v>
      </c>
    </row>
    <row r="844" spans="1:4" x14ac:dyDescent="0.25">
      <c r="A844">
        <f t="shared" si="82"/>
        <v>836</v>
      </c>
      <c r="B844" t="str">
        <f t="shared" si="80"/>
        <v>0x344</v>
      </c>
      <c r="C844">
        <f t="shared" si="83"/>
        <v>4</v>
      </c>
      <c r="D844" t="str">
        <f t="shared" si="81"/>
        <v>00004</v>
      </c>
    </row>
    <row r="845" spans="1:4" x14ac:dyDescent="0.25">
      <c r="A845">
        <f t="shared" si="82"/>
        <v>837</v>
      </c>
      <c r="B845" t="str">
        <f t="shared" si="80"/>
        <v>0x345</v>
      </c>
      <c r="C845">
        <f t="shared" si="83"/>
        <v>5</v>
      </c>
      <c r="D845" t="str">
        <f t="shared" si="81"/>
        <v>00005</v>
      </c>
    </row>
    <row r="846" spans="1:4" x14ac:dyDescent="0.25">
      <c r="A846">
        <f t="shared" si="82"/>
        <v>838</v>
      </c>
      <c r="B846" t="str">
        <f t="shared" si="80"/>
        <v>0x346</v>
      </c>
      <c r="C846">
        <f t="shared" si="83"/>
        <v>6</v>
      </c>
      <c r="D846" t="str">
        <f t="shared" si="81"/>
        <v>00006</v>
      </c>
    </row>
    <row r="847" spans="1:4" x14ac:dyDescent="0.25">
      <c r="A847">
        <f t="shared" si="82"/>
        <v>839</v>
      </c>
      <c r="B847" t="str">
        <f t="shared" si="80"/>
        <v>0x347</v>
      </c>
      <c r="C847">
        <f t="shared" si="83"/>
        <v>7</v>
      </c>
      <c r="D847" t="str">
        <f t="shared" si="81"/>
        <v>00007</v>
      </c>
    </row>
    <row r="848" spans="1:4" x14ac:dyDescent="0.25">
      <c r="A848">
        <f t="shared" si="82"/>
        <v>840</v>
      </c>
      <c r="B848" t="str">
        <f t="shared" si="80"/>
        <v>0x348</v>
      </c>
      <c r="C848">
        <f t="shared" si="83"/>
        <v>8</v>
      </c>
      <c r="D848" t="str">
        <f t="shared" si="81"/>
        <v>00008</v>
      </c>
    </row>
    <row r="849" spans="1:4" x14ac:dyDescent="0.25">
      <c r="A849">
        <f t="shared" si="82"/>
        <v>841</v>
      </c>
      <c r="B849" t="str">
        <f t="shared" si="80"/>
        <v>0x349</v>
      </c>
      <c r="C849">
        <f t="shared" si="83"/>
        <v>9</v>
      </c>
      <c r="D849" t="str">
        <f t="shared" si="81"/>
        <v>00009</v>
      </c>
    </row>
    <row r="850" spans="1:4" x14ac:dyDescent="0.25">
      <c r="A850">
        <f t="shared" si="82"/>
        <v>842</v>
      </c>
      <c r="B850" t="str">
        <f t="shared" si="80"/>
        <v>0x34A</v>
      </c>
      <c r="C850">
        <f t="shared" si="83"/>
        <v>10</v>
      </c>
      <c r="D850" t="str">
        <f t="shared" si="81"/>
        <v>0000A</v>
      </c>
    </row>
    <row r="851" spans="1:4" x14ac:dyDescent="0.25">
      <c r="A851">
        <f t="shared" si="82"/>
        <v>843</v>
      </c>
      <c r="B851" t="str">
        <f t="shared" si="80"/>
        <v>0x34B</v>
      </c>
      <c r="C851">
        <f t="shared" si="83"/>
        <v>11</v>
      </c>
      <c r="D851" t="str">
        <f t="shared" si="81"/>
        <v>0000B</v>
      </c>
    </row>
    <row r="852" spans="1:4" x14ac:dyDescent="0.25">
      <c r="A852">
        <f t="shared" si="82"/>
        <v>844</v>
      </c>
      <c r="B852" t="str">
        <f t="shared" si="80"/>
        <v>0x34C</v>
      </c>
      <c r="C852">
        <f t="shared" si="83"/>
        <v>12</v>
      </c>
      <c r="D852" t="str">
        <f t="shared" si="81"/>
        <v>0000C</v>
      </c>
    </row>
    <row r="853" spans="1:4" x14ac:dyDescent="0.25">
      <c r="A853">
        <f t="shared" si="82"/>
        <v>845</v>
      </c>
      <c r="B853" t="str">
        <f t="shared" si="80"/>
        <v>0x34D</v>
      </c>
      <c r="C853">
        <f t="shared" si="83"/>
        <v>13</v>
      </c>
      <c r="D853" t="str">
        <f t="shared" si="81"/>
        <v>0000D</v>
      </c>
    </row>
    <row r="854" spans="1:4" x14ac:dyDescent="0.25">
      <c r="A854">
        <f t="shared" si="82"/>
        <v>846</v>
      </c>
      <c r="B854" t="str">
        <f t="shared" si="80"/>
        <v>0x34E</v>
      </c>
      <c r="C854">
        <f t="shared" si="83"/>
        <v>14</v>
      </c>
      <c r="D854" t="str">
        <f t="shared" si="81"/>
        <v>0000E</v>
      </c>
    </row>
    <row r="855" spans="1:4" x14ac:dyDescent="0.25">
      <c r="A855">
        <f t="shared" si="82"/>
        <v>847</v>
      </c>
      <c r="B855" t="str">
        <f t="shared" si="80"/>
        <v>0x34F</v>
      </c>
      <c r="C855">
        <f t="shared" si="83"/>
        <v>15</v>
      </c>
      <c r="D855" t="str">
        <f t="shared" si="81"/>
        <v>0000F</v>
      </c>
    </row>
    <row r="856" spans="1:4" x14ac:dyDescent="0.25">
      <c r="A856">
        <f t="shared" si="82"/>
        <v>848</v>
      </c>
      <c r="B856" t="str">
        <f t="shared" si="80"/>
        <v>0x350</v>
      </c>
      <c r="C856">
        <f t="shared" si="83"/>
        <v>16</v>
      </c>
      <c r="D856" t="str">
        <f t="shared" si="81"/>
        <v>00010</v>
      </c>
    </row>
    <row r="857" spans="1:4" x14ac:dyDescent="0.25">
      <c r="A857">
        <f t="shared" si="82"/>
        <v>849</v>
      </c>
      <c r="B857" t="str">
        <f t="shared" si="80"/>
        <v>0x351</v>
      </c>
      <c r="C857">
        <f t="shared" si="83"/>
        <v>17</v>
      </c>
      <c r="D857" t="str">
        <f t="shared" si="81"/>
        <v>00011</v>
      </c>
    </row>
    <row r="858" spans="1:4" x14ac:dyDescent="0.25">
      <c r="A858">
        <f t="shared" si="82"/>
        <v>850</v>
      </c>
      <c r="B858" t="str">
        <f t="shared" si="80"/>
        <v>0x352</v>
      </c>
      <c r="C858">
        <f t="shared" si="83"/>
        <v>18</v>
      </c>
      <c r="D858" t="str">
        <f t="shared" si="81"/>
        <v>00012</v>
      </c>
    </row>
    <row r="859" spans="1:4" x14ac:dyDescent="0.25">
      <c r="A859">
        <f t="shared" si="82"/>
        <v>851</v>
      </c>
      <c r="B859" t="str">
        <f t="shared" si="80"/>
        <v>0x353</v>
      </c>
      <c r="C859">
        <f t="shared" si="83"/>
        <v>19</v>
      </c>
      <c r="D859" t="str">
        <f t="shared" si="81"/>
        <v>00013</v>
      </c>
    </row>
    <row r="860" spans="1:4" x14ac:dyDescent="0.25">
      <c r="A860">
        <f t="shared" si="82"/>
        <v>852</v>
      </c>
      <c r="B860" t="str">
        <f t="shared" si="80"/>
        <v>0x354</v>
      </c>
      <c r="C860">
        <f t="shared" si="83"/>
        <v>20</v>
      </c>
      <c r="D860" t="str">
        <f t="shared" si="81"/>
        <v>00014</v>
      </c>
    </row>
    <row r="861" spans="1:4" x14ac:dyDescent="0.25">
      <c r="A861">
        <f t="shared" si="82"/>
        <v>853</v>
      </c>
      <c r="B861" t="str">
        <f t="shared" si="80"/>
        <v>0x355</v>
      </c>
      <c r="C861">
        <f t="shared" si="83"/>
        <v>21</v>
      </c>
      <c r="D861" t="str">
        <f t="shared" si="81"/>
        <v>00015</v>
      </c>
    </row>
    <row r="862" spans="1:4" x14ac:dyDescent="0.25">
      <c r="A862">
        <f t="shared" si="82"/>
        <v>854</v>
      </c>
      <c r="B862" t="str">
        <f t="shared" si="80"/>
        <v>0x356</v>
      </c>
      <c r="C862">
        <f t="shared" si="83"/>
        <v>22</v>
      </c>
      <c r="D862" t="str">
        <f t="shared" si="81"/>
        <v>00016</v>
      </c>
    </row>
    <row r="863" spans="1:4" x14ac:dyDescent="0.25">
      <c r="A863">
        <f t="shared" si="82"/>
        <v>855</v>
      </c>
      <c r="B863" t="str">
        <f t="shared" si="80"/>
        <v>0x357</v>
      </c>
      <c r="C863">
        <f t="shared" si="83"/>
        <v>23</v>
      </c>
      <c r="D863" t="str">
        <f t="shared" si="81"/>
        <v>00017</v>
      </c>
    </row>
    <row r="864" spans="1:4" x14ac:dyDescent="0.25">
      <c r="A864">
        <f t="shared" si="82"/>
        <v>856</v>
      </c>
      <c r="B864" t="str">
        <f t="shared" si="80"/>
        <v>0x358</v>
      </c>
      <c r="C864">
        <f t="shared" si="83"/>
        <v>24</v>
      </c>
      <c r="D864" t="str">
        <f t="shared" si="81"/>
        <v>00018</v>
      </c>
    </row>
    <row r="865" spans="1:4" x14ac:dyDescent="0.25">
      <c r="A865">
        <f t="shared" si="82"/>
        <v>857</v>
      </c>
      <c r="B865" t="str">
        <f t="shared" si="80"/>
        <v>0x359</v>
      </c>
      <c r="C865">
        <f t="shared" si="83"/>
        <v>25</v>
      </c>
      <c r="D865" t="str">
        <f t="shared" si="81"/>
        <v>00019</v>
      </c>
    </row>
    <row r="866" spans="1:4" x14ac:dyDescent="0.25">
      <c r="A866">
        <f t="shared" si="82"/>
        <v>858</v>
      </c>
      <c r="B866" t="str">
        <f t="shared" si="80"/>
        <v>0x35A</v>
      </c>
      <c r="C866">
        <f t="shared" si="83"/>
        <v>26</v>
      </c>
      <c r="D866" t="str">
        <f t="shared" si="81"/>
        <v>0001A</v>
      </c>
    </row>
    <row r="867" spans="1:4" x14ac:dyDescent="0.25">
      <c r="A867">
        <f t="shared" si="82"/>
        <v>859</v>
      </c>
      <c r="B867" t="str">
        <f t="shared" si="80"/>
        <v>0x35B</v>
      </c>
      <c r="C867">
        <f t="shared" si="83"/>
        <v>27</v>
      </c>
      <c r="D867" t="str">
        <f t="shared" si="81"/>
        <v>0001B</v>
      </c>
    </row>
    <row r="868" spans="1:4" x14ac:dyDescent="0.25">
      <c r="A868">
        <f t="shared" si="82"/>
        <v>860</v>
      </c>
      <c r="B868" t="str">
        <f t="shared" si="80"/>
        <v>0x35C</v>
      </c>
      <c r="C868">
        <f t="shared" si="83"/>
        <v>28</v>
      </c>
      <c r="D868" t="str">
        <f t="shared" si="81"/>
        <v>0001C</v>
      </c>
    </row>
    <row r="869" spans="1:4" x14ac:dyDescent="0.25">
      <c r="A869">
        <f t="shared" si="82"/>
        <v>861</v>
      </c>
      <c r="B869" t="str">
        <f t="shared" si="80"/>
        <v>0x35D</v>
      </c>
      <c r="C869">
        <f t="shared" si="83"/>
        <v>29</v>
      </c>
      <c r="D869" t="str">
        <f t="shared" si="81"/>
        <v>0001D</v>
      </c>
    </row>
    <row r="870" spans="1:4" x14ac:dyDescent="0.25">
      <c r="A870">
        <f t="shared" si="82"/>
        <v>862</v>
      </c>
      <c r="B870" t="str">
        <f t="shared" si="80"/>
        <v>0x35E</v>
      </c>
      <c r="C870">
        <f t="shared" si="83"/>
        <v>30</v>
      </c>
      <c r="D870" t="str">
        <f t="shared" si="81"/>
        <v>0001E</v>
      </c>
    </row>
    <row r="871" spans="1:4" x14ac:dyDescent="0.25">
      <c r="A871">
        <f t="shared" si="82"/>
        <v>863</v>
      </c>
      <c r="B871" t="str">
        <f t="shared" si="80"/>
        <v>0x35F</v>
      </c>
      <c r="C871">
        <f t="shared" si="83"/>
        <v>31</v>
      </c>
      <c r="D871" t="str">
        <f t="shared" si="81"/>
        <v>0001F</v>
      </c>
    </row>
    <row r="872" spans="1:4" x14ac:dyDescent="0.25">
      <c r="A872">
        <f t="shared" si="82"/>
        <v>864</v>
      </c>
      <c r="B872" t="str">
        <f t="shared" si="80"/>
        <v>0x360</v>
      </c>
      <c r="C872">
        <v>0</v>
      </c>
      <c r="D872" t="str">
        <f t="shared" si="81"/>
        <v>00000</v>
      </c>
    </row>
    <row r="873" spans="1:4" x14ac:dyDescent="0.25">
      <c r="A873">
        <f t="shared" si="82"/>
        <v>865</v>
      </c>
      <c r="B873" t="str">
        <f t="shared" si="80"/>
        <v>0x361</v>
      </c>
      <c r="C873">
        <f>C872+1</f>
        <v>1</v>
      </c>
      <c r="D873" t="str">
        <f t="shared" si="81"/>
        <v>00001</v>
      </c>
    </row>
    <row r="874" spans="1:4" x14ac:dyDescent="0.25">
      <c r="A874">
        <f t="shared" si="82"/>
        <v>866</v>
      </c>
      <c r="B874" t="str">
        <f t="shared" si="80"/>
        <v>0x362</v>
      </c>
      <c r="C874">
        <f t="shared" ref="C874:C903" si="84">C873+1</f>
        <v>2</v>
      </c>
      <c r="D874" t="str">
        <f t="shared" si="81"/>
        <v>00002</v>
      </c>
    </row>
    <row r="875" spans="1:4" x14ac:dyDescent="0.25">
      <c r="A875">
        <f t="shared" si="82"/>
        <v>867</v>
      </c>
      <c r="B875" t="str">
        <f t="shared" si="80"/>
        <v>0x363</v>
      </c>
      <c r="C875">
        <f t="shared" si="84"/>
        <v>3</v>
      </c>
      <c r="D875" t="str">
        <f t="shared" si="81"/>
        <v>00003</v>
      </c>
    </row>
    <row r="876" spans="1:4" x14ac:dyDescent="0.25">
      <c r="A876">
        <f t="shared" si="82"/>
        <v>868</v>
      </c>
      <c r="B876" t="str">
        <f t="shared" si="80"/>
        <v>0x364</v>
      </c>
      <c r="C876">
        <f t="shared" si="84"/>
        <v>4</v>
      </c>
      <c r="D876" t="str">
        <f t="shared" si="81"/>
        <v>00004</v>
      </c>
    </row>
    <row r="877" spans="1:4" x14ac:dyDescent="0.25">
      <c r="A877">
        <f t="shared" si="82"/>
        <v>869</v>
      </c>
      <c r="B877" t="str">
        <f t="shared" si="80"/>
        <v>0x365</v>
      </c>
      <c r="C877">
        <f t="shared" si="84"/>
        <v>5</v>
      </c>
      <c r="D877" t="str">
        <f t="shared" si="81"/>
        <v>00005</v>
      </c>
    </row>
    <row r="878" spans="1:4" x14ac:dyDescent="0.25">
      <c r="A878">
        <f t="shared" si="82"/>
        <v>870</v>
      </c>
      <c r="B878" t="str">
        <f t="shared" si="80"/>
        <v>0x366</v>
      </c>
      <c r="C878">
        <f t="shared" si="84"/>
        <v>6</v>
      </c>
      <c r="D878" t="str">
        <f t="shared" si="81"/>
        <v>00006</v>
      </c>
    </row>
    <row r="879" spans="1:4" x14ac:dyDescent="0.25">
      <c r="A879">
        <f t="shared" si="82"/>
        <v>871</v>
      </c>
      <c r="B879" t="str">
        <f t="shared" si="80"/>
        <v>0x367</v>
      </c>
      <c r="C879">
        <f t="shared" si="84"/>
        <v>7</v>
      </c>
      <c r="D879" t="str">
        <f t="shared" si="81"/>
        <v>00007</v>
      </c>
    </row>
    <row r="880" spans="1:4" x14ac:dyDescent="0.25">
      <c r="A880">
        <f t="shared" si="82"/>
        <v>872</v>
      </c>
      <c r="B880" t="str">
        <f t="shared" si="80"/>
        <v>0x368</v>
      </c>
      <c r="C880">
        <f t="shared" si="84"/>
        <v>8</v>
      </c>
      <c r="D880" t="str">
        <f t="shared" si="81"/>
        <v>00008</v>
      </c>
    </row>
    <row r="881" spans="1:4" x14ac:dyDescent="0.25">
      <c r="A881">
        <f t="shared" si="82"/>
        <v>873</v>
      </c>
      <c r="B881" t="str">
        <f t="shared" si="80"/>
        <v>0x369</v>
      </c>
      <c r="C881">
        <f t="shared" si="84"/>
        <v>9</v>
      </c>
      <c r="D881" t="str">
        <f t="shared" si="81"/>
        <v>00009</v>
      </c>
    </row>
    <row r="882" spans="1:4" x14ac:dyDescent="0.25">
      <c r="A882">
        <f t="shared" si="82"/>
        <v>874</v>
      </c>
      <c r="B882" t="str">
        <f t="shared" si="80"/>
        <v>0x36A</v>
      </c>
      <c r="C882">
        <f t="shared" si="84"/>
        <v>10</v>
      </c>
      <c r="D882" t="str">
        <f t="shared" si="81"/>
        <v>0000A</v>
      </c>
    </row>
    <row r="883" spans="1:4" x14ac:dyDescent="0.25">
      <c r="A883">
        <f t="shared" si="82"/>
        <v>875</v>
      </c>
      <c r="B883" t="str">
        <f t="shared" si="80"/>
        <v>0x36B</v>
      </c>
      <c r="C883">
        <f t="shared" si="84"/>
        <v>11</v>
      </c>
      <c r="D883" t="str">
        <f t="shared" si="81"/>
        <v>0000B</v>
      </c>
    </row>
    <row r="884" spans="1:4" x14ac:dyDescent="0.25">
      <c r="A884">
        <f t="shared" si="82"/>
        <v>876</v>
      </c>
      <c r="B884" t="str">
        <f t="shared" si="80"/>
        <v>0x36C</v>
      </c>
      <c r="C884">
        <f t="shared" si="84"/>
        <v>12</v>
      </c>
      <c r="D884" t="str">
        <f t="shared" si="81"/>
        <v>0000C</v>
      </c>
    </row>
    <row r="885" spans="1:4" x14ac:dyDescent="0.25">
      <c r="A885">
        <f t="shared" si="82"/>
        <v>877</v>
      </c>
      <c r="B885" t="str">
        <f t="shared" si="80"/>
        <v>0x36D</v>
      </c>
      <c r="C885">
        <f t="shared" si="84"/>
        <v>13</v>
      </c>
      <c r="D885" t="str">
        <f t="shared" si="81"/>
        <v>0000D</v>
      </c>
    </row>
    <row r="886" spans="1:4" x14ac:dyDescent="0.25">
      <c r="A886">
        <f t="shared" si="82"/>
        <v>878</v>
      </c>
      <c r="B886" t="str">
        <f t="shared" si="80"/>
        <v>0x36E</v>
      </c>
      <c r="C886">
        <f t="shared" si="84"/>
        <v>14</v>
      </c>
      <c r="D886" t="str">
        <f t="shared" si="81"/>
        <v>0000E</v>
      </c>
    </row>
    <row r="887" spans="1:4" x14ac:dyDescent="0.25">
      <c r="A887">
        <f t="shared" si="82"/>
        <v>879</v>
      </c>
      <c r="B887" t="str">
        <f t="shared" si="80"/>
        <v>0x36F</v>
      </c>
      <c r="C887">
        <f t="shared" si="84"/>
        <v>15</v>
      </c>
      <c r="D887" t="str">
        <f t="shared" si="81"/>
        <v>0000F</v>
      </c>
    </row>
    <row r="888" spans="1:4" x14ac:dyDescent="0.25">
      <c r="A888">
        <f t="shared" si="82"/>
        <v>880</v>
      </c>
      <c r="B888" t="str">
        <f t="shared" si="80"/>
        <v>0x370</v>
      </c>
      <c r="C888">
        <f t="shared" si="84"/>
        <v>16</v>
      </c>
      <c r="D888" t="str">
        <f t="shared" si="81"/>
        <v>00010</v>
      </c>
    </row>
    <row r="889" spans="1:4" x14ac:dyDescent="0.25">
      <c r="A889">
        <f t="shared" si="82"/>
        <v>881</v>
      </c>
      <c r="B889" t="str">
        <f t="shared" si="80"/>
        <v>0x371</v>
      </c>
      <c r="C889">
        <f t="shared" si="84"/>
        <v>17</v>
      </c>
      <c r="D889" t="str">
        <f t="shared" si="81"/>
        <v>00011</v>
      </c>
    </row>
    <row r="890" spans="1:4" x14ac:dyDescent="0.25">
      <c r="A890">
        <f t="shared" si="82"/>
        <v>882</v>
      </c>
      <c r="B890" t="str">
        <f t="shared" si="80"/>
        <v>0x372</v>
      </c>
      <c r="C890">
        <f t="shared" si="84"/>
        <v>18</v>
      </c>
      <c r="D890" t="str">
        <f t="shared" si="81"/>
        <v>00012</v>
      </c>
    </row>
    <row r="891" spans="1:4" x14ac:dyDescent="0.25">
      <c r="A891">
        <f t="shared" si="82"/>
        <v>883</v>
      </c>
      <c r="B891" t="str">
        <f t="shared" si="80"/>
        <v>0x373</v>
      </c>
      <c r="C891">
        <f t="shared" si="84"/>
        <v>19</v>
      </c>
      <c r="D891" t="str">
        <f t="shared" si="81"/>
        <v>00013</v>
      </c>
    </row>
    <row r="892" spans="1:4" x14ac:dyDescent="0.25">
      <c r="A892">
        <f t="shared" si="82"/>
        <v>884</v>
      </c>
      <c r="B892" t="str">
        <f t="shared" si="80"/>
        <v>0x374</v>
      </c>
      <c r="C892">
        <f t="shared" si="84"/>
        <v>20</v>
      </c>
      <c r="D892" t="str">
        <f t="shared" si="81"/>
        <v>00014</v>
      </c>
    </row>
    <row r="893" spans="1:4" x14ac:dyDescent="0.25">
      <c r="A893">
        <f t="shared" si="82"/>
        <v>885</v>
      </c>
      <c r="B893" t="str">
        <f t="shared" si="80"/>
        <v>0x375</v>
      </c>
      <c r="C893">
        <f t="shared" si="84"/>
        <v>21</v>
      </c>
      <c r="D893" t="str">
        <f t="shared" si="81"/>
        <v>00015</v>
      </c>
    </row>
    <row r="894" spans="1:4" x14ac:dyDescent="0.25">
      <c r="A894">
        <f t="shared" si="82"/>
        <v>886</v>
      </c>
      <c r="B894" t="str">
        <f t="shared" si="80"/>
        <v>0x376</v>
      </c>
      <c r="C894">
        <f t="shared" si="84"/>
        <v>22</v>
      </c>
      <c r="D894" t="str">
        <f t="shared" si="81"/>
        <v>00016</v>
      </c>
    </row>
    <row r="895" spans="1:4" x14ac:dyDescent="0.25">
      <c r="A895">
        <f t="shared" si="82"/>
        <v>887</v>
      </c>
      <c r="B895" t="str">
        <f t="shared" si="80"/>
        <v>0x377</v>
      </c>
      <c r="C895">
        <f t="shared" si="84"/>
        <v>23</v>
      </c>
      <c r="D895" t="str">
        <f t="shared" si="81"/>
        <v>00017</v>
      </c>
    </row>
    <row r="896" spans="1:4" x14ac:dyDescent="0.25">
      <c r="A896">
        <f t="shared" si="82"/>
        <v>888</v>
      </c>
      <c r="B896" t="str">
        <f t="shared" si="80"/>
        <v>0x378</v>
      </c>
      <c r="C896">
        <f t="shared" si="84"/>
        <v>24</v>
      </c>
      <c r="D896" t="str">
        <f t="shared" si="81"/>
        <v>00018</v>
      </c>
    </row>
    <row r="897" spans="1:4" x14ac:dyDescent="0.25">
      <c r="A897">
        <f t="shared" si="82"/>
        <v>889</v>
      </c>
      <c r="B897" t="str">
        <f t="shared" si="80"/>
        <v>0x379</v>
      </c>
      <c r="C897">
        <f t="shared" si="84"/>
        <v>25</v>
      </c>
      <c r="D897" t="str">
        <f t="shared" si="81"/>
        <v>00019</v>
      </c>
    </row>
    <row r="898" spans="1:4" x14ac:dyDescent="0.25">
      <c r="A898">
        <f t="shared" si="82"/>
        <v>890</v>
      </c>
      <c r="B898" t="str">
        <f t="shared" si="80"/>
        <v>0x37A</v>
      </c>
      <c r="C898">
        <f t="shared" si="84"/>
        <v>26</v>
      </c>
      <c r="D898" t="str">
        <f t="shared" si="81"/>
        <v>0001A</v>
      </c>
    </row>
    <row r="899" spans="1:4" x14ac:dyDescent="0.25">
      <c r="A899">
        <f t="shared" si="82"/>
        <v>891</v>
      </c>
      <c r="B899" t="str">
        <f t="shared" si="80"/>
        <v>0x37B</v>
      </c>
      <c r="C899">
        <f t="shared" si="84"/>
        <v>27</v>
      </c>
      <c r="D899" t="str">
        <f t="shared" si="81"/>
        <v>0001B</v>
      </c>
    </row>
    <row r="900" spans="1:4" x14ac:dyDescent="0.25">
      <c r="A900">
        <f t="shared" si="82"/>
        <v>892</v>
      </c>
      <c r="B900" t="str">
        <f t="shared" si="80"/>
        <v>0x37C</v>
      </c>
      <c r="C900">
        <f t="shared" si="84"/>
        <v>28</v>
      </c>
      <c r="D900" t="str">
        <f t="shared" si="81"/>
        <v>0001C</v>
      </c>
    </row>
    <row r="901" spans="1:4" x14ac:dyDescent="0.25">
      <c r="A901">
        <f t="shared" si="82"/>
        <v>893</v>
      </c>
      <c r="B901" t="str">
        <f t="shared" si="80"/>
        <v>0x37D</v>
      </c>
      <c r="C901">
        <f t="shared" si="84"/>
        <v>29</v>
      </c>
      <c r="D901" t="str">
        <f t="shared" si="81"/>
        <v>0001D</v>
      </c>
    </row>
    <row r="902" spans="1:4" x14ac:dyDescent="0.25">
      <c r="A902">
        <f t="shared" si="82"/>
        <v>894</v>
      </c>
      <c r="B902" t="str">
        <f t="shared" si="80"/>
        <v>0x37E</v>
      </c>
      <c r="C902">
        <f t="shared" si="84"/>
        <v>30</v>
      </c>
      <c r="D902" t="str">
        <f t="shared" si="81"/>
        <v>0001E</v>
      </c>
    </row>
    <row r="903" spans="1:4" x14ac:dyDescent="0.25">
      <c r="A903">
        <f t="shared" si="82"/>
        <v>895</v>
      </c>
      <c r="B903" t="str">
        <f t="shared" si="80"/>
        <v>0x37F</v>
      </c>
      <c r="C903">
        <f t="shared" si="84"/>
        <v>31</v>
      </c>
      <c r="D903" t="str">
        <f t="shared" si="81"/>
        <v>0001F</v>
      </c>
    </row>
    <row r="904" spans="1:4" x14ac:dyDescent="0.25">
      <c r="A904">
        <f t="shared" si="82"/>
        <v>896</v>
      </c>
      <c r="B904" t="str">
        <f t="shared" si="80"/>
        <v>0x380</v>
      </c>
      <c r="C904">
        <v>0</v>
      </c>
      <c r="D904" t="str">
        <f t="shared" si="81"/>
        <v>00000</v>
      </c>
    </row>
    <row r="905" spans="1:4" x14ac:dyDescent="0.25">
      <c r="A905">
        <f t="shared" si="82"/>
        <v>897</v>
      </c>
      <c r="B905" t="str">
        <f t="shared" ref="B905:B968" si="85">CONCATENATE("0x",DEC2HEX(A905,3))</f>
        <v>0x381</v>
      </c>
      <c r="C905">
        <f>C904+1</f>
        <v>1</v>
      </c>
      <c r="D905" t="str">
        <f t="shared" ref="D905:D968" si="86">DEC2HEX(C905,5)</f>
        <v>00001</v>
      </c>
    </row>
    <row r="906" spans="1:4" x14ac:dyDescent="0.25">
      <c r="A906">
        <f t="shared" ref="A906:A969" si="87">A905+1</f>
        <v>898</v>
      </c>
      <c r="B906" t="str">
        <f t="shared" si="85"/>
        <v>0x382</v>
      </c>
      <c r="C906">
        <f t="shared" ref="C906:C935" si="88">C905+1</f>
        <v>2</v>
      </c>
      <c r="D906" t="str">
        <f t="shared" si="86"/>
        <v>00002</v>
      </c>
    </row>
    <row r="907" spans="1:4" x14ac:dyDescent="0.25">
      <c r="A907">
        <f t="shared" si="87"/>
        <v>899</v>
      </c>
      <c r="B907" t="str">
        <f t="shared" si="85"/>
        <v>0x383</v>
      </c>
      <c r="C907">
        <f t="shared" si="88"/>
        <v>3</v>
      </c>
      <c r="D907" t="str">
        <f t="shared" si="86"/>
        <v>00003</v>
      </c>
    </row>
    <row r="908" spans="1:4" x14ac:dyDescent="0.25">
      <c r="A908">
        <f t="shared" si="87"/>
        <v>900</v>
      </c>
      <c r="B908" t="str">
        <f t="shared" si="85"/>
        <v>0x384</v>
      </c>
      <c r="C908">
        <f t="shared" si="88"/>
        <v>4</v>
      </c>
      <c r="D908" t="str">
        <f t="shared" si="86"/>
        <v>00004</v>
      </c>
    </row>
    <row r="909" spans="1:4" x14ac:dyDescent="0.25">
      <c r="A909">
        <f t="shared" si="87"/>
        <v>901</v>
      </c>
      <c r="B909" t="str">
        <f t="shared" si="85"/>
        <v>0x385</v>
      </c>
      <c r="C909">
        <f t="shared" si="88"/>
        <v>5</v>
      </c>
      <c r="D909" t="str">
        <f t="shared" si="86"/>
        <v>00005</v>
      </c>
    </row>
    <row r="910" spans="1:4" x14ac:dyDescent="0.25">
      <c r="A910">
        <f t="shared" si="87"/>
        <v>902</v>
      </c>
      <c r="B910" t="str">
        <f t="shared" si="85"/>
        <v>0x386</v>
      </c>
      <c r="C910">
        <f t="shared" si="88"/>
        <v>6</v>
      </c>
      <c r="D910" t="str">
        <f t="shared" si="86"/>
        <v>00006</v>
      </c>
    </row>
    <row r="911" spans="1:4" x14ac:dyDescent="0.25">
      <c r="A911">
        <f t="shared" si="87"/>
        <v>903</v>
      </c>
      <c r="B911" t="str">
        <f t="shared" si="85"/>
        <v>0x387</v>
      </c>
      <c r="C911">
        <f t="shared" si="88"/>
        <v>7</v>
      </c>
      <c r="D911" t="str">
        <f t="shared" si="86"/>
        <v>00007</v>
      </c>
    </row>
    <row r="912" spans="1:4" x14ac:dyDescent="0.25">
      <c r="A912">
        <f t="shared" si="87"/>
        <v>904</v>
      </c>
      <c r="B912" t="str">
        <f t="shared" si="85"/>
        <v>0x388</v>
      </c>
      <c r="C912">
        <f t="shared" si="88"/>
        <v>8</v>
      </c>
      <c r="D912" t="str">
        <f t="shared" si="86"/>
        <v>00008</v>
      </c>
    </row>
    <row r="913" spans="1:4" x14ac:dyDescent="0.25">
      <c r="A913">
        <f t="shared" si="87"/>
        <v>905</v>
      </c>
      <c r="B913" t="str">
        <f t="shared" si="85"/>
        <v>0x389</v>
      </c>
      <c r="C913">
        <f t="shared" si="88"/>
        <v>9</v>
      </c>
      <c r="D913" t="str">
        <f t="shared" si="86"/>
        <v>00009</v>
      </c>
    </row>
    <row r="914" spans="1:4" x14ac:dyDescent="0.25">
      <c r="A914">
        <f t="shared" si="87"/>
        <v>906</v>
      </c>
      <c r="B914" t="str">
        <f t="shared" si="85"/>
        <v>0x38A</v>
      </c>
      <c r="C914">
        <f t="shared" si="88"/>
        <v>10</v>
      </c>
      <c r="D914" t="str">
        <f t="shared" si="86"/>
        <v>0000A</v>
      </c>
    </row>
    <row r="915" spans="1:4" x14ac:dyDescent="0.25">
      <c r="A915">
        <f t="shared" si="87"/>
        <v>907</v>
      </c>
      <c r="B915" t="str">
        <f t="shared" si="85"/>
        <v>0x38B</v>
      </c>
      <c r="C915">
        <f t="shared" si="88"/>
        <v>11</v>
      </c>
      <c r="D915" t="str">
        <f t="shared" si="86"/>
        <v>0000B</v>
      </c>
    </row>
    <row r="916" spans="1:4" x14ac:dyDescent="0.25">
      <c r="A916">
        <f t="shared" si="87"/>
        <v>908</v>
      </c>
      <c r="B916" t="str">
        <f t="shared" si="85"/>
        <v>0x38C</v>
      </c>
      <c r="C916">
        <f t="shared" si="88"/>
        <v>12</v>
      </c>
      <c r="D916" t="str">
        <f t="shared" si="86"/>
        <v>0000C</v>
      </c>
    </row>
    <row r="917" spans="1:4" x14ac:dyDescent="0.25">
      <c r="A917">
        <f t="shared" si="87"/>
        <v>909</v>
      </c>
      <c r="B917" t="str">
        <f t="shared" si="85"/>
        <v>0x38D</v>
      </c>
      <c r="C917">
        <f t="shared" si="88"/>
        <v>13</v>
      </c>
      <c r="D917" t="str">
        <f t="shared" si="86"/>
        <v>0000D</v>
      </c>
    </row>
    <row r="918" spans="1:4" x14ac:dyDescent="0.25">
      <c r="A918">
        <f t="shared" si="87"/>
        <v>910</v>
      </c>
      <c r="B918" t="str">
        <f t="shared" si="85"/>
        <v>0x38E</v>
      </c>
      <c r="C918">
        <f t="shared" si="88"/>
        <v>14</v>
      </c>
      <c r="D918" t="str">
        <f t="shared" si="86"/>
        <v>0000E</v>
      </c>
    </row>
    <row r="919" spans="1:4" x14ac:dyDescent="0.25">
      <c r="A919">
        <f t="shared" si="87"/>
        <v>911</v>
      </c>
      <c r="B919" t="str">
        <f t="shared" si="85"/>
        <v>0x38F</v>
      </c>
      <c r="C919">
        <f t="shared" si="88"/>
        <v>15</v>
      </c>
      <c r="D919" t="str">
        <f t="shared" si="86"/>
        <v>0000F</v>
      </c>
    </row>
    <row r="920" spans="1:4" x14ac:dyDescent="0.25">
      <c r="A920">
        <f t="shared" si="87"/>
        <v>912</v>
      </c>
      <c r="B920" t="str">
        <f t="shared" si="85"/>
        <v>0x390</v>
      </c>
      <c r="C920">
        <f t="shared" si="88"/>
        <v>16</v>
      </c>
      <c r="D920" t="str">
        <f t="shared" si="86"/>
        <v>00010</v>
      </c>
    </row>
    <row r="921" spans="1:4" x14ac:dyDescent="0.25">
      <c r="A921">
        <f t="shared" si="87"/>
        <v>913</v>
      </c>
      <c r="B921" t="str">
        <f t="shared" si="85"/>
        <v>0x391</v>
      </c>
      <c r="C921">
        <f t="shared" si="88"/>
        <v>17</v>
      </c>
      <c r="D921" t="str">
        <f t="shared" si="86"/>
        <v>00011</v>
      </c>
    </row>
    <row r="922" spans="1:4" x14ac:dyDescent="0.25">
      <c r="A922">
        <f t="shared" si="87"/>
        <v>914</v>
      </c>
      <c r="B922" t="str">
        <f t="shared" si="85"/>
        <v>0x392</v>
      </c>
      <c r="C922">
        <f t="shared" si="88"/>
        <v>18</v>
      </c>
      <c r="D922" t="str">
        <f t="shared" si="86"/>
        <v>00012</v>
      </c>
    </row>
    <row r="923" spans="1:4" x14ac:dyDescent="0.25">
      <c r="A923">
        <f t="shared" si="87"/>
        <v>915</v>
      </c>
      <c r="B923" t="str">
        <f t="shared" si="85"/>
        <v>0x393</v>
      </c>
      <c r="C923">
        <f t="shared" si="88"/>
        <v>19</v>
      </c>
      <c r="D923" t="str">
        <f t="shared" si="86"/>
        <v>00013</v>
      </c>
    </row>
    <row r="924" spans="1:4" x14ac:dyDescent="0.25">
      <c r="A924">
        <f t="shared" si="87"/>
        <v>916</v>
      </c>
      <c r="B924" t="str">
        <f t="shared" si="85"/>
        <v>0x394</v>
      </c>
      <c r="C924">
        <f t="shared" si="88"/>
        <v>20</v>
      </c>
      <c r="D924" t="str">
        <f t="shared" si="86"/>
        <v>00014</v>
      </c>
    </row>
    <row r="925" spans="1:4" x14ac:dyDescent="0.25">
      <c r="A925">
        <f t="shared" si="87"/>
        <v>917</v>
      </c>
      <c r="B925" t="str">
        <f t="shared" si="85"/>
        <v>0x395</v>
      </c>
      <c r="C925">
        <f t="shared" si="88"/>
        <v>21</v>
      </c>
      <c r="D925" t="str">
        <f t="shared" si="86"/>
        <v>00015</v>
      </c>
    </row>
    <row r="926" spans="1:4" x14ac:dyDescent="0.25">
      <c r="A926">
        <f t="shared" si="87"/>
        <v>918</v>
      </c>
      <c r="B926" t="str">
        <f t="shared" si="85"/>
        <v>0x396</v>
      </c>
      <c r="C926">
        <f t="shared" si="88"/>
        <v>22</v>
      </c>
      <c r="D926" t="str">
        <f t="shared" si="86"/>
        <v>00016</v>
      </c>
    </row>
    <row r="927" spans="1:4" x14ac:dyDescent="0.25">
      <c r="A927">
        <f t="shared" si="87"/>
        <v>919</v>
      </c>
      <c r="B927" t="str">
        <f t="shared" si="85"/>
        <v>0x397</v>
      </c>
      <c r="C927">
        <f t="shared" si="88"/>
        <v>23</v>
      </c>
      <c r="D927" t="str">
        <f t="shared" si="86"/>
        <v>00017</v>
      </c>
    </row>
    <row r="928" spans="1:4" x14ac:dyDescent="0.25">
      <c r="A928">
        <f t="shared" si="87"/>
        <v>920</v>
      </c>
      <c r="B928" t="str">
        <f t="shared" si="85"/>
        <v>0x398</v>
      </c>
      <c r="C928">
        <f t="shared" si="88"/>
        <v>24</v>
      </c>
      <c r="D928" t="str">
        <f t="shared" si="86"/>
        <v>00018</v>
      </c>
    </row>
    <row r="929" spans="1:4" x14ac:dyDescent="0.25">
      <c r="A929">
        <f t="shared" si="87"/>
        <v>921</v>
      </c>
      <c r="B929" t="str">
        <f t="shared" si="85"/>
        <v>0x399</v>
      </c>
      <c r="C929">
        <f t="shared" si="88"/>
        <v>25</v>
      </c>
      <c r="D929" t="str">
        <f t="shared" si="86"/>
        <v>00019</v>
      </c>
    </row>
    <row r="930" spans="1:4" x14ac:dyDescent="0.25">
      <c r="A930">
        <f t="shared" si="87"/>
        <v>922</v>
      </c>
      <c r="B930" t="str">
        <f t="shared" si="85"/>
        <v>0x39A</v>
      </c>
      <c r="C930">
        <f t="shared" si="88"/>
        <v>26</v>
      </c>
      <c r="D930" t="str">
        <f t="shared" si="86"/>
        <v>0001A</v>
      </c>
    </row>
    <row r="931" spans="1:4" x14ac:dyDescent="0.25">
      <c r="A931">
        <f t="shared" si="87"/>
        <v>923</v>
      </c>
      <c r="B931" t="str">
        <f t="shared" si="85"/>
        <v>0x39B</v>
      </c>
      <c r="C931">
        <f t="shared" si="88"/>
        <v>27</v>
      </c>
      <c r="D931" t="str">
        <f t="shared" si="86"/>
        <v>0001B</v>
      </c>
    </row>
    <row r="932" spans="1:4" x14ac:dyDescent="0.25">
      <c r="A932">
        <f t="shared" si="87"/>
        <v>924</v>
      </c>
      <c r="B932" t="str">
        <f t="shared" si="85"/>
        <v>0x39C</v>
      </c>
      <c r="C932">
        <f t="shared" si="88"/>
        <v>28</v>
      </c>
      <c r="D932" t="str">
        <f t="shared" si="86"/>
        <v>0001C</v>
      </c>
    </row>
    <row r="933" spans="1:4" x14ac:dyDescent="0.25">
      <c r="A933">
        <f t="shared" si="87"/>
        <v>925</v>
      </c>
      <c r="B933" t="str">
        <f t="shared" si="85"/>
        <v>0x39D</v>
      </c>
      <c r="C933">
        <f t="shared" si="88"/>
        <v>29</v>
      </c>
      <c r="D933" t="str">
        <f t="shared" si="86"/>
        <v>0001D</v>
      </c>
    </row>
    <row r="934" spans="1:4" x14ac:dyDescent="0.25">
      <c r="A934">
        <f t="shared" si="87"/>
        <v>926</v>
      </c>
      <c r="B934" t="str">
        <f t="shared" si="85"/>
        <v>0x39E</v>
      </c>
      <c r="C934">
        <f t="shared" si="88"/>
        <v>30</v>
      </c>
      <c r="D934" t="str">
        <f t="shared" si="86"/>
        <v>0001E</v>
      </c>
    </row>
    <row r="935" spans="1:4" x14ac:dyDescent="0.25">
      <c r="A935">
        <f t="shared" si="87"/>
        <v>927</v>
      </c>
      <c r="B935" t="str">
        <f t="shared" si="85"/>
        <v>0x39F</v>
      </c>
      <c r="C935">
        <f t="shared" si="88"/>
        <v>31</v>
      </c>
      <c r="D935" t="str">
        <f t="shared" si="86"/>
        <v>0001F</v>
      </c>
    </row>
    <row r="936" spans="1:4" x14ac:dyDescent="0.25">
      <c r="A936">
        <f t="shared" si="87"/>
        <v>928</v>
      </c>
      <c r="B936" t="str">
        <f t="shared" si="85"/>
        <v>0x3A0</v>
      </c>
      <c r="C936">
        <v>0</v>
      </c>
      <c r="D936" t="str">
        <f t="shared" si="86"/>
        <v>00000</v>
      </c>
    </row>
    <row r="937" spans="1:4" x14ac:dyDescent="0.25">
      <c r="A937">
        <f t="shared" si="87"/>
        <v>929</v>
      </c>
      <c r="B937" t="str">
        <f t="shared" si="85"/>
        <v>0x3A1</v>
      </c>
      <c r="C937">
        <f>C936+1</f>
        <v>1</v>
      </c>
      <c r="D937" t="str">
        <f t="shared" si="86"/>
        <v>00001</v>
      </c>
    </row>
    <row r="938" spans="1:4" x14ac:dyDescent="0.25">
      <c r="A938">
        <f t="shared" si="87"/>
        <v>930</v>
      </c>
      <c r="B938" t="str">
        <f t="shared" si="85"/>
        <v>0x3A2</v>
      </c>
      <c r="C938">
        <f t="shared" ref="C938:C967" si="89">C937+1</f>
        <v>2</v>
      </c>
      <c r="D938" t="str">
        <f t="shared" si="86"/>
        <v>00002</v>
      </c>
    </row>
    <row r="939" spans="1:4" x14ac:dyDescent="0.25">
      <c r="A939">
        <f t="shared" si="87"/>
        <v>931</v>
      </c>
      <c r="B939" t="str">
        <f t="shared" si="85"/>
        <v>0x3A3</v>
      </c>
      <c r="C939">
        <f t="shared" si="89"/>
        <v>3</v>
      </c>
      <c r="D939" t="str">
        <f t="shared" si="86"/>
        <v>00003</v>
      </c>
    </row>
    <row r="940" spans="1:4" x14ac:dyDescent="0.25">
      <c r="A940">
        <f t="shared" si="87"/>
        <v>932</v>
      </c>
      <c r="B940" t="str">
        <f t="shared" si="85"/>
        <v>0x3A4</v>
      </c>
      <c r="C940">
        <f t="shared" si="89"/>
        <v>4</v>
      </c>
      <c r="D940" t="str">
        <f t="shared" si="86"/>
        <v>00004</v>
      </c>
    </row>
    <row r="941" spans="1:4" x14ac:dyDescent="0.25">
      <c r="A941">
        <f t="shared" si="87"/>
        <v>933</v>
      </c>
      <c r="B941" t="str">
        <f t="shared" si="85"/>
        <v>0x3A5</v>
      </c>
      <c r="C941">
        <f t="shared" si="89"/>
        <v>5</v>
      </c>
      <c r="D941" t="str">
        <f t="shared" si="86"/>
        <v>00005</v>
      </c>
    </row>
    <row r="942" spans="1:4" x14ac:dyDescent="0.25">
      <c r="A942">
        <f t="shared" si="87"/>
        <v>934</v>
      </c>
      <c r="B942" t="str">
        <f t="shared" si="85"/>
        <v>0x3A6</v>
      </c>
      <c r="C942">
        <f t="shared" si="89"/>
        <v>6</v>
      </c>
      <c r="D942" t="str">
        <f t="shared" si="86"/>
        <v>00006</v>
      </c>
    </row>
    <row r="943" spans="1:4" x14ac:dyDescent="0.25">
      <c r="A943">
        <f t="shared" si="87"/>
        <v>935</v>
      </c>
      <c r="B943" t="str">
        <f t="shared" si="85"/>
        <v>0x3A7</v>
      </c>
      <c r="C943">
        <f t="shared" si="89"/>
        <v>7</v>
      </c>
      <c r="D943" t="str">
        <f t="shared" si="86"/>
        <v>00007</v>
      </c>
    </row>
    <row r="944" spans="1:4" x14ac:dyDescent="0.25">
      <c r="A944">
        <f t="shared" si="87"/>
        <v>936</v>
      </c>
      <c r="B944" t="str">
        <f t="shared" si="85"/>
        <v>0x3A8</v>
      </c>
      <c r="C944">
        <f t="shared" si="89"/>
        <v>8</v>
      </c>
      <c r="D944" t="str">
        <f t="shared" si="86"/>
        <v>00008</v>
      </c>
    </row>
    <row r="945" spans="1:4" x14ac:dyDescent="0.25">
      <c r="A945">
        <f t="shared" si="87"/>
        <v>937</v>
      </c>
      <c r="B945" t="str">
        <f t="shared" si="85"/>
        <v>0x3A9</v>
      </c>
      <c r="C945">
        <f t="shared" si="89"/>
        <v>9</v>
      </c>
      <c r="D945" t="str">
        <f t="shared" si="86"/>
        <v>00009</v>
      </c>
    </row>
    <row r="946" spans="1:4" x14ac:dyDescent="0.25">
      <c r="A946">
        <f t="shared" si="87"/>
        <v>938</v>
      </c>
      <c r="B946" t="str">
        <f t="shared" si="85"/>
        <v>0x3AA</v>
      </c>
      <c r="C946">
        <f t="shared" si="89"/>
        <v>10</v>
      </c>
      <c r="D946" t="str">
        <f t="shared" si="86"/>
        <v>0000A</v>
      </c>
    </row>
    <row r="947" spans="1:4" x14ac:dyDescent="0.25">
      <c r="A947">
        <f t="shared" si="87"/>
        <v>939</v>
      </c>
      <c r="B947" t="str">
        <f t="shared" si="85"/>
        <v>0x3AB</v>
      </c>
      <c r="C947">
        <f t="shared" si="89"/>
        <v>11</v>
      </c>
      <c r="D947" t="str">
        <f t="shared" si="86"/>
        <v>0000B</v>
      </c>
    </row>
    <row r="948" spans="1:4" x14ac:dyDescent="0.25">
      <c r="A948">
        <f t="shared" si="87"/>
        <v>940</v>
      </c>
      <c r="B948" t="str">
        <f t="shared" si="85"/>
        <v>0x3AC</v>
      </c>
      <c r="C948">
        <f t="shared" si="89"/>
        <v>12</v>
      </c>
      <c r="D948" t="str">
        <f t="shared" si="86"/>
        <v>0000C</v>
      </c>
    </row>
    <row r="949" spans="1:4" x14ac:dyDescent="0.25">
      <c r="A949">
        <f t="shared" si="87"/>
        <v>941</v>
      </c>
      <c r="B949" t="str">
        <f t="shared" si="85"/>
        <v>0x3AD</v>
      </c>
      <c r="C949">
        <f t="shared" si="89"/>
        <v>13</v>
      </c>
      <c r="D949" t="str">
        <f t="shared" si="86"/>
        <v>0000D</v>
      </c>
    </row>
    <row r="950" spans="1:4" x14ac:dyDescent="0.25">
      <c r="A950">
        <f t="shared" si="87"/>
        <v>942</v>
      </c>
      <c r="B950" t="str">
        <f t="shared" si="85"/>
        <v>0x3AE</v>
      </c>
      <c r="C950">
        <f t="shared" si="89"/>
        <v>14</v>
      </c>
      <c r="D950" t="str">
        <f t="shared" si="86"/>
        <v>0000E</v>
      </c>
    </row>
    <row r="951" spans="1:4" x14ac:dyDescent="0.25">
      <c r="A951">
        <f t="shared" si="87"/>
        <v>943</v>
      </c>
      <c r="B951" t="str">
        <f t="shared" si="85"/>
        <v>0x3AF</v>
      </c>
      <c r="C951">
        <f t="shared" si="89"/>
        <v>15</v>
      </c>
      <c r="D951" t="str">
        <f t="shared" si="86"/>
        <v>0000F</v>
      </c>
    </row>
    <row r="952" spans="1:4" x14ac:dyDescent="0.25">
      <c r="A952">
        <f t="shared" si="87"/>
        <v>944</v>
      </c>
      <c r="B952" t="str">
        <f t="shared" si="85"/>
        <v>0x3B0</v>
      </c>
      <c r="C952">
        <f t="shared" si="89"/>
        <v>16</v>
      </c>
      <c r="D952" t="str">
        <f t="shared" si="86"/>
        <v>00010</v>
      </c>
    </row>
    <row r="953" spans="1:4" x14ac:dyDescent="0.25">
      <c r="A953">
        <f t="shared" si="87"/>
        <v>945</v>
      </c>
      <c r="B953" t="str">
        <f t="shared" si="85"/>
        <v>0x3B1</v>
      </c>
      <c r="C953">
        <f t="shared" si="89"/>
        <v>17</v>
      </c>
      <c r="D953" t="str">
        <f t="shared" si="86"/>
        <v>00011</v>
      </c>
    </row>
    <row r="954" spans="1:4" x14ac:dyDescent="0.25">
      <c r="A954">
        <f t="shared" si="87"/>
        <v>946</v>
      </c>
      <c r="B954" t="str">
        <f t="shared" si="85"/>
        <v>0x3B2</v>
      </c>
      <c r="C954">
        <f t="shared" si="89"/>
        <v>18</v>
      </c>
      <c r="D954" t="str">
        <f t="shared" si="86"/>
        <v>00012</v>
      </c>
    </row>
    <row r="955" spans="1:4" x14ac:dyDescent="0.25">
      <c r="A955">
        <f t="shared" si="87"/>
        <v>947</v>
      </c>
      <c r="B955" t="str">
        <f t="shared" si="85"/>
        <v>0x3B3</v>
      </c>
      <c r="C955">
        <f t="shared" si="89"/>
        <v>19</v>
      </c>
      <c r="D955" t="str">
        <f t="shared" si="86"/>
        <v>00013</v>
      </c>
    </row>
    <row r="956" spans="1:4" x14ac:dyDescent="0.25">
      <c r="A956">
        <f t="shared" si="87"/>
        <v>948</v>
      </c>
      <c r="B956" t="str">
        <f t="shared" si="85"/>
        <v>0x3B4</v>
      </c>
      <c r="C956">
        <f t="shared" si="89"/>
        <v>20</v>
      </c>
      <c r="D956" t="str">
        <f t="shared" si="86"/>
        <v>00014</v>
      </c>
    </row>
    <row r="957" spans="1:4" x14ac:dyDescent="0.25">
      <c r="A957">
        <f t="shared" si="87"/>
        <v>949</v>
      </c>
      <c r="B957" t="str">
        <f t="shared" si="85"/>
        <v>0x3B5</v>
      </c>
      <c r="C957">
        <f t="shared" si="89"/>
        <v>21</v>
      </c>
      <c r="D957" t="str">
        <f t="shared" si="86"/>
        <v>00015</v>
      </c>
    </row>
    <row r="958" spans="1:4" x14ac:dyDescent="0.25">
      <c r="A958">
        <f t="shared" si="87"/>
        <v>950</v>
      </c>
      <c r="B958" t="str">
        <f t="shared" si="85"/>
        <v>0x3B6</v>
      </c>
      <c r="C958">
        <f t="shared" si="89"/>
        <v>22</v>
      </c>
      <c r="D958" t="str">
        <f t="shared" si="86"/>
        <v>00016</v>
      </c>
    </row>
    <row r="959" spans="1:4" x14ac:dyDescent="0.25">
      <c r="A959">
        <f t="shared" si="87"/>
        <v>951</v>
      </c>
      <c r="B959" t="str">
        <f t="shared" si="85"/>
        <v>0x3B7</v>
      </c>
      <c r="C959">
        <f t="shared" si="89"/>
        <v>23</v>
      </c>
      <c r="D959" t="str">
        <f t="shared" si="86"/>
        <v>00017</v>
      </c>
    </row>
    <row r="960" spans="1:4" x14ac:dyDescent="0.25">
      <c r="A960">
        <f t="shared" si="87"/>
        <v>952</v>
      </c>
      <c r="B960" t="str">
        <f t="shared" si="85"/>
        <v>0x3B8</v>
      </c>
      <c r="C960">
        <f t="shared" si="89"/>
        <v>24</v>
      </c>
      <c r="D960" t="str">
        <f t="shared" si="86"/>
        <v>00018</v>
      </c>
    </row>
    <row r="961" spans="1:4" x14ac:dyDescent="0.25">
      <c r="A961">
        <f t="shared" si="87"/>
        <v>953</v>
      </c>
      <c r="B961" t="str">
        <f t="shared" si="85"/>
        <v>0x3B9</v>
      </c>
      <c r="C961">
        <f t="shared" si="89"/>
        <v>25</v>
      </c>
      <c r="D961" t="str">
        <f t="shared" si="86"/>
        <v>00019</v>
      </c>
    </row>
    <row r="962" spans="1:4" x14ac:dyDescent="0.25">
      <c r="A962">
        <f t="shared" si="87"/>
        <v>954</v>
      </c>
      <c r="B962" t="str">
        <f t="shared" si="85"/>
        <v>0x3BA</v>
      </c>
      <c r="C962">
        <f t="shared" si="89"/>
        <v>26</v>
      </c>
      <c r="D962" t="str">
        <f t="shared" si="86"/>
        <v>0001A</v>
      </c>
    </row>
    <row r="963" spans="1:4" x14ac:dyDescent="0.25">
      <c r="A963">
        <f t="shared" si="87"/>
        <v>955</v>
      </c>
      <c r="B963" t="str">
        <f t="shared" si="85"/>
        <v>0x3BB</v>
      </c>
      <c r="C963">
        <f t="shared" si="89"/>
        <v>27</v>
      </c>
      <c r="D963" t="str">
        <f t="shared" si="86"/>
        <v>0001B</v>
      </c>
    </row>
    <row r="964" spans="1:4" x14ac:dyDescent="0.25">
      <c r="A964">
        <f t="shared" si="87"/>
        <v>956</v>
      </c>
      <c r="B964" t="str">
        <f t="shared" si="85"/>
        <v>0x3BC</v>
      </c>
      <c r="C964">
        <f t="shared" si="89"/>
        <v>28</v>
      </c>
      <c r="D964" t="str">
        <f t="shared" si="86"/>
        <v>0001C</v>
      </c>
    </row>
    <row r="965" spans="1:4" x14ac:dyDescent="0.25">
      <c r="A965">
        <f t="shared" si="87"/>
        <v>957</v>
      </c>
      <c r="B965" t="str">
        <f t="shared" si="85"/>
        <v>0x3BD</v>
      </c>
      <c r="C965">
        <f t="shared" si="89"/>
        <v>29</v>
      </c>
      <c r="D965" t="str">
        <f t="shared" si="86"/>
        <v>0001D</v>
      </c>
    </row>
    <row r="966" spans="1:4" x14ac:dyDescent="0.25">
      <c r="A966">
        <f t="shared" si="87"/>
        <v>958</v>
      </c>
      <c r="B966" t="str">
        <f t="shared" si="85"/>
        <v>0x3BE</v>
      </c>
      <c r="C966">
        <f t="shared" si="89"/>
        <v>30</v>
      </c>
      <c r="D966" t="str">
        <f t="shared" si="86"/>
        <v>0001E</v>
      </c>
    </row>
    <row r="967" spans="1:4" x14ac:dyDescent="0.25">
      <c r="A967">
        <f t="shared" si="87"/>
        <v>959</v>
      </c>
      <c r="B967" t="str">
        <f t="shared" si="85"/>
        <v>0x3BF</v>
      </c>
      <c r="C967">
        <f t="shared" si="89"/>
        <v>31</v>
      </c>
      <c r="D967" t="str">
        <f t="shared" si="86"/>
        <v>0001F</v>
      </c>
    </row>
    <row r="968" spans="1:4" x14ac:dyDescent="0.25">
      <c r="A968">
        <f t="shared" si="87"/>
        <v>960</v>
      </c>
      <c r="B968" t="str">
        <f t="shared" si="85"/>
        <v>0x3C0</v>
      </c>
      <c r="C968">
        <v>0</v>
      </c>
      <c r="D968" t="str">
        <f t="shared" si="86"/>
        <v>00000</v>
      </c>
    </row>
    <row r="969" spans="1:4" x14ac:dyDescent="0.25">
      <c r="A969">
        <f t="shared" si="87"/>
        <v>961</v>
      </c>
      <c r="B969" t="str">
        <f t="shared" ref="B969:B1031" si="90">CONCATENATE("0x",DEC2HEX(A969,3))</f>
        <v>0x3C1</v>
      </c>
      <c r="C969">
        <f>C968+1</f>
        <v>1</v>
      </c>
      <c r="D969" t="str">
        <f t="shared" ref="D969:D1031" si="91">DEC2HEX(C969,5)</f>
        <v>00001</v>
      </c>
    </row>
    <row r="970" spans="1:4" x14ac:dyDescent="0.25">
      <c r="A970">
        <f t="shared" ref="A970:A1024" si="92">A969+1</f>
        <v>962</v>
      </c>
      <c r="B970" t="str">
        <f t="shared" si="90"/>
        <v>0x3C2</v>
      </c>
      <c r="C970">
        <f t="shared" ref="C970:C999" si="93">C969+1</f>
        <v>2</v>
      </c>
      <c r="D970" t="str">
        <f t="shared" si="91"/>
        <v>00002</v>
      </c>
    </row>
    <row r="971" spans="1:4" x14ac:dyDescent="0.25">
      <c r="A971">
        <f t="shared" si="92"/>
        <v>963</v>
      </c>
      <c r="B971" t="str">
        <f t="shared" si="90"/>
        <v>0x3C3</v>
      </c>
      <c r="C971">
        <f t="shared" si="93"/>
        <v>3</v>
      </c>
      <c r="D971" t="str">
        <f t="shared" si="91"/>
        <v>00003</v>
      </c>
    </row>
    <row r="972" spans="1:4" x14ac:dyDescent="0.25">
      <c r="A972">
        <f t="shared" si="92"/>
        <v>964</v>
      </c>
      <c r="B972" t="str">
        <f t="shared" si="90"/>
        <v>0x3C4</v>
      </c>
      <c r="C972">
        <f t="shared" si="93"/>
        <v>4</v>
      </c>
      <c r="D972" t="str">
        <f t="shared" si="91"/>
        <v>00004</v>
      </c>
    </row>
    <row r="973" spans="1:4" x14ac:dyDescent="0.25">
      <c r="A973">
        <f t="shared" si="92"/>
        <v>965</v>
      </c>
      <c r="B973" t="str">
        <f t="shared" si="90"/>
        <v>0x3C5</v>
      </c>
      <c r="C973">
        <f t="shared" si="93"/>
        <v>5</v>
      </c>
      <c r="D973" t="str">
        <f t="shared" si="91"/>
        <v>00005</v>
      </c>
    </row>
    <row r="974" spans="1:4" x14ac:dyDescent="0.25">
      <c r="A974">
        <f t="shared" si="92"/>
        <v>966</v>
      </c>
      <c r="B974" t="str">
        <f t="shared" si="90"/>
        <v>0x3C6</v>
      </c>
      <c r="C974">
        <f t="shared" si="93"/>
        <v>6</v>
      </c>
      <c r="D974" t="str">
        <f t="shared" si="91"/>
        <v>00006</v>
      </c>
    </row>
    <row r="975" spans="1:4" x14ac:dyDescent="0.25">
      <c r="A975">
        <f t="shared" si="92"/>
        <v>967</v>
      </c>
      <c r="B975" t="str">
        <f t="shared" si="90"/>
        <v>0x3C7</v>
      </c>
      <c r="C975">
        <f t="shared" si="93"/>
        <v>7</v>
      </c>
      <c r="D975" t="str">
        <f t="shared" si="91"/>
        <v>00007</v>
      </c>
    </row>
    <row r="976" spans="1:4" x14ac:dyDescent="0.25">
      <c r="A976">
        <f t="shared" si="92"/>
        <v>968</v>
      </c>
      <c r="B976" t="str">
        <f t="shared" si="90"/>
        <v>0x3C8</v>
      </c>
      <c r="C976">
        <f t="shared" si="93"/>
        <v>8</v>
      </c>
      <c r="D976" t="str">
        <f t="shared" si="91"/>
        <v>00008</v>
      </c>
    </row>
    <row r="977" spans="1:4" x14ac:dyDescent="0.25">
      <c r="A977">
        <f t="shared" si="92"/>
        <v>969</v>
      </c>
      <c r="B977" t="str">
        <f t="shared" si="90"/>
        <v>0x3C9</v>
      </c>
      <c r="C977">
        <f t="shared" si="93"/>
        <v>9</v>
      </c>
      <c r="D977" t="str">
        <f t="shared" si="91"/>
        <v>00009</v>
      </c>
    </row>
    <row r="978" spans="1:4" x14ac:dyDescent="0.25">
      <c r="A978">
        <f t="shared" si="92"/>
        <v>970</v>
      </c>
      <c r="B978" t="str">
        <f t="shared" si="90"/>
        <v>0x3CA</v>
      </c>
      <c r="C978">
        <f t="shared" si="93"/>
        <v>10</v>
      </c>
      <c r="D978" t="str">
        <f t="shared" si="91"/>
        <v>0000A</v>
      </c>
    </row>
    <row r="979" spans="1:4" x14ac:dyDescent="0.25">
      <c r="A979">
        <f t="shared" si="92"/>
        <v>971</v>
      </c>
      <c r="B979" t="str">
        <f t="shared" si="90"/>
        <v>0x3CB</v>
      </c>
      <c r="C979">
        <f t="shared" si="93"/>
        <v>11</v>
      </c>
      <c r="D979" t="str">
        <f t="shared" si="91"/>
        <v>0000B</v>
      </c>
    </row>
    <row r="980" spans="1:4" x14ac:dyDescent="0.25">
      <c r="A980">
        <f t="shared" si="92"/>
        <v>972</v>
      </c>
      <c r="B980" t="str">
        <f t="shared" si="90"/>
        <v>0x3CC</v>
      </c>
      <c r="C980">
        <f t="shared" si="93"/>
        <v>12</v>
      </c>
      <c r="D980" t="str">
        <f t="shared" si="91"/>
        <v>0000C</v>
      </c>
    </row>
    <row r="981" spans="1:4" x14ac:dyDescent="0.25">
      <c r="A981">
        <f t="shared" si="92"/>
        <v>973</v>
      </c>
      <c r="B981" t="str">
        <f t="shared" si="90"/>
        <v>0x3CD</v>
      </c>
      <c r="C981">
        <f t="shared" si="93"/>
        <v>13</v>
      </c>
      <c r="D981" t="str">
        <f t="shared" si="91"/>
        <v>0000D</v>
      </c>
    </row>
    <row r="982" spans="1:4" x14ac:dyDescent="0.25">
      <c r="A982">
        <f t="shared" si="92"/>
        <v>974</v>
      </c>
      <c r="B982" t="str">
        <f t="shared" si="90"/>
        <v>0x3CE</v>
      </c>
      <c r="C982">
        <f t="shared" si="93"/>
        <v>14</v>
      </c>
      <c r="D982" t="str">
        <f t="shared" si="91"/>
        <v>0000E</v>
      </c>
    </row>
    <row r="983" spans="1:4" x14ac:dyDescent="0.25">
      <c r="A983">
        <f t="shared" si="92"/>
        <v>975</v>
      </c>
      <c r="B983" t="str">
        <f t="shared" si="90"/>
        <v>0x3CF</v>
      </c>
      <c r="C983">
        <f t="shared" si="93"/>
        <v>15</v>
      </c>
      <c r="D983" t="str">
        <f t="shared" si="91"/>
        <v>0000F</v>
      </c>
    </row>
    <row r="984" spans="1:4" x14ac:dyDescent="0.25">
      <c r="A984">
        <f t="shared" si="92"/>
        <v>976</v>
      </c>
      <c r="B984" t="str">
        <f t="shared" si="90"/>
        <v>0x3D0</v>
      </c>
      <c r="C984">
        <f t="shared" si="93"/>
        <v>16</v>
      </c>
      <c r="D984" t="str">
        <f t="shared" si="91"/>
        <v>00010</v>
      </c>
    </row>
    <row r="985" spans="1:4" x14ac:dyDescent="0.25">
      <c r="A985">
        <f t="shared" si="92"/>
        <v>977</v>
      </c>
      <c r="B985" t="str">
        <f t="shared" si="90"/>
        <v>0x3D1</v>
      </c>
      <c r="C985">
        <f t="shared" si="93"/>
        <v>17</v>
      </c>
      <c r="D985" t="str">
        <f t="shared" si="91"/>
        <v>00011</v>
      </c>
    </row>
    <row r="986" spans="1:4" x14ac:dyDescent="0.25">
      <c r="A986">
        <f t="shared" si="92"/>
        <v>978</v>
      </c>
      <c r="B986" t="str">
        <f t="shared" si="90"/>
        <v>0x3D2</v>
      </c>
      <c r="C986">
        <f t="shared" si="93"/>
        <v>18</v>
      </c>
      <c r="D986" t="str">
        <f t="shared" si="91"/>
        <v>00012</v>
      </c>
    </row>
    <row r="987" spans="1:4" x14ac:dyDescent="0.25">
      <c r="A987">
        <f t="shared" si="92"/>
        <v>979</v>
      </c>
      <c r="B987" t="str">
        <f t="shared" si="90"/>
        <v>0x3D3</v>
      </c>
      <c r="C987">
        <f t="shared" si="93"/>
        <v>19</v>
      </c>
      <c r="D987" t="str">
        <f t="shared" si="91"/>
        <v>00013</v>
      </c>
    </row>
    <row r="988" spans="1:4" x14ac:dyDescent="0.25">
      <c r="A988">
        <f t="shared" si="92"/>
        <v>980</v>
      </c>
      <c r="B988" t="str">
        <f t="shared" si="90"/>
        <v>0x3D4</v>
      </c>
      <c r="C988">
        <f t="shared" si="93"/>
        <v>20</v>
      </c>
      <c r="D988" t="str">
        <f t="shared" si="91"/>
        <v>00014</v>
      </c>
    </row>
    <row r="989" spans="1:4" x14ac:dyDescent="0.25">
      <c r="A989">
        <f t="shared" si="92"/>
        <v>981</v>
      </c>
      <c r="B989" t="str">
        <f t="shared" si="90"/>
        <v>0x3D5</v>
      </c>
      <c r="C989">
        <f t="shared" si="93"/>
        <v>21</v>
      </c>
      <c r="D989" t="str">
        <f t="shared" si="91"/>
        <v>00015</v>
      </c>
    </row>
    <row r="990" spans="1:4" x14ac:dyDescent="0.25">
      <c r="A990">
        <f t="shared" si="92"/>
        <v>982</v>
      </c>
      <c r="B990" t="str">
        <f t="shared" si="90"/>
        <v>0x3D6</v>
      </c>
      <c r="C990">
        <f t="shared" si="93"/>
        <v>22</v>
      </c>
      <c r="D990" t="str">
        <f t="shared" si="91"/>
        <v>00016</v>
      </c>
    </row>
    <row r="991" spans="1:4" x14ac:dyDescent="0.25">
      <c r="A991">
        <f t="shared" si="92"/>
        <v>983</v>
      </c>
      <c r="B991" t="str">
        <f t="shared" si="90"/>
        <v>0x3D7</v>
      </c>
      <c r="C991">
        <f t="shared" si="93"/>
        <v>23</v>
      </c>
      <c r="D991" t="str">
        <f t="shared" si="91"/>
        <v>00017</v>
      </c>
    </row>
    <row r="992" spans="1:4" x14ac:dyDescent="0.25">
      <c r="A992">
        <f t="shared" si="92"/>
        <v>984</v>
      </c>
      <c r="B992" t="str">
        <f t="shared" si="90"/>
        <v>0x3D8</v>
      </c>
      <c r="C992">
        <f t="shared" si="93"/>
        <v>24</v>
      </c>
      <c r="D992" t="str">
        <f t="shared" si="91"/>
        <v>00018</v>
      </c>
    </row>
    <row r="993" spans="1:5" x14ac:dyDescent="0.25">
      <c r="A993">
        <f t="shared" si="92"/>
        <v>985</v>
      </c>
      <c r="B993" t="str">
        <f t="shared" si="90"/>
        <v>0x3D9</v>
      </c>
      <c r="C993">
        <f t="shared" si="93"/>
        <v>25</v>
      </c>
      <c r="D993" t="str">
        <f t="shared" si="91"/>
        <v>00019</v>
      </c>
    </row>
    <row r="994" spans="1:5" x14ac:dyDescent="0.25">
      <c r="A994">
        <f t="shared" si="92"/>
        <v>986</v>
      </c>
      <c r="B994" t="str">
        <f t="shared" si="90"/>
        <v>0x3DA</v>
      </c>
      <c r="C994">
        <f t="shared" si="93"/>
        <v>26</v>
      </c>
      <c r="D994" t="str">
        <f t="shared" si="91"/>
        <v>0001A</v>
      </c>
    </row>
    <row r="995" spans="1:5" x14ac:dyDescent="0.25">
      <c r="A995">
        <f t="shared" si="92"/>
        <v>987</v>
      </c>
      <c r="B995" t="str">
        <f t="shared" si="90"/>
        <v>0x3DB</v>
      </c>
      <c r="C995">
        <f t="shared" si="93"/>
        <v>27</v>
      </c>
      <c r="D995" t="str">
        <f t="shared" si="91"/>
        <v>0001B</v>
      </c>
    </row>
    <row r="996" spans="1:5" x14ac:dyDescent="0.25">
      <c r="A996">
        <f t="shared" si="92"/>
        <v>988</v>
      </c>
      <c r="B996" t="str">
        <f t="shared" si="90"/>
        <v>0x3DC</v>
      </c>
      <c r="C996">
        <f t="shared" si="93"/>
        <v>28</v>
      </c>
      <c r="D996" t="str">
        <f t="shared" si="91"/>
        <v>0001C</v>
      </c>
    </row>
    <row r="997" spans="1:5" x14ac:dyDescent="0.25">
      <c r="A997">
        <f t="shared" si="92"/>
        <v>989</v>
      </c>
      <c r="B997" t="str">
        <f t="shared" si="90"/>
        <v>0x3DD</v>
      </c>
      <c r="C997">
        <f t="shared" si="93"/>
        <v>29</v>
      </c>
      <c r="D997" t="str">
        <f t="shared" si="91"/>
        <v>0001D</v>
      </c>
    </row>
    <row r="998" spans="1:5" x14ac:dyDescent="0.25">
      <c r="A998">
        <f t="shared" si="92"/>
        <v>990</v>
      </c>
      <c r="B998" t="str">
        <f t="shared" si="90"/>
        <v>0x3DE</v>
      </c>
      <c r="C998">
        <f t="shared" si="93"/>
        <v>30</v>
      </c>
      <c r="D998" t="str">
        <f t="shared" si="91"/>
        <v>0001E</v>
      </c>
    </row>
    <row r="999" spans="1:5" x14ac:dyDescent="0.25">
      <c r="A999">
        <f t="shared" si="92"/>
        <v>991</v>
      </c>
      <c r="B999" t="str">
        <f t="shared" si="90"/>
        <v>0x3DF</v>
      </c>
      <c r="C999">
        <f t="shared" si="93"/>
        <v>31</v>
      </c>
      <c r="D999" t="str">
        <f t="shared" si="91"/>
        <v>0001F</v>
      </c>
    </row>
    <row r="1000" spans="1:5" x14ac:dyDescent="0.25">
      <c r="A1000">
        <f t="shared" si="92"/>
        <v>992</v>
      </c>
      <c r="B1000" t="str">
        <f t="shared" si="90"/>
        <v>0x3E0</v>
      </c>
      <c r="C1000">
        <v>0</v>
      </c>
      <c r="D1000" t="str">
        <f t="shared" si="91"/>
        <v>00000</v>
      </c>
      <c r="E1000" t="s">
        <v>72</v>
      </c>
    </row>
    <row r="1001" spans="1:5" x14ac:dyDescent="0.25">
      <c r="A1001">
        <f t="shared" si="92"/>
        <v>993</v>
      </c>
      <c r="B1001" t="str">
        <f t="shared" si="90"/>
        <v>0x3E1</v>
      </c>
      <c r="C1001">
        <f>C1000+1</f>
        <v>1</v>
      </c>
      <c r="D1001" t="str">
        <f t="shared" si="91"/>
        <v>00001</v>
      </c>
      <c r="E1001" t="s">
        <v>73</v>
      </c>
    </row>
    <row r="1002" spans="1:5" x14ac:dyDescent="0.25">
      <c r="A1002">
        <f t="shared" si="92"/>
        <v>994</v>
      </c>
      <c r="B1002" t="str">
        <f t="shared" si="90"/>
        <v>0x3E2</v>
      </c>
      <c r="C1002">
        <f t="shared" ref="C1002:C1031" si="94">C1001+1</f>
        <v>2</v>
      </c>
      <c r="D1002" t="str">
        <f t="shared" si="91"/>
        <v>00002</v>
      </c>
      <c r="E1002" t="s">
        <v>74</v>
      </c>
    </row>
    <row r="1003" spans="1:5" x14ac:dyDescent="0.25">
      <c r="A1003">
        <f t="shared" si="92"/>
        <v>995</v>
      </c>
      <c r="B1003" t="str">
        <f t="shared" si="90"/>
        <v>0x3E3</v>
      </c>
      <c r="C1003">
        <f t="shared" si="94"/>
        <v>3</v>
      </c>
      <c r="D1003" t="str">
        <f t="shared" si="91"/>
        <v>00003</v>
      </c>
      <c r="E1003" t="s">
        <v>75</v>
      </c>
    </row>
    <row r="1004" spans="1:5" x14ac:dyDescent="0.25">
      <c r="A1004">
        <f t="shared" si="92"/>
        <v>996</v>
      </c>
      <c r="B1004" t="str">
        <f t="shared" si="90"/>
        <v>0x3E4</v>
      </c>
      <c r="C1004">
        <f t="shared" si="94"/>
        <v>4</v>
      </c>
      <c r="D1004" t="str">
        <f t="shared" si="91"/>
        <v>00004</v>
      </c>
      <c r="E1004" t="s">
        <v>76</v>
      </c>
    </row>
    <row r="1005" spans="1:5" x14ac:dyDescent="0.25">
      <c r="A1005">
        <f t="shared" si="92"/>
        <v>997</v>
      </c>
      <c r="B1005" t="str">
        <f t="shared" si="90"/>
        <v>0x3E5</v>
      </c>
      <c r="C1005">
        <f t="shared" si="94"/>
        <v>5</v>
      </c>
      <c r="D1005" t="str">
        <f t="shared" si="91"/>
        <v>00005</v>
      </c>
      <c r="E1005" t="s">
        <v>77</v>
      </c>
    </row>
    <row r="1006" spans="1:5" x14ac:dyDescent="0.25">
      <c r="A1006">
        <f t="shared" si="92"/>
        <v>998</v>
      </c>
      <c r="B1006" t="str">
        <f t="shared" si="90"/>
        <v>0x3E6</v>
      </c>
      <c r="C1006">
        <f t="shared" si="94"/>
        <v>6</v>
      </c>
      <c r="D1006" t="str">
        <f t="shared" si="91"/>
        <v>00006</v>
      </c>
      <c r="E1006" t="s">
        <v>78</v>
      </c>
    </row>
    <row r="1007" spans="1:5" x14ac:dyDescent="0.25">
      <c r="A1007">
        <f t="shared" si="92"/>
        <v>999</v>
      </c>
      <c r="B1007" t="str">
        <f t="shared" si="90"/>
        <v>0x3E7</v>
      </c>
      <c r="C1007">
        <f t="shared" si="94"/>
        <v>7</v>
      </c>
      <c r="D1007" t="str">
        <f t="shared" si="91"/>
        <v>00007</v>
      </c>
      <c r="E1007" t="s">
        <v>79</v>
      </c>
    </row>
    <row r="1008" spans="1:5" x14ac:dyDescent="0.25">
      <c r="A1008">
        <f t="shared" si="92"/>
        <v>1000</v>
      </c>
      <c r="B1008" t="str">
        <f t="shared" si="90"/>
        <v>0x3E8</v>
      </c>
      <c r="C1008">
        <f t="shared" si="94"/>
        <v>8</v>
      </c>
      <c r="D1008" t="str">
        <f t="shared" si="91"/>
        <v>00008</v>
      </c>
      <c r="E1008" t="s">
        <v>80</v>
      </c>
    </row>
    <row r="1009" spans="1:5" x14ac:dyDescent="0.25">
      <c r="A1009">
        <f t="shared" si="92"/>
        <v>1001</v>
      </c>
      <c r="B1009" t="str">
        <f t="shared" si="90"/>
        <v>0x3E9</v>
      </c>
      <c r="C1009">
        <f t="shared" si="94"/>
        <v>9</v>
      </c>
      <c r="D1009" t="str">
        <f t="shared" si="91"/>
        <v>00009</v>
      </c>
      <c r="E1009" t="s">
        <v>81</v>
      </c>
    </row>
    <row r="1010" spans="1:5" x14ac:dyDescent="0.25">
      <c r="A1010">
        <f t="shared" si="92"/>
        <v>1002</v>
      </c>
      <c r="B1010" t="str">
        <f t="shared" si="90"/>
        <v>0x3EA</v>
      </c>
      <c r="C1010">
        <f t="shared" si="94"/>
        <v>10</v>
      </c>
      <c r="D1010" t="str">
        <f t="shared" si="91"/>
        <v>0000A</v>
      </c>
      <c r="E1010" t="s">
        <v>82</v>
      </c>
    </row>
    <row r="1011" spans="1:5" x14ac:dyDescent="0.25">
      <c r="A1011">
        <f t="shared" si="92"/>
        <v>1003</v>
      </c>
      <c r="B1011" t="str">
        <f t="shared" si="90"/>
        <v>0x3EB</v>
      </c>
      <c r="C1011">
        <f t="shared" si="94"/>
        <v>11</v>
      </c>
      <c r="D1011" t="str">
        <f t="shared" si="91"/>
        <v>0000B</v>
      </c>
      <c r="E1011" t="s">
        <v>83</v>
      </c>
    </row>
    <row r="1012" spans="1:5" x14ac:dyDescent="0.25">
      <c r="A1012">
        <f t="shared" si="92"/>
        <v>1004</v>
      </c>
      <c r="B1012" t="str">
        <f t="shared" si="90"/>
        <v>0x3EC</v>
      </c>
      <c r="C1012">
        <f t="shared" si="94"/>
        <v>12</v>
      </c>
      <c r="D1012" t="str">
        <f t="shared" si="91"/>
        <v>0000C</v>
      </c>
      <c r="E1012" t="s">
        <v>84</v>
      </c>
    </row>
    <row r="1013" spans="1:5" x14ac:dyDescent="0.25">
      <c r="A1013">
        <f t="shared" si="92"/>
        <v>1005</v>
      </c>
      <c r="B1013" t="str">
        <f t="shared" si="90"/>
        <v>0x3ED</v>
      </c>
      <c r="C1013">
        <f t="shared" si="94"/>
        <v>13</v>
      </c>
      <c r="D1013" t="str">
        <f t="shared" si="91"/>
        <v>0000D</v>
      </c>
      <c r="E1013" t="s">
        <v>85</v>
      </c>
    </row>
    <row r="1014" spans="1:5" x14ac:dyDescent="0.25">
      <c r="A1014">
        <f t="shared" si="92"/>
        <v>1006</v>
      </c>
      <c r="B1014" t="str">
        <f t="shared" si="90"/>
        <v>0x3EE</v>
      </c>
      <c r="C1014">
        <f t="shared" si="94"/>
        <v>14</v>
      </c>
      <c r="D1014" t="str">
        <f t="shared" si="91"/>
        <v>0000E</v>
      </c>
      <c r="E1014" t="s">
        <v>86</v>
      </c>
    </row>
    <row r="1015" spans="1:5" x14ac:dyDescent="0.25">
      <c r="A1015">
        <f t="shared" si="92"/>
        <v>1007</v>
      </c>
      <c r="B1015" t="str">
        <f t="shared" si="90"/>
        <v>0x3EF</v>
      </c>
      <c r="C1015">
        <f t="shared" si="94"/>
        <v>15</v>
      </c>
      <c r="D1015" t="str">
        <f t="shared" si="91"/>
        <v>0000F</v>
      </c>
      <c r="E1015" t="s">
        <v>87</v>
      </c>
    </row>
    <row r="1016" spans="1:5" x14ac:dyDescent="0.25">
      <c r="A1016">
        <f t="shared" si="92"/>
        <v>1008</v>
      </c>
      <c r="B1016" t="str">
        <f t="shared" si="90"/>
        <v>0x3F0</v>
      </c>
      <c r="C1016">
        <f t="shared" si="94"/>
        <v>16</v>
      </c>
      <c r="D1016" t="str">
        <f t="shared" si="91"/>
        <v>00010</v>
      </c>
      <c r="E1016" t="s">
        <v>88</v>
      </c>
    </row>
    <row r="1017" spans="1:5" x14ac:dyDescent="0.25">
      <c r="A1017">
        <f t="shared" si="92"/>
        <v>1009</v>
      </c>
      <c r="B1017" t="str">
        <f t="shared" si="90"/>
        <v>0x3F1</v>
      </c>
      <c r="C1017">
        <f t="shared" si="94"/>
        <v>17</v>
      </c>
      <c r="D1017" t="str">
        <f t="shared" si="91"/>
        <v>00011</v>
      </c>
      <c r="E1017" t="s">
        <v>89</v>
      </c>
    </row>
    <row r="1018" spans="1:5" x14ac:dyDescent="0.25">
      <c r="A1018">
        <f t="shared" si="92"/>
        <v>1010</v>
      </c>
      <c r="B1018" t="str">
        <f t="shared" si="90"/>
        <v>0x3F2</v>
      </c>
      <c r="C1018">
        <f t="shared" si="94"/>
        <v>18</v>
      </c>
      <c r="D1018" t="str">
        <f t="shared" si="91"/>
        <v>00012</v>
      </c>
      <c r="E1018" t="s">
        <v>90</v>
      </c>
    </row>
    <row r="1019" spans="1:5" x14ac:dyDescent="0.25">
      <c r="A1019">
        <f t="shared" si="92"/>
        <v>1011</v>
      </c>
      <c r="B1019" t="str">
        <f t="shared" si="90"/>
        <v>0x3F3</v>
      </c>
      <c r="C1019">
        <f t="shared" si="94"/>
        <v>19</v>
      </c>
      <c r="D1019" t="str">
        <f t="shared" si="91"/>
        <v>00013</v>
      </c>
      <c r="E1019" t="s">
        <v>91</v>
      </c>
    </row>
    <row r="1020" spans="1:5" x14ac:dyDescent="0.25">
      <c r="A1020">
        <f t="shared" si="92"/>
        <v>1012</v>
      </c>
      <c r="B1020" t="str">
        <f t="shared" si="90"/>
        <v>0x3F4</v>
      </c>
      <c r="C1020">
        <f t="shared" si="94"/>
        <v>20</v>
      </c>
      <c r="D1020" t="str">
        <f t="shared" si="91"/>
        <v>00014</v>
      </c>
      <c r="E1020" t="s">
        <v>92</v>
      </c>
    </row>
    <row r="1021" spans="1:5" x14ac:dyDescent="0.25">
      <c r="A1021">
        <f t="shared" si="92"/>
        <v>1013</v>
      </c>
      <c r="B1021" t="str">
        <f t="shared" si="90"/>
        <v>0x3F5</v>
      </c>
      <c r="C1021">
        <f t="shared" si="94"/>
        <v>21</v>
      </c>
      <c r="D1021" t="str">
        <f t="shared" si="91"/>
        <v>00015</v>
      </c>
      <c r="E1021" t="s">
        <v>93</v>
      </c>
    </row>
    <row r="1022" spans="1:5" x14ac:dyDescent="0.25">
      <c r="A1022">
        <f t="shared" si="92"/>
        <v>1014</v>
      </c>
      <c r="B1022" t="str">
        <f t="shared" si="90"/>
        <v>0x3F6</v>
      </c>
      <c r="C1022">
        <f t="shared" si="94"/>
        <v>22</v>
      </c>
      <c r="D1022" t="str">
        <f t="shared" si="91"/>
        <v>00016</v>
      </c>
      <c r="E1022" t="s">
        <v>94</v>
      </c>
    </row>
    <row r="1023" spans="1:5" x14ac:dyDescent="0.25">
      <c r="A1023">
        <f t="shared" si="92"/>
        <v>1015</v>
      </c>
      <c r="B1023" t="str">
        <f t="shared" si="90"/>
        <v>0x3F7</v>
      </c>
      <c r="C1023">
        <f t="shared" si="94"/>
        <v>23</v>
      </c>
      <c r="D1023" t="str">
        <f t="shared" si="91"/>
        <v>00017</v>
      </c>
      <c r="E1023" t="s">
        <v>95</v>
      </c>
    </row>
    <row r="1024" spans="1:5" x14ac:dyDescent="0.25">
      <c r="A1024">
        <f t="shared" si="92"/>
        <v>1016</v>
      </c>
      <c r="B1024" t="str">
        <f t="shared" si="90"/>
        <v>0x3F8</v>
      </c>
      <c r="C1024">
        <f t="shared" si="94"/>
        <v>24</v>
      </c>
      <c r="D1024" t="str">
        <f t="shared" si="91"/>
        <v>00018</v>
      </c>
      <c r="E1024" t="s">
        <v>96</v>
      </c>
    </row>
    <row r="1025" spans="1:5" x14ac:dyDescent="0.25">
      <c r="A1025">
        <f>A1024+1</f>
        <v>1017</v>
      </c>
      <c r="B1025" t="str">
        <f t="shared" si="90"/>
        <v>0x3F9</v>
      </c>
      <c r="C1025">
        <f t="shared" si="94"/>
        <v>25</v>
      </c>
      <c r="D1025" t="str">
        <f t="shared" si="91"/>
        <v>00019</v>
      </c>
      <c r="E1025" t="s">
        <v>97</v>
      </c>
    </row>
    <row r="1026" spans="1:5" x14ac:dyDescent="0.25">
      <c r="A1026">
        <f t="shared" ref="A1026:A1031" si="95">A1025+1</f>
        <v>1018</v>
      </c>
      <c r="B1026" t="str">
        <f t="shared" si="90"/>
        <v>0x3FA</v>
      </c>
      <c r="C1026">
        <f t="shared" si="94"/>
        <v>26</v>
      </c>
      <c r="D1026" t="str">
        <f t="shared" si="91"/>
        <v>0001A</v>
      </c>
      <c r="E1026" t="s">
        <v>98</v>
      </c>
    </row>
    <row r="1027" spans="1:5" x14ac:dyDescent="0.25">
      <c r="A1027">
        <f t="shared" si="95"/>
        <v>1019</v>
      </c>
      <c r="B1027" t="str">
        <f t="shared" si="90"/>
        <v>0x3FB</v>
      </c>
      <c r="C1027">
        <f t="shared" si="94"/>
        <v>27</v>
      </c>
      <c r="D1027" t="str">
        <f t="shared" si="91"/>
        <v>0001B</v>
      </c>
      <c r="E1027" t="s">
        <v>99</v>
      </c>
    </row>
    <row r="1028" spans="1:5" x14ac:dyDescent="0.25">
      <c r="A1028">
        <f t="shared" si="95"/>
        <v>1020</v>
      </c>
      <c r="B1028" t="str">
        <f t="shared" si="90"/>
        <v>0x3FC</v>
      </c>
      <c r="C1028">
        <f t="shared" si="94"/>
        <v>28</v>
      </c>
      <c r="D1028" t="str">
        <f t="shared" si="91"/>
        <v>0001C</v>
      </c>
      <c r="E1028" t="s">
        <v>100</v>
      </c>
    </row>
    <row r="1029" spans="1:5" x14ac:dyDescent="0.25">
      <c r="A1029">
        <f t="shared" si="95"/>
        <v>1021</v>
      </c>
      <c r="B1029" t="str">
        <f t="shared" si="90"/>
        <v>0x3FD</v>
      </c>
      <c r="C1029">
        <f t="shared" si="94"/>
        <v>29</v>
      </c>
      <c r="D1029" t="str">
        <f t="shared" si="91"/>
        <v>0001D</v>
      </c>
      <c r="E1029" t="s">
        <v>101</v>
      </c>
    </row>
    <row r="1030" spans="1:5" x14ac:dyDescent="0.25">
      <c r="A1030">
        <f t="shared" si="95"/>
        <v>1022</v>
      </c>
      <c r="B1030" t="str">
        <f t="shared" si="90"/>
        <v>0x3FE</v>
      </c>
      <c r="C1030">
        <f t="shared" si="94"/>
        <v>30</v>
      </c>
      <c r="D1030" t="str">
        <f t="shared" si="91"/>
        <v>0001E</v>
      </c>
      <c r="E1030" t="s">
        <v>102</v>
      </c>
    </row>
    <row r="1031" spans="1:5" x14ac:dyDescent="0.25">
      <c r="A1031">
        <f t="shared" si="95"/>
        <v>1023</v>
      </c>
      <c r="B1031" t="str">
        <f t="shared" si="90"/>
        <v>0x3FF</v>
      </c>
      <c r="C1031">
        <f t="shared" si="94"/>
        <v>31</v>
      </c>
      <c r="D1031" t="str">
        <f t="shared" si="91"/>
        <v>0001F</v>
      </c>
      <c r="E1031" t="s">
        <v>103</v>
      </c>
    </row>
  </sheetData>
  <mergeCells count="1">
    <mergeCell ref="C6: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969"/>
  <sheetViews>
    <sheetView tabSelected="1" topLeftCell="A160" workbookViewId="0">
      <selection sqref="A1:XFD983552"/>
    </sheetView>
  </sheetViews>
  <sheetFormatPr defaultRowHeight="15" x14ac:dyDescent="0.25"/>
  <cols>
    <col min="1" max="2" width="9.140625" style="74"/>
    <col min="3" max="3" width="19.5703125" style="74" customWidth="1"/>
    <col min="4" max="8" width="3.28515625" style="108" customWidth="1"/>
    <col min="9" max="9" width="3.28515625" style="109" customWidth="1"/>
    <col min="10" max="14" width="3.28515625" style="110" customWidth="1"/>
    <col min="15" max="19" width="3.28515625" style="111" customWidth="1"/>
    <col min="20" max="20" width="63.42578125" style="114" bestFit="1" customWidth="1"/>
    <col min="21" max="21" width="12.140625" style="114" bestFit="1" customWidth="1"/>
    <col min="22" max="23" width="9.140625" style="114"/>
    <col min="24" max="24" width="14.85546875" style="114" bestFit="1" customWidth="1"/>
    <col min="25" max="25" width="9.140625" style="114"/>
    <col min="26" max="26" width="17" style="114" bestFit="1" customWidth="1"/>
    <col min="28" max="28" width="28.42578125" customWidth="1"/>
  </cols>
  <sheetData>
    <row r="1" spans="1:31" s="102" customFormat="1" x14ac:dyDescent="0.25">
      <c r="A1" s="103" t="s">
        <v>363</v>
      </c>
      <c r="B1" s="103" t="s">
        <v>33</v>
      </c>
      <c r="C1" s="103" t="s">
        <v>364</v>
      </c>
      <c r="D1" s="104">
        <v>1</v>
      </c>
      <c r="E1" s="104">
        <v>2</v>
      </c>
      <c r="F1" s="104">
        <v>3</v>
      </c>
      <c r="G1" s="104">
        <v>4</v>
      </c>
      <c r="H1" s="104">
        <v>5</v>
      </c>
      <c r="I1" s="105">
        <v>6</v>
      </c>
      <c r="J1" s="106">
        <v>7</v>
      </c>
      <c r="K1" s="106">
        <v>8</v>
      </c>
      <c r="L1" s="106">
        <v>9</v>
      </c>
      <c r="M1" s="106">
        <v>10</v>
      </c>
      <c r="N1" s="106">
        <v>11</v>
      </c>
      <c r="O1" s="107">
        <v>12</v>
      </c>
      <c r="P1" s="107">
        <v>13</v>
      </c>
      <c r="Q1" s="107">
        <v>14</v>
      </c>
      <c r="R1" s="107">
        <v>15</v>
      </c>
      <c r="S1" s="107">
        <v>16</v>
      </c>
      <c r="T1" s="112" t="s">
        <v>365</v>
      </c>
      <c r="U1" s="112"/>
      <c r="V1" s="112" t="s">
        <v>384</v>
      </c>
      <c r="W1" s="112" t="s">
        <v>366</v>
      </c>
      <c r="X1" s="112" t="s">
        <v>367</v>
      </c>
      <c r="Y1" s="112" t="s">
        <v>368</v>
      </c>
      <c r="Z1" s="112" t="s">
        <v>370</v>
      </c>
      <c r="AA1" s="102" t="s">
        <v>369</v>
      </c>
      <c r="AB1" s="102" t="s">
        <v>371</v>
      </c>
      <c r="AC1" s="102" t="s">
        <v>383</v>
      </c>
      <c r="AE1" s="102" t="s">
        <v>1577</v>
      </c>
    </row>
    <row r="2" spans="1:31" x14ac:dyDescent="0.25">
      <c r="A2" s="74">
        <v>0</v>
      </c>
      <c r="B2" s="74" t="s">
        <v>239</v>
      </c>
      <c r="C2" s="74" t="s">
        <v>387</v>
      </c>
      <c r="D2" s="108">
        <v>0</v>
      </c>
      <c r="E2" s="108">
        <v>0</v>
      </c>
      <c r="F2" s="108">
        <v>0</v>
      </c>
      <c r="G2" s="108">
        <v>0</v>
      </c>
      <c r="H2" s="108">
        <v>0</v>
      </c>
      <c r="I2" s="109">
        <v>0</v>
      </c>
      <c r="J2" s="110">
        <v>0</v>
      </c>
      <c r="K2" s="110">
        <v>0</v>
      </c>
      <c r="L2" s="110">
        <v>0</v>
      </c>
      <c r="M2" s="110">
        <v>0</v>
      </c>
      <c r="N2" s="110">
        <v>0</v>
      </c>
      <c r="O2" s="111">
        <v>0</v>
      </c>
      <c r="P2" s="111" t="s">
        <v>388</v>
      </c>
      <c r="Q2" s="111" t="s">
        <v>388</v>
      </c>
      <c r="R2" s="111" t="s">
        <v>388</v>
      </c>
      <c r="S2" s="111" t="s">
        <v>388</v>
      </c>
      <c r="T2" s="113" t="s">
        <v>389</v>
      </c>
      <c r="U2" s="111" t="s">
        <v>390</v>
      </c>
      <c r="V2" s="114" t="s">
        <v>390</v>
      </c>
      <c r="W2" s="83" t="s">
        <v>391</v>
      </c>
      <c r="X2" s="114" t="s">
        <v>390</v>
      </c>
      <c r="Y2" s="114" t="s">
        <v>390</v>
      </c>
      <c r="Z2" s="114" t="s">
        <v>392</v>
      </c>
      <c r="AA2" t="s">
        <v>393</v>
      </c>
      <c r="AB2" t="s">
        <v>374</v>
      </c>
      <c r="AC2" t="s">
        <v>394</v>
      </c>
      <c r="AE2" t="s">
        <v>342</v>
      </c>
    </row>
    <row r="3" spans="1:31" x14ac:dyDescent="0.25">
      <c r="A3" s="74">
        <v>1</v>
      </c>
      <c r="B3" s="74" t="s">
        <v>395</v>
      </c>
      <c r="C3" s="74" t="s">
        <v>396</v>
      </c>
      <c r="D3" s="108" t="s">
        <v>388</v>
      </c>
      <c r="E3" s="108" t="s">
        <v>388</v>
      </c>
      <c r="F3" s="108" t="s">
        <v>388</v>
      </c>
      <c r="G3" s="108" t="s">
        <v>388</v>
      </c>
      <c r="H3" s="108" t="s">
        <v>388</v>
      </c>
      <c r="I3" s="109" t="s">
        <v>388</v>
      </c>
      <c r="J3" s="110" t="s">
        <v>388</v>
      </c>
      <c r="K3" s="110" t="s">
        <v>388</v>
      </c>
      <c r="L3" s="110" t="s">
        <v>388</v>
      </c>
      <c r="M3" s="110" t="s">
        <v>388</v>
      </c>
      <c r="N3" s="110" t="s">
        <v>388</v>
      </c>
      <c r="O3" s="111" t="s">
        <v>388</v>
      </c>
      <c r="P3" s="111" t="s">
        <v>388</v>
      </c>
      <c r="Q3" s="111" t="s">
        <v>388</v>
      </c>
      <c r="R3" s="111" t="s">
        <v>388</v>
      </c>
      <c r="S3" s="111" t="s">
        <v>397</v>
      </c>
      <c r="T3" s="113" t="s">
        <v>398</v>
      </c>
      <c r="U3" s="111" t="s">
        <v>390</v>
      </c>
      <c r="V3" s="114" t="s">
        <v>390</v>
      </c>
      <c r="W3" s="83" t="s">
        <v>399</v>
      </c>
      <c r="X3" s="114" t="s">
        <v>390</v>
      </c>
      <c r="Y3" s="114" t="s">
        <v>400</v>
      </c>
      <c r="Z3" s="114" t="s">
        <v>392</v>
      </c>
      <c r="AA3" t="s">
        <v>401</v>
      </c>
      <c r="AB3" t="s">
        <v>374</v>
      </c>
      <c r="AC3" t="s">
        <v>402</v>
      </c>
      <c r="AE3" t="s">
        <v>342</v>
      </c>
    </row>
    <row r="4" spans="1:31" x14ac:dyDescent="0.25">
      <c r="A4" s="74">
        <v>2</v>
      </c>
      <c r="B4" s="74" t="s">
        <v>403</v>
      </c>
      <c r="C4" s="74" t="s">
        <v>404</v>
      </c>
      <c r="D4" s="108" t="s">
        <v>388</v>
      </c>
      <c r="E4" s="108" t="s">
        <v>388</v>
      </c>
      <c r="F4" s="108" t="s">
        <v>388</v>
      </c>
      <c r="G4" s="108" t="s">
        <v>388</v>
      </c>
      <c r="H4" s="108" t="s">
        <v>388</v>
      </c>
      <c r="I4" s="109" t="s">
        <v>388</v>
      </c>
      <c r="J4" s="110" t="s">
        <v>388</v>
      </c>
      <c r="K4" s="110" t="s">
        <v>388</v>
      </c>
      <c r="L4" s="110" t="s">
        <v>388</v>
      </c>
      <c r="M4" s="110" t="s">
        <v>388</v>
      </c>
      <c r="N4" s="110" t="s">
        <v>388</v>
      </c>
      <c r="O4" s="111" t="s">
        <v>388</v>
      </c>
      <c r="P4" s="111" t="s">
        <v>388</v>
      </c>
      <c r="Q4" s="111" t="s">
        <v>388</v>
      </c>
      <c r="R4" s="111" t="s">
        <v>397</v>
      </c>
      <c r="S4" s="111" t="s">
        <v>388</v>
      </c>
      <c r="T4" s="113" t="s">
        <v>398</v>
      </c>
      <c r="U4" s="111" t="s">
        <v>390</v>
      </c>
      <c r="V4" s="114" t="s">
        <v>390</v>
      </c>
      <c r="W4" s="83" t="s">
        <v>399</v>
      </c>
      <c r="X4" s="114" t="s">
        <v>390</v>
      </c>
      <c r="Y4" s="114" t="s">
        <v>405</v>
      </c>
      <c r="Z4" s="114" t="s">
        <v>392</v>
      </c>
      <c r="AA4" t="s">
        <v>401</v>
      </c>
      <c r="AB4" t="s">
        <v>374</v>
      </c>
      <c r="AC4" t="s">
        <v>406</v>
      </c>
      <c r="AE4" t="s">
        <v>342</v>
      </c>
    </row>
    <row r="5" spans="1:31" x14ac:dyDescent="0.25">
      <c r="A5" s="74">
        <v>3</v>
      </c>
      <c r="B5" s="74" t="s">
        <v>407</v>
      </c>
      <c r="C5" s="74" t="s">
        <v>408</v>
      </c>
      <c r="D5" s="108" t="s">
        <v>388</v>
      </c>
      <c r="E5" s="108" t="s">
        <v>388</v>
      </c>
      <c r="F5" s="108" t="s">
        <v>388</v>
      </c>
      <c r="G5" s="108" t="s">
        <v>388</v>
      </c>
      <c r="H5" s="108" t="s">
        <v>388</v>
      </c>
      <c r="I5" s="109" t="s">
        <v>388</v>
      </c>
      <c r="J5" s="110" t="s">
        <v>388</v>
      </c>
      <c r="K5" s="110" t="s">
        <v>388</v>
      </c>
      <c r="L5" s="110" t="s">
        <v>388</v>
      </c>
      <c r="M5" s="110" t="s">
        <v>388</v>
      </c>
      <c r="N5" s="110" t="s">
        <v>388</v>
      </c>
      <c r="O5" s="111" t="s">
        <v>388</v>
      </c>
      <c r="P5" s="111" t="s">
        <v>388</v>
      </c>
      <c r="Q5" s="111" t="s">
        <v>388</v>
      </c>
      <c r="R5" s="111" t="s">
        <v>397</v>
      </c>
      <c r="S5" s="111" t="s">
        <v>397</v>
      </c>
      <c r="T5" s="113" t="s">
        <v>398</v>
      </c>
      <c r="U5" s="111" t="s">
        <v>390</v>
      </c>
      <c r="V5" s="114" t="s">
        <v>390</v>
      </c>
      <c r="W5" s="83" t="s">
        <v>399</v>
      </c>
      <c r="X5" s="114" t="s">
        <v>390</v>
      </c>
      <c r="Y5" s="114" t="s">
        <v>409</v>
      </c>
      <c r="Z5" s="114" t="s">
        <v>392</v>
      </c>
      <c r="AA5" t="s">
        <v>401</v>
      </c>
      <c r="AB5" t="s">
        <v>374</v>
      </c>
      <c r="AC5" t="s">
        <v>410</v>
      </c>
      <c r="AE5" t="s">
        <v>342</v>
      </c>
    </row>
    <row r="6" spans="1:31" x14ac:dyDescent="0.25">
      <c r="A6" s="74">
        <v>4</v>
      </c>
      <c r="B6" s="74" t="s">
        <v>411</v>
      </c>
      <c r="C6" s="74" t="s">
        <v>412</v>
      </c>
      <c r="D6" s="108" t="s">
        <v>388</v>
      </c>
      <c r="E6" s="108" t="s">
        <v>388</v>
      </c>
      <c r="F6" s="108" t="s">
        <v>388</v>
      </c>
      <c r="G6" s="108" t="s">
        <v>388</v>
      </c>
      <c r="H6" s="108" t="s">
        <v>388</v>
      </c>
      <c r="I6" s="109" t="s">
        <v>388</v>
      </c>
      <c r="J6" s="110" t="s">
        <v>388</v>
      </c>
      <c r="K6" s="110" t="s">
        <v>388</v>
      </c>
      <c r="L6" s="110" t="s">
        <v>388</v>
      </c>
      <c r="M6" s="110" t="s">
        <v>388</v>
      </c>
      <c r="N6" s="110" t="s">
        <v>388</v>
      </c>
      <c r="O6" s="111" t="s">
        <v>388</v>
      </c>
      <c r="P6" s="111" t="s">
        <v>388</v>
      </c>
      <c r="Q6" s="111" t="s">
        <v>397</v>
      </c>
      <c r="R6" s="111" t="s">
        <v>388</v>
      </c>
      <c r="S6" s="111" t="s">
        <v>388</v>
      </c>
      <c r="T6" s="113" t="s">
        <v>398</v>
      </c>
      <c r="U6" s="111" t="s">
        <v>390</v>
      </c>
      <c r="V6" s="114" t="s">
        <v>390</v>
      </c>
      <c r="W6" s="83" t="s">
        <v>399</v>
      </c>
      <c r="X6" s="114" t="s">
        <v>390</v>
      </c>
      <c r="Y6" s="114" t="s">
        <v>413</v>
      </c>
      <c r="Z6" s="114" t="s">
        <v>392</v>
      </c>
      <c r="AA6" t="s">
        <v>401</v>
      </c>
      <c r="AB6" t="s">
        <v>374</v>
      </c>
      <c r="AC6" t="s">
        <v>414</v>
      </c>
      <c r="AE6" t="s">
        <v>342</v>
      </c>
    </row>
    <row r="7" spans="1:31" x14ac:dyDescent="0.25">
      <c r="A7" s="74">
        <v>5</v>
      </c>
      <c r="B7" s="74" t="s">
        <v>415</v>
      </c>
      <c r="C7" s="74" t="s">
        <v>416</v>
      </c>
      <c r="D7" s="108" t="s">
        <v>388</v>
      </c>
      <c r="E7" s="108" t="s">
        <v>388</v>
      </c>
      <c r="F7" s="108" t="s">
        <v>388</v>
      </c>
      <c r="G7" s="108" t="s">
        <v>388</v>
      </c>
      <c r="H7" s="108" t="s">
        <v>388</v>
      </c>
      <c r="I7" s="109" t="s">
        <v>388</v>
      </c>
      <c r="J7" s="110" t="s">
        <v>388</v>
      </c>
      <c r="K7" s="110" t="s">
        <v>388</v>
      </c>
      <c r="L7" s="110" t="s">
        <v>388</v>
      </c>
      <c r="M7" s="110" t="s">
        <v>388</v>
      </c>
      <c r="N7" s="110" t="s">
        <v>388</v>
      </c>
      <c r="O7" s="111" t="s">
        <v>388</v>
      </c>
      <c r="P7" s="111" t="s">
        <v>388</v>
      </c>
      <c r="Q7" s="111" t="s">
        <v>397</v>
      </c>
      <c r="R7" s="111" t="s">
        <v>388</v>
      </c>
      <c r="S7" s="111" t="s">
        <v>397</v>
      </c>
      <c r="T7" s="113" t="s">
        <v>398</v>
      </c>
      <c r="U7" s="111" t="s">
        <v>390</v>
      </c>
      <c r="V7" s="114" t="s">
        <v>390</v>
      </c>
      <c r="W7" s="83" t="s">
        <v>399</v>
      </c>
      <c r="X7" s="114" t="s">
        <v>390</v>
      </c>
      <c r="Y7" s="114" t="s">
        <v>417</v>
      </c>
      <c r="Z7" s="114" t="s">
        <v>392</v>
      </c>
      <c r="AA7" t="s">
        <v>401</v>
      </c>
      <c r="AB7" t="s">
        <v>374</v>
      </c>
      <c r="AC7" t="s">
        <v>418</v>
      </c>
      <c r="AE7" t="s">
        <v>342</v>
      </c>
    </row>
    <row r="8" spans="1:31" x14ac:dyDescent="0.25">
      <c r="A8" s="74">
        <v>6</v>
      </c>
      <c r="B8" s="74" t="s">
        <v>419</v>
      </c>
      <c r="C8" s="74" t="s">
        <v>420</v>
      </c>
      <c r="D8" s="108" t="s">
        <v>388</v>
      </c>
      <c r="E8" s="108" t="s">
        <v>388</v>
      </c>
      <c r="F8" s="108" t="s">
        <v>388</v>
      </c>
      <c r="G8" s="108" t="s">
        <v>388</v>
      </c>
      <c r="H8" s="108" t="s">
        <v>388</v>
      </c>
      <c r="I8" s="109" t="s">
        <v>388</v>
      </c>
      <c r="J8" s="110" t="s">
        <v>388</v>
      </c>
      <c r="K8" s="110" t="s">
        <v>388</v>
      </c>
      <c r="L8" s="110" t="s">
        <v>388</v>
      </c>
      <c r="M8" s="110" t="s">
        <v>388</v>
      </c>
      <c r="N8" s="110" t="s">
        <v>388</v>
      </c>
      <c r="O8" s="111" t="s">
        <v>388</v>
      </c>
      <c r="P8" s="111" t="s">
        <v>388</v>
      </c>
      <c r="Q8" s="111" t="s">
        <v>397</v>
      </c>
      <c r="R8" s="111" t="s">
        <v>397</v>
      </c>
      <c r="S8" s="111" t="s">
        <v>388</v>
      </c>
      <c r="T8" s="113" t="s">
        <v>398</v>
      </c>
      <c r="U8" s="111" t="s">
        <v>390</v>
      </c>
      <c r="V8" s="114" t="s">
        <v>390</v>
      </c>
      <c r="W8" s="83" t="s">
        <v>399</v>
      </c>
      <c r="X8" s="114" t="s">
        <v>390</v>
      </c>
      <c r="Y8" s="114" t="s">
        <v>421</v>
      </c>
      <c r="Z8" s="114" t="s">
        <v>392</v>
      </c>
      <c r="AA8" t="s">
        <v>401</v>
      </c>
      <c r="AB8" t="s">
        <v>374</v>
      </c>
      <c r="AC8" t="s">
        <v>422</v>
      </c>
      <c r="AE8" t="s">
        <v>342</v>
      </c>
    </row>
    <row r="9" spans="1:31" x14ac:dyDescent="0.25">
      <c r="A9" s="74">
        <v>7</v>
      </c>
      <c r="B9" s="74" t="s">
        <v>423</v>
      </c>
      <c r="C9" s="74" t="s">
        <v>424</v>
      </c>
      <c r="D9" s="108" t="s">
        <v>388</v>
      </c>
      <c r="E9" s="108" t="s">
        <v>388</v>
      </c>
      <c r="F9" s="108" t="s">
        <v>388</v>
      </c>
      <c r="G9" s="108" t="s">
        <v>388</v>
      </c>
      <c r="H9" s="108" t="s">
        <v>388</v>
      </c>
      <c r="I9" s="109" t="s">
        <v>388</v>
      </c>
      <c r="J9" s="110" t="s">
        <v>388</v>
      </c>
      <c r="K9" s="110" t="s">
        <v>388</v>
      </c>
      <c r="L9" s="110" t="s">
        <v>388</v>
      </c>
      <c r="M9" s="110" t="s">
        <v>388</v>
      </c>
      <c r="N9" s="110" t="s">
        <v>388</v>
      </c>
      <c r="O9" s="111" t="s">
        <v>388</v>
      </c>
      <c r="P9" s="111" t="s">
        <v>388</v>
      </c>
      <c r="Q9" s="111" t="s">
        <v>397</v>
      </c>
      <c r="R9" s="111" t="s">
        <v>397</v>
      </c>
      <c r="S9" s="111" t="s">
        <v>397</v>
      </c>
      <c r="T9" s="113" t="s">
        <v>398</v>
      </c>
      <c r="U9" s="111" t="s">
        <v>390</v>
      </c>
      <c r="V9" s="114" t="s">
        <v>390</v>
      </c>
      <c r="W9" s="83" t="s">
        <v>399</v>
      </c>
      <c r="X9" s="114" t="s">
        <v>390</v>
      </c>
      <c r="Y9" s="114" t="s">
        <v>425</v>
      </c>
      <c r="Z9" s="114" t="s">
        <v>392</v>
      </c>
      <c r="AA9" t="s">
        <v>401</v>
      </c>
      <c r="AB9" t="s">
        <v>374</v>
      </c>
      <c r="AC9" t="s">
        <v>426</v>
      </c>
      <c r="AE9" t="s">
        <v>342</v>
      </c>
    </row>
    <row r="10" spans="1:31" x14ac:dyDescent="0.25">
      <c r="A10" s="74">
        <v>8</v>
      </c>
      <c r="B10" s="74" t="s">
        <v>427</v>
      </c>
      <c r="C10" s="74" t="s">
        <v>428</v>
      </c>
      <c r="D10" s="108" t="s">
        <v>388</v>
      </c>
      <c r="E10" s="108" t="s">
        <v>388</v>
      </c>
      <c r="F10" s="108" t="s">
        <v>388</v>
      </c>
      <c r="G10" s="108" t="s">
        <v>388</v>
      </c>
      <c r="H10" s="108" t="s">
        <v>388</v>
      </c>
      <c r="I10" s="109" t="s">
        <v>388</v>
      </c>
      <c r="J10" s="110" t="s">
        <v>388</v>
      </c>
      <c r="K10" s="110" t="s">
        <v>388</v>
      </c>
      <c r="L10" s="110" t="s">
        <v>388</v>
      </c>
      <c r="M10" s="110" t="s">
        <v>388</v>
      </c>
      <c r="N10" s="110" t="s">
        <v>388</v>
      </c>
      <c r="O10" s="111" t="s">
        <v>388</v>
      </c>
      <c r="P10" s="111" t="s">
        <v>397</v>
      </c>
      <c r="Q10" s="111" t="s">
        <v>388</v>
      </c>
      <c r="R10" s="111" t="s">
        <v>388</v>
      </c>
      <c r="S10" s="111" t="s">
        <v>388</v>
      </c>
      <c r="T10" s="113" t="s">
        <v>398</v>
      </c>
      <c r="U10" s="111" t="s">
        <v>390</v>
      </c>
      <c r="V10" s="114" t="s">
        <v>390</v>
      </c>
      <c r="W10" s="83" t="s">
        <v>399</v>
      </c>
      <c r="X10" s="114" t="s">
        <v>390</v>
      </c>
      <c r="Y10" s="114" t="s">
        <v>429</v>
      </c>
      <c r="Z10" s="114" t="s">
        <v>392</v>
      </c>
      <c r="AA10" t="s">
        <v>401</v>
      </c>
      <c r="AB10" t="s">
        <v>374</v>
      </c>
      <c r="AC10" t="s">
        <v>430</v>
      </c>
      <c r="AE10" t="s">
        <v>342</v>
      </c>
    </row>
    <row r="11" spans="1:31" x14ac:dyDescent="0.25">
      <c r="A11" s="74">
        <v>9</v>
      </c>
      <c r="B11" s="74" t="s">
        <v>431</v>
      </c>
      <c r="C11" s="74" t="s">
        <v>432</v>
      </c>
      <c r="D11" s="108" t="s">
        <v>388</v>
      </c>
      <c r="E11" s="108" t="s">
        <v>388</v>
      </c>
      <c r="F11" s="108" t="s">
        <v>388</v>
      </c>
      <c r="G11" s="108" t="s">
        <v>388</v>
      </c>
      <c r="H11" s="108" t="s">
        <v>388</v>
      </c>
      <c r="I11" s="109" t="s">
        <v>388</v>
      </c>
      <c r="J11" s="110" t="s">
        <v>388</v>
      </c>
      <c r="K11" s="110" t="s">
        <v>388</v>
      </c>
      <c r="L11" s="110" t="s">
        <v>388</v>
      </c>
      <c r="M11" s="110" t="s">
        <v>388</v>
      </c>
      <c r="N11" s="110" t="s">
        <v>388</v>
      </c>
      <c r="O11" s="111" t="s">
        <v>388</v>
      </c>
      <c r="P11" s="111" t="s">
        <v>397</v>
      </c>
      <c r="Q11" s="111" t="s">
        <v>388</v>
      </c>
      <c r="R11" s="111" t="s">
        <v>388</v>
      </c>
      <c r="S11" s="111" t="s">
        <v>397</v>
      </c>
      <c r="T11" s="113" t="s">
        <v>398</v>
      </c>
      <c r="U11" s="111" t="s">
        <v>390</v>
      </c>
      <c r="V11" s="114" t="s">
        <v>390</v>
      </c>
      <c r="W11" s="83" t="s">
        <v>399</v>
      </c>
      <c r="X11" s="114" t="s">
        <v>390</v>
      </c>
      <c r="Y11" s="114" t="s">
        <v>433</v>
      </c>
      <c r="Z11" s="114" t="s">
        <v>392</v>
      </c>
      <c r="AA11" t="s">
        <v>401</v>
      </c>
      <c r="AB11" t="s">
        <v>374</v>
      </c>
      <c r="AC11" t="s">
        <v>434</v>
      </c>
      <c r="AE11" t="s">
        <v>342</v>
      </c>
    </row>
    <row r="12" spans="1:31" x14ac:dyDescent="0.25">
      <c r="A12" s="74">
        <v>10</v>
      </c>
      <c r="B12" s="74" t="s">
        <v>435</v>
      </c>
      <c r="C12" s="74" t="s">
        <v>436</v>
      </c>
      <c r="D12" s="108" t="s">
        <v>388</v>
      </c>
      <c r="E12" s="108" t="s">
        <v>388</v>
      </c>
      <c r="F12" s="108" t="s">
        <v>388</v>
      </c>
      <c r="G12" s="108" t="s">
        <v>388</v>
      </c>
      <c r="H12" s="108" t="s">
        <v>388</v>
      </c>
      <c r="I12" s="109" t="s">
        <v>388</v>
      </c>
      <c r="J12" s="110" t="s">
        <v>388</v>
      </c>
      <c r="K12" s="110" t="s">
        <v>388</v>
      </c>
      <c r="L12" s="110" t="s">
        <v>388</v>
      </c>
      <c r="M12" s="110" t="s">
        <v>388</v>
      </c>
      <c r="N12" s="110" t="s">
        <v>388</v>
      </c>
      <c r="O12" s="111" t="s">
        <v>388</v>
      </c>
      <c r="P12" s="111" t="s">
        <v>397</v>
      </c>
      <c r="Q12" s="111" t="s">
        <v>388</v>
      </c>
      <c r="R12" s="111" t="s">
        <v>397</v>
      </c>
      <c r="S12" s="111" t="s">
        <v>388</v>
      </c>
      <c r="T12" s="113" t="s">
        <v>398</v>
      </c>
      <c r="U12" s="111" t="s">
        <v>390</v>
      </c>
      <c r="V12" s="114" t="s">
        <v>390</v>
      </c>
      <c r="W12" s="83" t="s">
        <v>399</v>
      </c>
      <c r="X12" s="114" t="s">
        <v>390</v>
      </c>
      <c r="Y12" s="114" t="s">
        <v>437</v>
      </c>
      <c r="Z12" s="114" t="s">
        <v>392</v>
      </c>
      <c r="AA12" t="s">
        <v>401</v>
      </c>
      <c r="AB12" t="s">
        <v>374</v>
      </c>
      <c r="AC12" t="s">
        <v>438</v>
      </c>
      <c r="AE12" t="s">
        <v>342</v>
      </c>
    </row>
    <row r="13" spans="1:31" x14ac:dyDescent="0.25">
      <c r="A13" s="74">
        <v>11</v>
      </c>
      <c r="B13" s="74" t="s">
        <v>439</v>
      </c>
      <c r="C13" s="74" t="s">
        <v>440</v>
      </c>
      <c r="D13" s="108" t="s">
        <v>388</v>
      </c>
      <c r="E13" s="108" t="s">
        <v>388</v>
      </c>
      <c r="F13" s="108" t="s">
        <v>388</v>
      </c>
      <c r="G13" s="108" t="s">
        <v>388</v>
      </c>
      <c r="H13" s="108" t="s">
        <v>388</v>
      </c>
      <c r="I13" s="109" t="s">
        <v>388</v>
      </c>
      <c r="J13" s="110" t="s">
        <v>388</v>
      </c>
      <c r="K13" s="110" t="s">
        <v>388</v>
      </c>
      <c r="L13" s="110" t="s">
        <v>388</v>
      </c>
      <c r="M13" s="110" t="s">
        <v>388</v>
      </c>
      <c r="N13" s="110" t="s">
        <v>388</v>
      </c>
      <c r="O13" s="111" t="s">
        <v>388</v>
      </c>
      <c r="P13" s="111" t="s">
        <v>397</v>
      </c>
      <c r="Q13" s="111" t="s">
        <v>388</v>
      </c>
      <c r="R13" s="111" t="s">
        <v>397</v>
      </c>
      <c r="S13" s="111" t="s">
        <v>397</v>
      </c>
      <c r="T13" s="113" t="s">
        <v>398</v>
      </c>
      <c r="U13" s="111" t="s">
        <v>390</v>
      </c>
      <c r="V13" s="114" t="s">
        <v>390</v>
      </c>
      <c r="W13" s="83" t="s">
        <v>399</v>
      </c>
      <c r="X13" s="114" t="s">
        <v>390</v>
      </c>
      <c r="Y13" s="114" t="s">
        <v>441</v>
      </c>
      <c r="Z13" s="114" t="s">
        <v>392</v>
      </c>
      <c r="AA13" t="s">
        <v>401</v>
      </c>
      <c r="AB13" t="s">
        <v>374</v>
      </c>
      <c r="AC13" t="s">
        <v>442</v>
      </c>
      <c r="AE13" t="s">
        <v>342</v>
      </c>
    </row>
    <row r="14" spans="1:31" x14ac:dyDescent="0.25">
      <c r="A14" s="74">
        <v>12</v>
      </c>
      <c r="B14" s="74" t="s">
        <v>443</v>
      </c>
      <c r="C14" s="74" t="s">
        <v>444</v>
      </c>
      <c r="D14" s="108" t="s">
        <v>388</v>
      </c>
      <c r="E14" s="108" t="s">
        <v>388</v>
      </c>
      <c r="F14" s="108" t="s">
        <v>388</v>
      </c>
      <c r="G14" s="108" t="s">
        <v>388</v>
      </c>
      <c r="H14" s="108" t="s">
        <v>388</v>
      </c>
      <c r="I14" s="109" t="s">
        <v>388</v>
      </c>
      <c r="J14" s="110" t="s">
        <v>388</v>
      </c>
      <c r="K14" s="110" t="s">
        <v>388</v>
      </c>
      <c r="L14" s="110" t="s">
        <v>388</v>
      </c>
      <c r="M14" s="110" t="s">
        <v>388</v>
      </c>
      <c r="N14" s="110" t="s">
        <v>388</v>
      </c>
      <c r="O14" s="111" t="s">
        <v>388</v>
      </c>
      <c r="P14" s="111" t="s">
        <v>397</v>
      </c>
      <c r="Q14" s="111" t="s">
        <v>397</v>
      </c>
      <c r="R14" s="111" t="s">
        <v>388</v>
      </c>
      <c r="S14" s="111" t="s">
        <v>388</v>
      </c>
      <c r="T14" s="113" t="s">
        <v>398</v>
      </c>
      <c r="U14" s="111" t="s">
        <v>390</v>
      </c>
      <c r="V14" s="114" t="s">
        <v>390</v>
      </c>
      <c r="W14" s="83" t="s">
        <v>399</v>
      </c>
      <c r="X14" s="114" t="s">
        <v>390</v>
      </c>
      <c r="Y14" s="114" t="s">
        <v>445</v>
      </c>
      <c r="Z14" s="114" t="s">
        <v>392</v>
      </c>
      <c r="AA14" t="s">
        <v>401</v>
      </c>
      <c r="AB14" t="s">
        <v>374</v>
      </c>
      <c r="AC14" t="s">
        <v>446</v>
      </c>
      <c r="AE14" t="s">
        <v>342</v>
      </c>
    </row>
    <row r="15" spans="1:31" x14ac:dyDescent="0.25">
      <c r="A15" s="74">
        <v>13</v>
      </c>
      <c r="B15" s="74" t="s">
        <v>447</v>
      </c>
      <c r="C15" s="74" t="s">
        <v>448</v>
      </c>
      <c r="D15" s="108" t="s">
        <v>388</v>
      </c>
      <c r="E15" s="108" t="s">
        <v>388</v>
      </c>
      <c r="F15" s="108" t="s">
        <v>388</v>
      </c>
      <c r="G15" s="108" t="s">
        <v>388</v>
      </c>
      <c r="H15" s="108" t="s">
        <v>388</v>
      </c>
      <c r="I15" s="109" t="s">
        <v>388</v>
      </c>
      <c r="J15" s="110" t="s">
        <v>388</v>
      </c>
      <c r="K15" s="110" t="s">
        <v>388</v>
      </c>
      <c r="L15" s="110" t="s">
        <v>388</v>
      </c>
      <c r="M15" s="110" t="s">
        <v>388</v>
      </c>
      <c r="N15" s="110" t="s">
        <v>388</v>
      </c>
      <c r="O15" s="111" t="s">
        <v>388</v>
      </c>
      <c r="P15" s="111" t="s">
        <v>397</v>
      </c>
      <c r="Q15" s="111" t="s">
        <v>397</v>
      </c>
      <c r="R15" s="111" t="s">
        <v>388</v>
      </c>
      <c r="S15" s="111" t="s">
        <v>397</v>
      </c>
      <c r="T15" s="113" t="s">
        <v>398</v>
      </c>
      <c r="U15" s="111" t="s">
        <v>390</v>
      </c>
      <c r="V15" s="114" t="s">
        <v>390</v>
      </c>
      <c r="W15" s="83" t="s">
        <v>399</v>
      </c>
      <c r="X15" s="114" t="s">
        <v>390</v>
      </c>
      <c r="Y15" s="114" t="s">
        <v>449</v>
      </c>
      <c r="Z15" s="114" t="s">
        <v>392</v>
      </c>
      <c r="AA15" t="s">
        <v>401</v>
      </c>
      <c r="AB15" t="s">
        <v>374</v>
      </c>
      <c r="AC15" t="s">
        <v>450</v>
      </c>
      <c r="AE15" t="s">
        <v>342</v>
      </c>
    </row>
    <row r="16" spans="1:31" x14ac:dyDescent="0.25">
      <c r="A16" s="74">
        <v>14</v>
      </c>
      <c r="B16" s="74" t="s">
        <v>451</v>
      </c>
      <c r="C16" s="74" t="s">
        <v>452</v>
      </c>
      <c r="D16" s="108" t="s">
        <v>388</v>
      </c>
      <c r="E16" s="108" t="s">
        <v>388</v>
      </c>
      <c r="F16" s="108" t="s">
        <v>388</v>
      </c>
      <c r="G16" s="108" t="s">
        <v>388</v>
      </c>
      <c r="H16" s="108" t="s">
        <v>388</v>
      </c>
      <c r="I16" s="109" t="s">
        <v>388</v>
      </c>
      <c r="J16" s="110" t="s">
        <v>388</v>
      </c>
      <c r="K16" s="110" t="s">
        <v>388</v>
      </c>
      <c r="L16" s="110" t="s">
        <v>388</v>
      </c>
      <c r="M16" s="110" t="s">
        <v>388</v>
      </c>
      <c r="N16" s="110" t="s">
        <v>388</v>
      </c>
      <c r="O16" s="111" t="s">
        <v>388</v>
      </c>
      <c r="P16" s="111" t="s">
        <v>397</v>
      </c>
      <c r="Q16" s="111" t="s">
        <v>397</v>
      </c>
      <c r="R16" s="111" t="s">
        <v>397</v>
      </c>
      <c r="S16" s="111" t="s">
        <v>388</v>
      </c>
      <c r="T16" s="113" t="s">
        <v>398</v>
      </c>
      <c r="U16" s="111" t="s">
        <v>390</v>
      </c>
      <c r="V16" s="114" t="s">
        <v>390</v>
      </c>
      <c r="W16" s="83" t="s">
        <v>399</v>
      </c>
      <c r="X16" s="114" t="s">
        <v>390</v>
      </c>
      <c r="Y16" s="114" t="s">
        <v>453</v>
      </c>
      <c r="Z16" s="114" t="s">
        <v>392</v>
      </c>
      <c r="AA16" t="s">
        <v>401</v>
      </c>
      <c r="AB16" t="s">
        <v>374</v>
      </c>
      <c r="AC16" t="s">
        <v>454</v>
      </c>
      <c r="AE16" t="s">
        <v>342</v>
      </c>
    </row>
    <row r="17" spans="1:31" x14ac:dyDescent="0.25">
      <c r="A17" s="74">
        <v>15</v>
      </c>
      <c r="B17" s="74" t="s">
        <v>455</v>
      </c>
      <c r="C17" s="74" t="s">
        <v>456</v>
      </c>
      <c r="D17" s="108" t="s">
        <v>388</v>
      </c>
      <c r="E17" s="108" t="s">
        <v>388</v>
      </c>
      <c r="F17" s="108" t="s">
        <v>388</v>
      </c>
      <c r="G17" s="108" t="s">
        <v>388</v>
      </c>
      <c r="H17" s="108" t="s">
        <v>388</v>
      </c>
      <c r="I17" s="109" t="s">
        <v>388</v>
      </c>
      <c r="J17" s="110" t="s">
        <v>388</v>
      </c>
      <c r="K17" s="110" t="s">
        <v>388</v>
      </c>
      <c r="L17" s="110" t="s">
        <v>388</v>
      </c>
      <c r="M17" s="110" t="s">
        <v>388</v>
      </c>
      <c r="N17" s="110" t="s">
        <v>388</v>
      </c>
      <c r="O17" s="111" t="s">
        <v>388</v>
      </c>
      <c r="P17" s="111" t="s">
        <v>397</v>
      </c>
      <c r="Q17" s="111" t="s">
        <v>397</v>
      </c>
      <c r="R17" s="111" t="s">
        <v>397</v>
      </c>
      <c r="S17" s="111" t="s">
        <v>397</v>
      </c>
      <c r="T17" s="113" t="s">
        <v>398</v>
      </c>
      <c r="U17" s="111" t="s">
        <v>390</v>
      </c>
      <c r="V17" s="114" t="s">
        <v>390</v>
      </c>
      <c r="W17" s="83" t="s">
        <v>399</v>
      </c>
      <c r="X17" s="114" t="s">
        <v>390</v>
      </c>
      <c r="Y17" s="114" t="s">
        <v>457</v>
      </c>
      <c r="Z17" s="114" t="s">
        <v>392</v>
      </c>
      <c r="AA17" t="s">
        <v>401</v>
      </c>
      <c r="AB17" t="s">
        <v>374</v>
      </c>
      <c r="AC17" t="s">
        <v>458</v>
      </c>
      <c r="AE17" t="s">
        <v>342</v>
      </c>
    </row>
    <row r="18" spans="1:31" x14ac:dyDescent="0.25">
      <c r="A18" s="74">
        <v>16</v>
      </c>
      <c r="B18" s="74" t="s">
        <v>459</v>
      </c>
      <c r="C18" s="74" t="s">
        <v>460</v>
      </c>
      <c r="D18" s="108" t="s">
        <v>388</v>
      </c>
      <c r="E18" s="108" t="s">
        <v>388</v>
      </c>
      <c r="F18" s="108" t="s">
        <v>388</v>
      </c>
      <c r="G18" s="108" t="s">
        <v>388</v>
      </c>
      <c r="H18" s="108" t="s">
        <v>388</v>
      </c>
      <c r="I18" s="109" t="s">
        <v>388</v>
      </c>
      <c r="J18" s="110" t="s">
        <v>388</v>
      </c>
      <c r="K18" s="110" t="s">
        <v>388</v>
      </c>
      <c r="L18" s="110" t="s">
        <v>388</v>
      </c>
      <c r="M18" s="110" t="s">
        <v>388</v>
      </c>
      <c r="N18" s="110" t="s">
        <v>388</v>
      </c>
      <c r="O18" s="111" t="s">
        <v>397</v>
      </c>
      <c r="P18" s="111" t="s">
        <v>388</v>
      </c>
      <c r="Q18" s="111" t="s">
        <v>388</v>
      </c>
      <c r="R18" s="111" t="s">
        <v>388</v>
      </c>
      <c r="S18" s="111" t="s">
        <v>388</v>
      </c>
      <c r="T18" s="113" t="s">
        <v>398</v>
      </c>
      <c r="U18" s="111" t="s">
        <v>390</v>
      </c>
      <c r="V18" s="114" t="s">
        <v>390</v>
      </c>
      <c r="W18" s="83" t="s">
        <v>399</v>
      </c>
      <c r="X18" s="114" t="s">
        <v>390</v>
      </c>
      <c r="Y18" s="114" t="s">
        <v>461</v>
      </c>
      <c r="Z18" s="114" t="s">
        <v>392</v>
      </c>
      <c r="AA18" t="s">
        <v>401</v>
      </c>
      <c r="AB18" t="s">
        <v>374</v>
      </c>
      <c r="AC18" t="s">
        <v>462</v>
      </c>
      <c r="AE18" t="s">
        <v>342</v>
      </c>
    </row>
    <row r="19" spans="1:31" x14ac:dyDescent="0.25">
      <c r="A19" s="74">
        <v>17</v>
      </c>
      <c r="B19" s="74" t="s">
        <v>463</v>
      </c>
      <c r="C19" s="74" t="s">
        <v>464</v>
      </c>
      <c r="D19" s="108" t="s">
        <v>388</v>
      </c>
      <c r="E19" s="108" t="s">
        <v>388</v>
      </c>
      <c r="F19" s="108" t="s">
        <v>388</v>
      </c>
      <c r="G19" s="108" t="s">
        <v>388</v>
      </c>
      <c r="H19" s="108" t="s">
        <v>388</v>
      </c>
      <c r="I19" s="109" t="s">
        <v>388</v>
      </c>
      <c r="J19" s="110" t="s">
        <v>388</v>
      </c>
      <c r="K19" s="110" t="s">
        <v>388</v>
      </c>
      <c r="L19" s="110" t="s">
        <v>388</v>
      </c>
      <c r="M19" s="110" t="s">
        <v>388</v>
      </c>
      <c r="N19" s="110" t="s">
        <v>388</v>
      </c>
      <c r="O19" s="111" t="s">
        <v>397</v>
      </c>
      <c r="P19" s="111" t="s">
        <v>388</v>
      </c>
      <c r="Q19" s="111" t="s">
        <v>388</v>
      </c>
      <c r="R19" s="111" t="s">
        <v>388</v>
      </c>
      <c r="S19" s="111" t="s">
        <v>397</v>
      </c>
      <c r="T19" s="113" t="s">
        <v>465</v>
      </c>
      <c r="U19" s="111" t="s">
        <v>390</v>
      </c>
      <c r="V19" s="114" t="s">
        <v>390</v>
      </c>
      <c r="W19" s="83" t="s">
        <v>399</v>
      </c>
      <c r="X19" s="114" t="s">
        <v>390</v>
      </c>
      <c r="Y19" s="114" t="s">
        <v>466</v>
      </c>
      <c r="Z19" s="114" t="s">
        <v>392</v>
      </c>
      <c r="AA19" t="s">
        <v>401</v>
      </c>
      <c r="AB19" t="s">
        <v>114</v>
      </c>
      <c r="AC19" t="s">
        <v>467</v>
      </c>
      <c r="AE19" t="s">
        <v>342</v>
      </c>
    </row>
    <row r="20" spans="1:31" x14ac:dyDescent="0.25">
      <c r="A20" s="74">
        <v>18</v>
      </c>
      <c r="B20" s="74" t="s">
        <v>468</v>
      </c>
      <c r="C20" s="74" t="s">
        <v>469</v>
      </c>
      <c r="D20" s="108" t="s">
        <v>388</v>
      </c>
      <c r="E20" s="108" t="s">
        <v>388</v>
      </c>
      <c r="F20" s="108" t="s">
        <v>388</v>
      </c>
      <c r="G20" s="108" t="s">
        <v>388</v>
      </c>
      <c r="H20" s="108" t="s">
        <v>388</v>
      </c>
      <c r="I20" s="109" t="s">
        <v>388</v>
      </c>
      <c r="J20" s="110" t="s">
        <v>388</v>
      </c>
      <c r="K20" s="110" t="s">
        <v>388</v>
      </c>
      <c r="L20" s="110" t="s">
        <v>388</v>
      </c>
      <c r="M20" s="110" t="s">
        <v>388</v>
      </c>
      <c r="N20" s="110" t="s">
        <v>388</v>
      </c>
      <c r="O20" s="111" t="s">
        <v>397</v>
      </c>
      <c r="P20" s="111" t="s">
        <v>388</v>
      </c>
      <c r="Q20" s="111" t="s">
        <v>388</v>
      </c>
      <c r="R20" s="111" t="s">
        <v>397</v>
      </c>
      <c r="S20" s="111" t="s">
        <v>388</v>
      </c>
      <c r="T20" s="113" t="s">
        <v>398</v>
      </c>
      <c r="U20" s="111" t="s">
        <v>390</v>
      </c>
      <c r="V20" s="114" t="s">
        <v>390</v>
      </c>
      <c r="W20" s="83" t="s">
        <v>399</v>
      </c>
      <c r="X20" s="114" t="s">
        <v>390</v>
      </c>
      <c r="Y20" s="114" t="s">
        <v>470</v>
      </c>
      <c r="Z20" s="114" t="s">
        <v>392</v>
      </c>
      <c r="AA20" t="s">
        <v>401</v>
      </c>
      <c r="AB20" t="s">
        <v>374</v>
      </c>
      <c r="AC20" t="s">
        <v>471</v>
      </c>
      <c r="AE20" t="s">
        <v>342</v>
      </c>
    </row>
    <row r="21" spans="1:31" x14ac:dyDescent="0.25">
      <c r="A21" s="74">
        <v>19</v>
      </c>
      <c r="B21" s="74" t="s">
        <v>472</v>
      </c>
      <c r="C21" s="74" t="s">
        <v>473</v>
      </c>
      <c r="D21" s="108" t="s">
        <v>388</v>
      </c>
      <c r="E21" s="108" t="s">
        <v>388</v>
      </c>
      <c r="F21" s="108" t="s">
        <v>388</v>
      </c>
      <c r="G21" s="108" t="s">
        <v>388</v>
      </c>
      <c r="H21" s="108" t="s">
        <v>388</v>
      </c>
      <c r="I21" s="109" t="s">
        <v>388</v>
      </c>
      <c r="J21" s="110" t="s">
        <v>388</v>
      </c>
      <c r="K21" s="110" t="s">
        <v>388</v>
      </c>
      <c r="L21" s="110" t="s">
        <v>388</v>
      </c>
      <c r="M21" s="110" t="s">
        <v>388</v>
      </c>
      <c r="N21" s="110" t="s">
        <v>388</v>
      </c>
      <c r="O21" s="111" t="s">
        <v>397</v>
      </c>
      <c r="P21" s="111" t="s">
        <v>388</v>
      </c>
      <c r="Q21" s="111" t="s">
        <v>388</v>
      </c>
      <c r="R21" s="111" t="s">
        <v>397</v>
      </c>
      <c r="S21" s="111" t="s">
        <v>397</v>
      </c>
      <c r="T21" s="113" t="s">
        <v>398</v>
      </c>
      <c r="U21" s="111" t="s">
        <v>390</v>
      </c>
      <c r="V21" s="114" t="s">
        <v>390</v>
      </c>
      <c r="W21" s="83" t="s">
        <v>399</v>
      </c>
      <c r="X21" s="114" t="s">
        <v>390</v>
      </c>
      <c r="Y21" s="114" t="s">
        <v>474</v>
      </c>
      <c r="Z21" s="114" t="s">
        <v>392</v>
      </c>
      <c r="AA21" t="s">
        <v>401</v>
      </c>
      <c r="AB21" t="s">
        <v>374</v>
      </c>
      <c r="AC21" t="s">
        <v>475</v>
      </c>
      <c r="AE21" t="s">
        <v>342</v>
      </c>
    </row>
    <row r="22" spans="1:31" x14ac:dyDescent="0.25">
      <c r="A22" s="74">
        <v>20</v>
      </c>
      <c r="B22" s="74" t="s">
        <v>476</v>
      </c>
      <c r="C22" s="74" t="s">
        <v>477</v>
      </c>
      <c r="D22" s="108" t="s">
        <v>388</v>
      </c>
      <c r="E22" s="108" t="s">
        <v>388</v>
      </c>
      <c r="F22" s="108" t="s">
        <v>388</v>
      </c>
      <c r="G22" s="108" t="s">
        <v>388</v>
      </c>
      <c r="H22" s="108" t="s">
        <v>388</v>
      </c>
      <c r="I22" s="109" t="s">
        <v>388</v>
      </c>
      <c r="J22" s="110" t="s">
        <v>388</v>
      </c>
      <c r="K22" s="110" t="s">
        <v>388</v>
      </c>
      <c r="L22" s="110" t="s">
        <v>388</v>
      </c>
      <c r="M22" s="110" t="s">
        <v>388</v>
      </c>
      <c r="N22" s="110" t="s">
        <v>388</v>
      </c>
      <c r="O22" s="111" t="s">
        <v>397</v>
      </c>
      <c r="P22" s="111" t="s">
        <v>388</v>
      </c>
      <c r="Q22" s="111" t="s">
        <v>397</v>
      </c>
      <c r="R22" s="111" t="s">
        <v>388</v>
      </c>
      <c r="S22" s="111" t="s">
        <v>388</v>
      </c>
      <c r="T22" s="113" t="s">
        <v>478</v>
      </c>
      <c r="U22" s="111" t="s">
        <v>390</v>
      </c>
      <c r="V22" s="114" t="s">
        <v>390</v>
      </c>
      <c r="W22" s="83" t="s">
        <v>399</v>
      </c>
      <c r="X22" s="114" t="s">
        <v>390</v>
      </c>
      <c r="Y22" s="114" t="s">
        <v>479</v>
      </c>
      <c r="Z22" s="114" t="s">
        <v>392</v>
      </c>
      <c r="AA22" t="s">
        <v>401</v>
      </c>
      <c r="AB22" t="s">
        <v>372</v>
      </c>
      <c r="AC22" t="s">
        <v>386</v>
      </c>
      <c r="AE22" t="s">
        <v>342</v>
      </c>
    </row>
    <row r="23" spans="1:31" x14ac:dyDescent="0.25">
      <c r="A23" s="74">
        <v>21</v>
      </c>
      <c r="B23" s="74" t="s">
        <v>480</v>
      </c>
      <c r="C23" s="74" t="s">
        <v>481</v>
      </c>
      <c r="D23" s="108" t="s">
        <v>388</v>
      </c>
      <c r="E23" s="108" t="s">
        <v>388</v>
      </c>
      <c r="F23" s="108" t="s">
        <v>388</v>
      </c>
      <c r="G23" s="108" t="s">
        <v>388</v>
      </c>
      <c r="H23" s="108" t="s">
        <v>388</v>
      </c>
      <c r="I23" s="109" t="s">
        <v>388</v>
      </c>
      <c r="J23" s="110" t="s">
        <v>388</v>
      </c>
      <c r="K23" s="110" t="s">
        <v>388</v>
      </c>
      <c r="L23" s="110" t="s">
        <v>388</v>
      </c>
      <c r="M23" s="110" t="s">
        <v>388</v>
      </c>
      <c r="N23" s="110" t="s">
        <v>388</v>
      </c>
      <c r="O23" s="111" t="s">
        <v>397</v>
      </c>
      <c r="P23" s="111" t="s">
        <v>388</v>
      </c>
      <c r="Q23" s="111" t="s">
        <v>397</v>
      </c>
      <c r="R23" s="111" t="s">
        <v>388</v>
      </c>
      <c r="S23" s="111" t="s">
        <v>397</v>
      </c>
      <c r="T23" s="113" t="s">
        <v>482</v>
      </c>
      <c r="U23" s="111" t="s">
        <v>390</v>
      </c>
      <c r="V23" s="114" t="s">
        <v>390</v>
      </c>
      <c r="W23" s="83" t="s">
        <v>399</v>
      </c>
      <c r="X23" s="114" t="s">
        <v>390</v>
      </c>
      <c r="Y23" s="114" t="s">
        <v>483</v>
      </c>
      <c r="Z23" s="114" t="s">
        <v>392</v>
      </c>
      <c r="AA23" t="s">
        <v>401</v>
      </c>
      <c r="AB23" t="s">
        <v>373</v>
      </c>
      <c r="AC23" t="s">
        <v>484</v>
      </c>
      <c r="AE23" t="s">
        <v>342</v>
      </c>
    </row>
    <row r="24" spans="1:31" x14ac:dyDescent="0.25">
      <c r="A24" s="74">
        <v>22</v>
      </c>
      <c r="B24" s="74" t="s">
        <v>485</v>
      </c>
      <c r="C24" s="74" t="s">
        <v>486</v>
      </c>
      <c r="D24" s="108" t="s">
        <v>388</v>
      </c>
      <c r="E24" s="108" t="s">
        <v>388</v>
      </c>
      <c r="F24" s="108" t="s">
        <v>388</v>
      </c>
      <c r="G24" s="108" t="s">
        <v>388</v>
      </c>
      <c r="H24" s="108" t="s">
        <v>388</v>
      </c>
      <c r="I24" s="109" t="s">
        <v>388</v>
      </c>
      <c r="J24" s="110" t="s">
        <v>388</v>
      </c>
      <c r="K24" s="110" t="s">
        <v>388</v>
      </c>
      <c r="L24" s="110" t="s">
        <v>388</v>
      </c>
      <c r="M24" s="110" t="s">
        <v>388</v>
      </c>
      <c r="N24" s="110" t="s">
        <v>388</v>
      </c>
      <c r="O24" s="111" t="s">
        <v>397</v>
      </c>
      <c r="P24" s="111" t="s">
        <v>388</v>
      </c>
      <c r="Q24" s="111" t="s">
        <v>397</v>
      </c>
      <c r="R24" s="111" t="s">
        <v>397</v>
      </c>
      <c r="S24" s="111" t="s">
        <v>388</v>
      </c>
      <c r="T24" s="113" t="s">
        <v>398</v>
      </c>
      <c r="U24" s="111" t="s">
        <v>390</v>
      </c>
      <c r="V24" s="114" t="s">
        <v>390</v>
      </c>
      <c r="W24" s="83" t="s">
        <v>399</v>
      </c>
      <c r="X24" s="114" t="s">
        <v>390</v>
      </c>
      <c r="Y24" s="114" t="s">
        <v>487</v>
      </c>
      <c r="Z24" s="114" t="s">
        <v>392</v>
      </c>
      <c r="AA24" t="s">
        <v>401</v>
      </c>
      <c r="AB24" t="s">
        <v>374</v>
      </c>
      <c r="AC24" t="s">
        <v>488</v>
      </c>
      <c r="AE24" t="s">
        <v>342</v>
      </c>
    </row>
    <row r="25" spans="1:31" x14ac:dyDescent="0.25">
      <c r="A25" s="74">
        <v>23</v>
      </c>
      <c r="B25" s="74" t="s">
        <v>489</v>
      </c>
      <c r="C25" s="74" t="s">
        <v>490</v>
      </c>
      <c r="D25" s="108" t="s">
        <v>388</v>
      </c>
      <c r="E25" s="108" t="s">
        <v>388</v>
      </c>
      <c r="F25" s="108" t="s">
        <v>388</v>
      </c>
      <c r="G25" s="108" t="s">
        <v>388</v>
      </c>
      <c r="H25" s="108" t="s">
        <v>388</v>
      </c>
      <c r="I25" s="109" t="s">
        <v>388</v>
      </c>
      <c r="J25" s="110" t="s">
        <v>388</v>
      </c>
      <c r="K25" s="110" t="s">
        <v>388</v>
      </c>
      <c r="L25" s="110" t="s">
        <v>388</v>
      </c>
      <c r="M25" s="110" t="s">
        <v>388</v>
      </c>
      <c r="N25" s="110" t="s">
        <v>388</v>
      </c>
      <c r="O25" s="111" t="s">
        <v>397</v>
      </c>
      <c r="P25" s="111" t="s">
        <v>388</v>
      </c>
      <c r="Q25" s="111" t="s">
        <v>397</v>
      </c>
      <c r="R25" s="111" t="s">
        <v>397</v>
      </c>
      <c r="S25" s="111" t="s">
        <v>397</v>
      </c>
      <c r="T25" s="113" t="s">
        <v>398</v>
      </c>
      <c r="U25" s="111" t="s">
        <v>390</v>
      </c>
      <c r="V25" s="114" t="s">
        <v>390</v>
      </c>
      <c r="W25" s="83" t="s">
        <v>399</v>
      </c>
      <c r="X25" s="114" t="s">
        <v>390</v>
      </c>
      <c r="Y25" s="114" t="s">
        <v>491</v>
      </c>
      <c r="Z25" s="114" t="s">
        <v>392</v>
      </c>
      <c r="AA25" t="s">
        <v>401</v>
      </c>
      <c r="AB25" t="s">
        <v>374</v>
      </c>
      <c r="AC25" t="s">
        <v>492</v>
      </c>
      <c r="AE25" t="s">
        <v>342</v>
      </c>
    </row>
    <row r="26" spans="1:31" x14ac:dyDescent="0.25">
      <c r="A26" s="74">
        <v>24</v>
      </c>
      <c r="B26" s="74" t="s">
        <v>493</v>
      </c>
      <c r="C26" s="74" t="s">
        <v>494</v>
      </c>
      <c r="D26" s="108" t="s">
        <v>388</v>
      </c>
      <c r="E26" s="108" t="s">
        <v>388</v>
      </c>
      <c r="F26" s="108" t="s">
        <v>388</v>
      </c>
      <c r="G26" s="108" t="s">
        <v>388</v>
      </c>
      <c r="H26" s="108" t="s">
        <v>388</v>
      </c>
      <c r="I26" s="109" t="s">
        <v>388</v>
      </c>
      <c r="J26" s="110" t="s">
        <v>388</v>
      </c>
      <c r="K26" s="110" t="s">
        <v>388</v>
      </c>
      <c r="L26" s="110" t="s">
        <v>388</v>
      </c>
      <c r="M26" s="110" t="s">
        <v>388</v>
      </c>
      <c r="N26" s="110" t="s">
        <v>388</v>
      </c>
      <c r="O26" s="111" t="s">
        <v>397</v>
      </c>
      <c r="P26" s="111" t="s">
        <v>397</v>
      </c>
      <c r="Q26" s="111" t="s">
        <v>388</v>
      </c>
      <c r="R26" s="111" t="s">
        <v>388</v>
      </c>
      <c r="S26" s="111" t="s">
        <v>388</v>
      </c>
      <c r="T26" s="113" t="s">
        <v>398</v>
      </c>
      <c r="U26" s="111" t="s">
        <v>390</v>
      </c>
      <c r="V26" s="114" t="s">
        <v>390</v>
      </c>
      <c r="W26" s="83" t="s">
        <v>399</v>
      </c>
      <c r="X26" s="114" t="s">
        <v>390</v>
      </c>
      <c r="Y26" s="114" t="s">
        <v>495</v>
      </c>
      <c r="Z26" s="114" t="s">
        <v>392</v>
      </c>
      <c r="AA26" t="s">
        <v>401</v>
      </c>
      <c r="AB26" t="s">
        <v>374</v>
      </c>
      <c r="AC26" t="s">
        <v>496</v>
      </c>
      <c r="AE26" t="s">
        <v>342</v>
      </c>
    </row>
    <row r="27" spans="1:31" x14ac:dyDescent="0.25">
      <c r="A27" s="74">
        <v>25</v>
      </c>
      <c r="B27" s="74" t="s">
        <v>497</v>
      </c>
      <c r="C27" s="74" t="s">
        <v>498</v>
      </c>
      <c r="D27" s="108" t="s">
        <v>388</v>
      </c>
      <c r="E27" s="108" t="s">
        <v>388</v>
      </c>
      <c r="F27" s="108" t="s">
        <v>388</v>
      </c>
      <c r="G27" s="108" t="s">
        <v>388</v>
      </c>
      <c r="H27" s="108" t="s">
        <v>388</v>
      </c>
      <c r="I27" s="109" t="s">
        <v>388</v>
      </c>
      <c r="J27" s="110" t="s">
        <v>388</v>
      </c>
      <c r="K27" s="110" t="s">
        <v>388</v>
      </c>
      <c r="L27" s="110" t="s">
        <v>388</v>
      </c>
      <c r="M27" s="110" t="s">
        <v>388</v>
      </c>
      <c r="N27" s="110" t="s">
        <v>388</v>
      </c>
      <c r="O27" s="111" t="s">
        <v>397</v>
      </c>
      <c r="P27" s="111" t="s">
        <v>397</v>
      </c>
      <c r="Q27" s="111" t="s">
        <v>388</v>
      </c>
      <c r="R27" s="111" t="s">
        <v>388</v>
      </c>
      <c r="S27" s="111" t="s">
        <v>397</v>
      </c>
      <c r="T27" s="113" t="s">
        <v>398</v>
      </c>
      <c r="U27" s="111" t="s">
        <v>390</v>
      </c>
      <c r="V27" s="114" t="s">
        <v>390</v>
      </c>
      <c r="W27" s="83" t="s">
        <v>399</v>
      </c>
      <c r="X27" s="114" t="s">
        <v>390</v>
      </c>
      <c r="Y27" s="114" t="s">
        <v>499</v>
      </c>
      <c r="Z27" s="114" t="s">
        <v>392</v>
      </c>
      <c r="AA27" t="s">
        <v>401</v>
      </c>
      <c r="AB27" t="s">
        <v>374</v>
      </c>
      <c r="AC27" t="s">
        <v>500</v>
      </c>
      <c r="AE27" t="s">
        <v>342</v>
      </c>
    </row>
    <row r="28" spans="1:31" x14ac:dyDescent="0.25">
      <c r="A28" s="74">
        <v>26</v>
      </c>
      <c r="B28" s="74" t="s">
        <v>501</v>
      </c>
      <c r="C28" s="74" t="s">
        <v>502</v>
      </c>
      <c r="D28" s="108" t="s">
        <v>388</v>
      </c>
      <c r="E28" s="108" t="s">
        <v>388</v>
      </c>
      <c r="F28" s="108" t="s">
        <v>388</v>
      </c>
      <c r="G28" s="108" t="s">
        <v>388</v>
      </c>
      <c r="H28" s="108" t="s">
        <v>388</v>
      </c>
      <c r="I28" s="109" t="s">
        <v>388</v>
      </c>
      <c r="J28" s="110" t="s">
        <v>388</v>
      </c>
      <c r="K28" s="110" t="s">
        <v>388</v>
      </c>
      <c r="L28" s="110" t="s">
        <v>388</v>
      </c>
      <c r="M28" s="110" t="s">
        <v>388</v>
      </c>
      <c r="N28" s="110" t="s">
        <v>388</v>
      </c>
      <c r="O28" s="111" t="s">
        <v>397</v>
      </c>
      <c r="P28" s="111" t="s">
        <v>397</v>
      </c>
      <c r="Q28" s="111" t="s">
        <v>388</v>
      </c>
      <c r="R28" s="111" t="s">
        <v>397</v>
      </c>
      <c r="S28" s="111" t="s">
        <v>388</v>
      </c>
      <c r="T28" s="113" t="s">
        <v>398</v>
      </c>
      <c r="U28" s="111" t="s">
        <v>390</v>
      </c>
      <c r="V28" s="114" t="s">
        <v>390</v>
      </c>
      <c r="W28" s="83" t="s">
        <v>399</v>
      </c>
      <c r="X28" s="114" t="s">
        <v>390</v>
      </c>
      <c r="Y28" s="114" t="s">
        <v>503</v>
      </c>
      <c r="Z28" s="114" t="s">
        <v>392</v>
      </c>
      <c r="AA28" t="s">
        <v>401</v>
      </c>
      <c r="AB28" t="s">
        <v>374</v>
      </c>
      <c r="AC28" t="s">
        <v>504</v>
      </c>
      <c r="AE28" t="s">
        <v>342</v>
      </c>
    </row>
    <row r="29" spans="1:31" x14ac:dyDescent="0.25">
      <c r="A29" s="74">
        <v>27</v>
      </c>
      <c r="B29" s="74" t="s">
        <v>505</v>
      </c>
      <c r="C29" s="74" t="s">
        <v>506</v>
      </c>
      <c r="D29" s="108" t="s">
        <v>388</v>
      </c>
      <c r="E29" s="108" t="s">
        <v>388</v>
      </c>
      <c r="F29" s="108" t="s">
        <v>388</v>
      </c>
      <c r="G29" s="108" t="s">
        <v>388</v>
      </c>
      <c r="H29" s="108" t="s">
        <v>388</v>
      </c>
      <c r="I29" s="109" t="s">
        <v>388</v>
      </c>
      <c r="J29" s="110" t="s">
        <v>388</v>
      </c>
      <c r="K29" s="110" t="s">
        <v>388</v>
      </c>
      <c r="L29" s="110" t="s">
        <v>388</v>
      </c>
      <c r="M29" s="110" t="s">
        <v>388</v>
      </c>
      <c r="N29" s="110" t="s">
        <v>388</v>
      </c>
      <c r="O29" s="111" t="s">
        <v>397</v>
      </c>
      <c r="P29" s="111" t="s">
        <v>397</v>
      </c>
      <c r="Q29" s="111" t="s">
        <v>388</v>
      </c>
      <c r="R29" s="111" t="s">
        <v>397</v>
      </c>
      <c r="S29" s="111" t="s">
        <v>397</v>
      </c>
      <c r="T29" s="113" t="s">
        <v>398</v>
      </c>
      <c r="U29" s="111" t="s">
        <v>390</v>
      </c>
      <c r="V29" s="114" t="s">
        <v>390</v>
      </c>
      <c r="W29" s="83" t="s">
        <v>399</v>
      </c>
      <c r="X29" s="114" t="s">
        <v>390</v>
      </c>
      <c r="Y29" s="114" t="s">
        <v>507</v>
      </c>
      <c r="Z29" s="114" t="s">
        <v>392</v>
      </c>
      <c r="AA29" t="s">
        <v>401</v>
      </c>
      <c r="AB29" t="s">
        <v>374</v>
      </c>
      <c r="AC29" t="s">
        <v>508</v>
      </c>
      <c r="AE29" t="s">
        <v>342</v>
      </c>
    </row>
    <row r="30" spans="1:31" x14ac:dyDescent="0.25">
      <c r="A30" s="74">
        <v>28</v>
      </c>
      <c r="B30" s="74" t="s">
        <v>509</v>
      </c>
      <c r="C30" s="74" t="s">
        <v>510</v>
      </c>
      <c r="D30" s="108" t="s">
        <v>388</v>
      </c>
      <c r="E30" s="108" t="s">
        <v>388</v>
      </c>
      <c r="F30" s="108" t="s">
        <v>388</v>
      </c>
      <c r="G30" s="108" t="s">
        <v>388</v>
      </c>
      <c r="H30" s="108" t="s">
        <v>388</v>
      </c>
      <c r="I30" s="109" t="s">
        <v>388</v>
      </c>
      <c r="J30" s="110" t="s">
        <v>388</v>
      </c>
      <c r="K30" s="110" t="s">
        <v>388</v>
      </c>
      <c r="L30" s="110" t="s">
        <v>388</v>
      </c>
      <c r="M30" s="110" t="s">
        <v>388</v>
      </c>
      <c r="N30" s="110" t="s">
        <v>388</v>
      </c>
      <c r="O30" s="111" t="s">
        <v>397</v>
      </c>
      <c r="P30" s="111" t="s">
        <v>397</v>
      </c>
      <c r="Q30" s="111" t="s">
        <v>397</v>
      </c>
      <c r="R30" s="111" t="s">
        <v>388</v>
      </c>
      <c r="S30" s="111" t="s">
        <v>388</v>
      </c>
      <c r="T30" s="113" t="s">
        <v>398</v>
      </c>
      <c r="U30" s="111" t="s">
        <v>390</v>
      </c>
      <c r="V30" s="114" t="s">
        <v>390</v>
      </c>
      <c r="W30" s="83" t="s">
        <v>399</v>
      </c>
      <c r="X30" s="114" t="s">
        <v>390</v>
      </c>
      <c r="Y30" s="114" t="s">
        <v>511</v>
      </c>
      <c r="Z30" s="114" t="s">
        <v>392</v>
      </c>
      <c r="AA30" t="s">
        <v>401</v>
      </c>
      <c r="AB30" t="s">
        <v>374</v>
      </c>
      <c r="AC30" t="s">
        <v>512</v>
      </c>
      <c r="AE30" t="s">
        <v>342</v>
      </c>
    </row>
    <row r="31" spans="1:31" x14ac:dyDescent="0.25">
      <c r="A31" s="74">
        <v>29</v>
      </c>
      <c r="B31" s="74" t="s">
        <v>513</v>
      </c>
      <c r="C31" s="74" t="s">
        <v>514</v>
      </c>
      <c r="D31" s="108" t="s">
        <v>388</v>
      </c>
      <c r="E31" s="108" t="s">
        <v>388</v>
      </c>
      <c r="F31" s="108" t="s">
        <v>388</v>
      </c>
      <c r="G31" s="108" t="s">
        <v>388</v>
      </c>
      <c r="H31" s="108" t="s">
        <v>388</v>
      </c>
      <c r="I31" s="109" t="s">
        <v>388</v>
      </c>
      <c r="J31" s="110" t="s">
        <v>388</v>
      </c>
      <c r="K31" s="110" t="s">
        <v>388</v>
      </c>
      <c r="L31" s="110" t="s">
        <v>388</v>
      </c>
      <c r="M31" s="110" t="s">
        <v>388</v>
      </c>
      <c r="N31" s="110" t="s">
        <v>388</v>
      </c>
      <c r="O31" s="111" t="s">
        <v>397</v>
      </c>
      <c r="P31" s="111" t="s">
        <v>397</v>
      </c>
      <c r="Q31" s="111" t="s">
        <v>397</v>
      </c>
      <c r="R31" s="111" t="s">
        <v>388</v>
      </c>
      <c r="S31" s="111" t="s">
        <v>397</v>
      </c>
      <c r="T31" s="113" t="s">
        <v>398</v>
      </c>
      <c r="U31" s="111" t="s">
        <v>390</v>
      </c>
      <c r="V31" s="114" t="s">
        <v>390</v>
      </c>
      <c r="W31" s="83" t="s">
        <v>399</v>
      </c>
      <c r="X31" s="114" t="s">
        <v>390</v>
      </c>
      <c r="Y31" s="114" t="s">
        <v>515</v>
      </c>
      <c r="Z31" s="114" t="s">
        <v>392</v>
      </c>
      <c r="AA31" t="s">
        <v>401</v>
      </c>
      <c r="AB31" t="s">
        <v>374</v>
      </c>
      <c r="AC31" t="s">
        <v>516</v>
      </c>
      <c r="AE31" t="s">
        <v>342</v>
      </c>
    </row>
    <row r="32" spans="1:31" x14ac:dyDescent="0.25">
      <c r="A32" s="74">
        <v>30</v>
      </c>
      <c r="B32" s="74" t="s">
        <v>517</v>
      </c>
      <c r="C32" s="74" t="s">
        <v>518</v>
      </c>
      <c r="D32" s="108" t="s">
        <v>388</v>
      </c>
      <c r="E32" s="108" t="s">
        <v>388</v>
      </c>
      <c r="F32" s="108" t="s">
        <v>388</v>
      </c>
      <c r="G32" s="108" t="s">
        <v>388</v>
      </c>
      <c r="H32" s="108" t="s">
        <v>388</v>
      </c>
      <c r="I32" s="109" t="s">
        <v>388</v>
      </c>
      <c r="J32" s="110" t="s">
        <v>388</v>
      </c>
      <c r="K32" s="110" t="s">
        <v>388</v>
      </c>
      <c r="L32" s="110" t="s">
        <v>388</v>
      </c>
      <c r="M32" s="110" t="s">
        <v>388</v>
      </c>
      <c r="N32" s="110" t="s">
        <v>388</v>
      </c>
      <c r="O32" s="111" t="s">
        <v>397</v>
      </c>
      <c r="P32" s="111" t="s">
        <v>397</v>
      </c>
      <c r="Q32" s="111" t="s">
        <v>397</v>
      </c>
      <c r="R32" s="111" t="s">
        <v>397</v>
      </c>
      <c r="S32" s="111" t="s">
        <v>388</v>
      </c>
      <c r="T32" s="113" t="s">
        <v>398</v>
      </c>
      <c r="U32" s="111" t="s">
        <v>390</v>
      </c>
      <c r="V32" s="114" t="s">
        <v>390</v>
      </c>
      <c r="W32" s="83" t="s">
        <v>399</v>
      </c>
      <c r="X32" s="114" t="s">
        <v>390</v>
      </c>
      <c r="Y32" s="114" t="s">
        <v>519</v>
      </c>
      <c r="Z32" s="114" t="s">
        <v>392</v>
      </c>
      <c r="AA32" t="s">
        <v>401</v>
      </c>
      <c r="AB32" t="s">
        <v>374</v>
      </c>
      <c r="AC32" t="s">
        <v>520</v>
      </c>
      <c r="AE32" t="s">
        <v>342</v>
      </c>
    </row>
    <row r="33" spans="1:31" x14ac:dyDescent="0.25">
      <c r="A33" s="74">
        <v>31</v>
      </c>
      <c r="B33" s="74" t="s">
        <v>521</v>
      </c>
      <c r="C33" s="74" t="s">
        <v>522</v>
      </c>
      <c r="D33" s="108" t="s">
        <v>388</v>
      </c>
      <c r="E33" s="108" t="s">
        <v>388</v>
      </c>
      <c r="F33" s="108" t="s">
        <v>388</v>
      </c>
      <c r="G33" s="108" t="s">
        <v>388</v>
      </c>
      <c r="H33" s="108" t="s">
        <v>388</v>
      </c>
      <c r="I33" s="109" t="s">
        <v>388</v>
      </c>
      <c r="J33" s="110" t="s">
        <v>388</v>
      </c>
      <c r="K33" s="110" t="s">
        <v>388</v>
      </c>
      <c r="L33" s="110" t="s">
        <v>388</v>
      </c>
      <c r="M33" s="110" t="s">
        <v>388</v>
      </c>
      <c r="N33" s="110" t="s">
        <v>388</v>
      </c>
      <c r="O33" s="111" t="s">
        <v>397</v>
      </c>
      <c r="P33" s="111" t="s">
        <v>397</v>
      </c>
      <c r="Q33" s="111" t="s">
        <v>397</v>
      </c>
      <c r="R33" s="111" t="s">
        <v>397</v>
      </c>
      <c r="S33" s="111" t="s">
        <v>397</v>
      </c>
      <c r="T33" s="113" t="s">
        <v>398</v>
      </c>
      <c r="U33" s="111" t="s">
        <v>390</v>
      </c>
      <c r="V33" s="114" t="s">
        <v>390</v>
      </c>
      <c r="W33" s="83" t="s">
        <v>399</v>
      </c>
      <c r="X33" s="114" t="s">
        <v>390</v>
      </c>
      <c r="Y33" s="114" t="s">
        <v>523</v>
      </c>
      <c r="Z33" s="114" t="s">
        <v>392</v>
      </c>
      <c r="AA33" t="s">
        <v>401</v>
      </c>
      <c r="AB33" t="s">
        <v>374</v>
      </c>
      <c r="AC33" t="s">
        <v>524</v>
      </c>
      <c r="AE33" t="s">
        <v>342</v>
      </c>
    </row>
    <row r="34" spans="1:31" x14ac:dyDescent="0.25">
      <c r="A34" s="74">
        <v>992</v>
      </c>
      <c r="B34" s="74" t="s">
        <v>525</v>
      </c>
      <c r="C34" s="74" t="s">
        <v>526</v>
      </c>
      <c r="D34" s="108" t="s">
        <v>388</v>
      </c>
      <c r="E34" s="108" t="s">
        <v>388</v>
      </c>
      <c r="F34" s="108" t="s">
        <v>388</v>
      </c>
      <c r="G34" s="108" t="s">
        <v>388</v>
      </c>
      <c r="H34" s="108" t="s">
        <v>388</v>
      </c>
      <c r="I34" s="109" t="s">
        <v>388</v>
      </c>
      <c r="J34" s="110" t="s">
        <v>397</v>
      </c>
      <c r="K34" s="110" t="s">
        <v>397</v>
      </c>
      <c r="L34" s="110" t="s">
        <v>397</v>
      </c>
      <c r="M34" s="110" t="s">
        <v>397</v>
      </c>
      <c r="N34" s="110" t="s">
        <v>397</v>
      </c>
      <c r="O34" s="111" t="s">
        <v>388</v>
      </c>
      <c r="P34" s="111" t="s">
        <v>388</v>
      </c>
      <c r="Q34" s="111" t="s">
        <v>388</v>
      </c>
      <c r="R34" s="111" t="s">
        <v>388</v>
      </c>
      <c r="S34" s="111" t="s">
        <v>388</v>
      </c>
      <c r="T34" s="113" t="s">
        <v>398</v>
      </c>
      <c r="U34" s="111" t="s">
        <v>390</v>
      </c>
      <c r="V34" s="114" t="s">
        <v>390</v>
      </c>
      <c r="W34" s="83" t="s">
        <v>399</v>
      </c>
      <c r="X34" s="114" t="s">
        <v>523</v>
      </c>
      <c r="Y34" s="114" t="s">
        <v>390</v>
      </c>
      <c r="Z34" s="114" t="s">
        <v>392</v>
      </c>
      <c r="AA34" t="s">
        <v>401</v>
      </c>
      <c r="AB34" t="s">
        <v>374</v>
      </c>
      <c r="AC34" t="s">
        <v>394</v>
      </c>
      <c r="AE34" t="s">
        <v>342</v>
      </c>
    </row>
    <row r="35" spans="1:31" x14ac:dyDescent="0.25">
      <c r="A35" s="74">
        <v>993</v>
      </c>
      <c r="B35" s="74" t="s">
        <v>527</v>
      </c>
      <c r="C35" s="74" t="s">
        <v>528</v>
      </c>
      <c r="D35" s="108" t="s">
        <v>388</v>
      </c>
      <c r="E35" s="108" t="s">
        <v>388</v>
      </c>
      <c r="F35" s="108" t="s">
        <v>388</v>
      </c>
      <c r="G35" s="108" t="s">
        <v>388</v>
      </c>
      <c r="H35" s="108" t="s">
        <v>388</v>
      </c>
      <c r="I35" s="109" t="s">
        <v>388</v>
      </c>
      <c r="J35" s="110" t="s">
        <v>397</v>
      </c>
      <c r="K35" s="110" t="s">
        <v>397</v>
      </c>
      <c r="L35" s="110" t="s">
        <v>397</v>
      </c>
      <c r="M35" s="110" t="s">
        <v>397</v>
      </c>
      <c r="N35" s="110" t="s">
        <v>397</v>
      </c>
      <c r="O35" s="111" t="s">
        <v>388</v>
      </c>
      <c r="P35" s="111" t="s">
        <v>388</v>
      </c>
      <c r="Q35" s="111" t="s">
        <v>388</v>
      </c>
      <c r="R35" s="111" t="s">
        <v>388</v>
      </c>
      <c r="S35" s="111" t="s">
        <v>397</v>
      </c>
      <c r="T35" s="113" t="s">
        <v>398</v>
      </c>
      <c r="U35" s="111" t="s">
        <v>390</v>
      </c>
      <c r="V35" s="114" t="s">
        <v>390</v>
      </c>
      <c r="W35" s="83" t="s">
        <v>399</v>
      </c>
      <c r="X35" s="114" t="s">
        <v>523</v>
      </c>
      <c r="Y35" s="114" t="s">
        <v>400</v>
      </c>
      <c r="Z35" s="114" t="s">
        <v>392</v>
      </c>
      <c r="AA35" t="s">
        <v>401</v>
      </c>
      <c r="AB35" t="s">
        <v>374</v>
      </c>
      <c r="AC35" t="s">
        <v>402</v>
      </c>
      <c r="AE35" t="s">
        <v>342</v>
      </c>
    </row>
    <row r="36" spans="1:31" x14ac:dyDescent="0.25">
      <c r="A36" s="74">
        <v>994</v>
      </c>
      <c r="B36" s="74" t="s">
        <v>529</v>
      </c>
      <c r="C36" s="74" t="s">
        <v>530</v>
      </c>
      <c r="D36" s="108" t="s">
        <v>388</v>
      </c>
      <c r="E36" s="108" t="s">
        <v>388</v>
      </c>
      <c r="F36" s="108" t="s">
        <v>388</v>
      </c>
      <c r="G36" s="108" t="s">
        <v>388</v>
      </c>
      <c r="H36" s="108" t="s">
        <v>388</v>
      </c>
      <c r="I36" s="109" t="s">
        <v>388</v>
      </c>
      <c r="J36" s="110" t="s">
        <v>397</v>
      </c>
      <c r="K36" s="110" t="s">
        <v>397</v>
      </c>
      <c r="L36" s="110" t="s">
        <v>397</v>
      </c>
      <c r="M36" s="110" t="s">
        <v>397</v>
      </c>
      <c r="N36" s="110" t="s">
        <v>397</v>
      </c>
      <c r="O36" s="111" t="s">
        <v>388</v>
      </c>
      <c r="P36" s="111" t="s">
        <v>388</v>
      </c>
      <c r="Q36" s="111" t="s">
        <v>388</v>
      </c>
      <c r="R36" s="111" t="s">
        <v>397</v>
      </c>
      <c r="S36" s="111" t="s">
        <v>388</v>
      </c>
      <c r="T36" s="113" t="s">
        <v>398</v>
      </c>
      <c r="U36" s="111" t="s">
        <v>390</v>
      </c>
      <c r="V36" s="114" t="s">
        <v>390</v>
      </c>
      <c r="W36" s="83" t="s">
        <v>399</v>
      </c>
      <c r="X36" s="114" t="s">
        <v>523</v>
      </c>
      <c r="Y36" s="114" t="s">
        <v>405</v>
      </c>
      <c r="Z36" s="114" t="s">
        <v>392</v>
      </c>
      <c r="AA36" t="s">
        <v>401</v>
      </c>
      <c r="AB36" t="s">
        <v>374</v>
      </c>
      <c r="AC36" t="s">
        <v>406</v>
      </c>
      <c r="AE36" t="s">
        <v>342</v>
      </c>
    </row>
    <row r="37" spans="1:31" x14ac:dyDescent="0.25">
      <c r="A37" s="74">
        <v>995</v>
      </c>
      <c r="B37" s="74" t="s">
        <v>531</v>
      </c>
      <c r="C37" s="74" t="s">
        <v>532</v>
      </c>
      <c r="D37" s="108" t="s">
        <v>388</v>
      </c>
      <c r="E37" s="108" t="s">
        <v>388</v>
      </c>
      <c r="F37" s="108" t="s">
        <v>388</v>
      </c>
      <c r="G37" s="108" t="s">
        <v>388</v>
      </c>
      <c r="H37" s="108" t="s">
        <v>388</v>
      </c>
      <c r="I37" s="109" t="s">
        <v>388</v>
      </c>
      <c r="J37" s="110" t="s">
        <v>397</v>
      </c>
      <c r="K37" s="110" t="s">
        <v>397</v>
      </c>
      <c r="L37" s="110" t="s">
        <v>397</v>
      </c>
      <c r="M37" s="110" t="s">
        <v>397</v>
      </c>
      <c r="N37" s="110" t="s">
        <v>397</v>
      </c>
      <c r="O37" s="111" t="s">
        <v>388</v>
      </c>
      <c r="P37" s="111" t="s">
        <v>388</v>
      </c>
      <c r="Q37" s="111" t="s">
        <v>388</v>
      </c>
      <c r="R37" s="111" t="s">
        <v>397</v>
      </c>
      <c r="S37" s="111" t="s">
        <v>397</v>
      </c>
      <c r="T37" s="113" t="s">
        <v>398</v>
      </c>
      <c r="U37" s="111" t="s">
        <v>390</v>
      </c>
      <c r="V37" s="114" t="s">
        <v>390</v>
      </c>
      <c r="W37" s="83" t="s">
        <v>399</v>
      </c>
      <c r="X37" s="114" t="s">
        <v>523</v>
      </c>
      <c r="Y37" s="114" t="s">
        <v>409</v>
      </c>
      <c r="Z37" s="114" t="s">
        <v>392</v>
      </c>
      <c r="AA37" t="s">
        <v>401</v>
      </c>
      <c r="AB37" t="s">
        <v>374</v>
      </c>
      <c r="AC37" t="s">
        <v>410</v>
      </c>
      <c r="AE37" t="s">
        <v>342</v>
      </c>
    </row>
    <row r="38" spans="1:31" x14ac:dyDescent="0.25">
      <c r="A38" s="74">
        <v>996</v>
      </c>
      <c r="B38" s="74" t="s">
        <v>533</v>
      </c>
      <c r="C38" s="74" t="s">
        <v>534</v>
      </c>
      <c r="D38" s="108" t="s">
        <v>388</v>
      </c>
      <c r="E38" s="108" t="s">
        <v>388</v>
      </c>
      <c r="F38" s="108" t="s">
        <v>388</v>
      </c>
      <c r="G38" s="108" t="s">
        <v>388</v>
      </c>
      <c r="H38" s="108" t="s">
        <v>388</v>
      </c>
      <c r="I38" s="109" t="s">
        <v>388</v>
      </c>
      <c r="J38" s="110" t="s">
        <v>397</v>
      </c>
      <c r="K38" s="110" t="s">
        <v>397</v>
      </c>
      <c r="L38" s="110" t="s">
        <v>397</v>
      </c>
      <c r="M38" s="110" t="s">
        <v>397</v>
      </c>
      <c r="N38" s="110" t="s">
        <v>397</v>
      </c>
      <c r="O38" s="111" t="s">
        <v>388</v>
      </c>
      <c r="P38" s="111" t="s">
        <v>388</v>
      </c>
      <c r="Q38" s="111" t="s">
        <v>397</v>
      </c>
      <c r="R38" s="111" t="s">
        <v>388</v>
      </c>
      <c r="S38" s="111" t="s">
        <v>388</v>
      </c>
      <c r="T38" s="113" t="s">
        <v>398</v>
      </c>
      <c r="U38" s="111" t="s">
        <v>390</v>
      </c>
      <c r="V38" s="114" t="s">
        <v>390</v>
      </c>
      <c r="W38" s="83" t="s">
        <v>399</v>
      </c>
      <c r="X38" s="114" t="s">
        <v>523</v>
      </c>
      <c r="Y38" s="114" t="s">
        <v>413</v>
      </c>
      <c r="Z38" s="114" t="s">
        <v>392</v>
      </c>
      <c r="AA38" t="s">
        <v>401</v>
      </c>
      <c r="AB38" t="s">
        <v>374</v>
      </c>
      <c r="AC38" t="s">
        <v>414</v>
      </c>
      <c r="AE38" t="s">
        <v>342</v>
      </c>
    </row>
    <row r="39" spans="1:31" x14ac:dyDescent="0.25">
      <c r="A39" s="74">
        <v>997</v>
      </c>
      <c r="B39" s="74" t="s">
        <v>535</v>
      </c>
      <c r="C39" s="74" t="s">
        <v>536</v>
      </c>
      <c r="D39" s="108" t="s">
        <v>388</v>
      </c>
      <c r="E39" s="108" t="s">
        <v>388</v>
      </c>
      <c r="F39" s="108" t="s">
        <v>388</v>
      </c>
      <c r="G39" s="108" t="s">
        <v>388</v>
      </c>
      <c r="H39" s="108" t="s">
        <v>388</v>
      </c>
      <c r="I39" s="109" t="s">
        <v>388</v>
      </c>
      <c r="J39" s="110" t="s">
        <v>397</v>
      </c>
      <c r="K39" s="110" t="s">
        <v>397</v>
      </c>
      <c r="L39" s="110" t="s">
        <v>397</v>
      </c>
      <c r="M39" s="110" t="s">
        <v>397</v>
      </c>
      <c r="N39" s="110" t="s">
        <v>397</v>
      </c>
      <c r="O39" s="111" t="s">
        <v>388</v>
      </c>
      <c r="P39" s="111" t="s">
        <v>388</v>
      </c>
      <c r="Q39" s="111" t="s">
        <v>397</v>
      </c>
      <c r="R39" s="111" t="s">
        <v>388</v>
      </c>
      <c r="S39" s="111" t="s">
        <v>397</v>
      </c>
      <c r="T39" s="113" t="s">
        <v>398</v>
      </c>
      <c r="U39" s="111" t="s">
        <v>390</v>
      </c>
      <c r="V39" s="114" t="s">
        <v>390</v>
      </c>
      <c r="W39" s="83" t="s">
        <v>399</v>
      </c>
      <c r="X39" s="114" t="s">
        <v>523</v>
      </c>
      <c r="Y39" s="114" t="s">
        <v>417</v>
      </c>
      <c r="Z39" s="114" t="s">
        <v>392</v>
      </c>
      <c r="AA39" t="s">
        <v>401</v>
      </c>
      <c r="AB39" t="s">
        <v>374</v>
      </c>
      <c r="AC39" t="s">
        <v>418</v>
      </c>
      <c r="AE39" t="s">
        <v>342</v>
      </c>
    </row>
    <row r="40" spans="1:31" x14ac:dyDescent="0.25">
      <c r="A40" s="74">
        <v>998</v>
      </c>
      <c r="B40" s="74" t="s">
        <v>537</v>
      </c>
      <c r="C40" s="74" t="s">
        <v>538</v>
      </c>
      <c r="D40" s="108" t="s">
        <v>388</v>
      </c>
      <c r="E40" s="108" t="s">
        <v>388</v>
      </c>
      <c r="F40" s="108" t="s">
        <v>388</v>
      </c>
      <c r="G40" s="108" t="s">
        <v>388</v>
      </c>
      <c r="H40" s="108" t="s">
        <v>388</v>
      </c>
      <c r="I40" s="109" t="s">
        <v>388</v>
      </c>
      <c r="J40" s="110" t="s">
        <v>397</v>
      </c>
      <c r="K40" s="110" t="s">
        <v>397</v>
      </c>
      <c r="L40" s="110" t="s">
        <v>397</v>
      </c>
      <c r="M40" s="110" t="s">
        <v>397</v>
      </c>
      <c r="N40" s="110" t="s">
        <v>397</v>
      </c>
      <c r="O40" s="111" t="s">
        <v>388</v>
      </c>
      <c r="P40" s="111" t="s">
        <v>388</v>
      </c>
      <c r="Q40" s="111" t="s">
        <v>397</v>
      </c>
      <c r="R40" s="111" t="s">
        <v>397</v>
      </c>
      <c r="S40" s="111" t="s">
        <v>388</v>
      </c>
      <c r="T40" s="113" t="s">
        <v>398</v>
      </c>
      <c r="U40" s="111" t="s">
        <v>390</v>
      </c>
      <c r="V40" s="114" t="s">
        <v>390</v>
      </c>
      <c r="W40" s="83" t="s">
        <v>399</v>
      </c>
      <c r="X40" s="114" t="s">
        <v>523</v>
      </c>
      <c r="Y40" s="114" t="s">
        <v>421</v>
      </c>
      <c r="Z40" s="114" t="s">
        <v>392</v>
      </c>
      <c r="AA40" t="s">
        <v>401</v>
      </c>
      <c r="AB40" t="s">
        <v>374</v>
      </c>
      <c r="AC40" t="s">
        <v>422</v>
      </c>
      <c r="AE40" t="s">
        <v>342</v>
      </c>
    </row>
    <row r="41" spans="1:31" x14ac:dyDescent="0.25">
      <c r="A41" s="74">
        <v>999</v>
      </c>
      <c r="B41" s="74" t="s">
        <v>539</v>
      </c>
      <c r="C41" s="74" t="s">
        <v>540</v>
      </c>
      <c r="D41" s="108" t="s">
        <v>388</v>
      </c>
      <c r="E41" s="108" t="s">
        <v>388</v>
      </c>
      <c r="F41" s="108" t="s">
        <v>388</v>
      </c>
      <c r="G41" s="108" t="s">
        <v>388</v>
      </c>
      <c r="H41" s="108" t="s">
        <v>388</v>
      </c>
      <c r="I41" s="109" t="s">
        <v>388</v>
      </c>
      <c r="J41" s="110" t="s">
        <v>397</v>
      </c>
      <c r="K41" s="110" t="s">
        <v>397</v>
      </c>
      <c r="L41" s="110" t="s">
        <v>397</v>
      </c>
      <c r="M41" s="110" t="s">
        <v>397</v>
      </c>
      <c r="N41" s="110" t="s">
        <v>397</v>
      </c>
      <c r="O41" s="111" t="s">
        <v>388</v>
      </c>
      <c r="P41" s="111" t="s">
        <v>388</v>
      </c>
      <c r="Q41" s="111" t="s">
        <v>397</v>
      </c>
      <c r="R41" s="111" t="s">
        <v>397</v>
      </c>
      <c r="S41" s="111" t="s">
        <v>397</v>
      </c>
      <c r="T41" s="113" t="s">
        <v>398</v>
      </c>
      <c r="U41" s="111" t="s">
        <v>390</v>
      </c>
      <c r="V41" s="114" t="s">
        <v>390</v>
      </c>
      <c r="W41" s="83" t="s">
        <v>399</v>
      </c>
      <c r="X41" s="114" t="s">
        <v>523</v>
      </c>
      <c r="Y41" s="114" t="s">
        <v>425</v>
      </c>
      <c r="Z41" s="114" t="s">
        <v>392</v>
      </c>
      <c r="AA41" t="s">
        <v>401</v>
      </c>
      <c r="AB41" t="s">
        <v>374</v>
      </c>
      <c r="AC41" t="s">
        <v>426</v>
      </c>
      <c r="AE41" t="s">
        <v>342</v>
      </c>
    </row>
    <row r="42" spans="1:31" x14ac:dyDescent="0.25">
      <c r="A42" s="74">
        <v>1000</v>
      </c>
      <c r="B42" s="74" t="s">
        <v>541</v>
      </c>
      <c r="C42" s="74" t="s">
        <v>542</v>
      </c>
      <c r="D42" s="108" t="s">
        <v>388</v>
      </c>
      <c r="E42" s="108" t="s">
        <v>388</v>
      </c>
      <c r="F42" s="108" t="s">
        <v>388</v>
      </c>
      <c r="G42" s="108" t="s">
        <v>388</v>
      </c>
      <c r="H42" s="108" t="s">
        <v>388</v>
      </c>
      <c r="I42" s="109" t="s">
        <v>388</v>
      </c>
      <c r="J42" s="110" t="s">
        <v>397</v>
      </c>
      <c r="K42" s="110" t="s">
        <v>397</v>
      </c>
      <c r="L42" s="110" t="s">
        <v>397</v>
      </c>
      <c r="M42" s="110" t="s">
        <v>397</v>
      </c>
      <c r="N42" s="110" t="s">
        <v>397</v>
      </c>
      <c r="O42" s="111" t="s">
        <v>388</v>
      </c>
      <c r="P42" s="111" t="s">
        <v>397</v>
      </c>
      <c r="Q42" s="111" t="s">
        <v>388</v>
      </c>
      <c r="R42" s="111" t="s">
        <v>388</v>
      </c>
      <c r="S42" s="111" t="s">
        <v>388</v>
      </c>
      <c r="T42" s="113" t="s">
        <v>398</v>
      </c>
      <c r="U42" s="111" t="s">
        <v>390</v>
      </c>
      <c r="V42" s="114" t="s">
        <v>390</v>
      </c>
      <c r="W42" s="83" t="s">
        <v>399</v>
      </c>
      <c r="X42" s="114" t="s">
        <v>523</v>
      </c>
      <c r="Y42" s="114" t="s">
        <v>429</v>
      </c>
      <c r="Z42" s="114" t="s">
        <v>392</v>
      </c>
      <c r="AA42" t="s">
        <v>401</v>
      </c>
      <c r="AB42" t="s">
        <v>374</v>
      </c>
      <c r="AC42" t="s">
        <v>430</v>
      </c>
      <c r="AE42" t="s">
        <v>342</v>
      </c>
    </row>
    <row r="43" spans="1:31" x14ac:dyDescent="0.25">
      <c r="A43" s="74">
        <v>1001</v>
      </c>
      <c r="B43" s="74" t="s">
        <v>543</v>
      </c>
      <c r="C43" s="74" t="s">
        <v>544</v>
      </c>
      <c r="D43" s="108" t="s">
        <v>388</v>
      </c>
      <c r="E43" s="108" t="s">
        <v>388</v>
      </c>
      <c r="F43" s="108" t="s">
        <v>388</v>
      </c>
      <c r="G43" s="108" t="s">
        <v>388</v>
      </c>
      <c r="H43" s="108" t="s">
        <v>388</v>
      </c>
      <c r="I43" s="109" t="s">
        <v>388</v>
      </c>
      <c r="J43" s="110" t="s">
        <v>397</v>
      </c>
      <c r="K43" s="110" t="s">
        <v>397</v>
      </c>
      <c r="L43" s="110" t="s">
        <v>397</v>
      </c>
      <c r="M43" s="110" t="s">
        <v>397</v>
      </c>
      <c r="N43" s="110" t="s">
        <v>397</v>
      </c>
      <c r="O43" s="111" t="s">
        <v>388</v>
      </c>
      <c r="P43" s="111" t="s">
        <v>397</v>
      </c>
      <c r="Q43" s="111" t="s">
        <v>388</v>
      </c>
      <c r="R43" s="111" t="s">
        <v>388</v>
      </c>
      <c r="S43" s="111" t="s">
        <v>397</v>
      </c>
      <c r="T43" s="113" t="s">
        <v>398</v>
      </c>
      <c r="U43" s="111" t="s">
        <v>390</v>
      </c>
      <c r="V43" s="114" t="s">
        <v>390</v>
      </c>
      <c r="W43" s="83" t="s">
        <v>399</v>
      </c>
      <c r="X43" s="114" t="s">
        <v>523</v>
      </c>
      <c r="Y43" s="114" t="s">
        <v>433</v>
      </c>
      <c r="Z43" s="114" t="s">
        <v>392</v>
      </c>
      <c r="AA43" t="s">
        <v>401</v>
      </c>
      <c r="AB43" t="s">
        <v>374</v>
      </c>
      <c r="AC43" t="s">
        <v>434</v>
      </c>
      <c r="AE43" t="s">
        <v>342</v>
      </c>
    </row>
    <row r="44" spans="1:31" x14ac:dyDescent="0.25">
      <c r="A44" s="74">
        <v>1002</v>
      </c>
      <c r="B44" s="74" t="s">
        <v>545</v>
      </c>
      <c r="C44" s="74" t="s">
        <v>546</v>
      </c>
      <c r="D44" s="108" t="s">
        <v>388</v>
      </c>
      <c r="E44" s="108" t="s">
        <v>388</v>
      </c>
      <c r="F44" s="108" t="s">
        <v>388</v>
      </c>
      <c r="G44" s="108" t="s">
        <v>388</v>
      </c>
      <c r="H44" s="108" t="s">
        <v>388</v>
      </c>
      <c r="I44" s="109" t="s">
        <v>388</v>
      </c>
      <c r="J44" s="110" t="s">
        <v>397</v>
      </c>
      <c r="K44" s="110" t="s">
        <v>397</v>
      </c>
      <c r="L44" s="110" t="s">
        <v>397</v>
      </c>
      <c r="M44" s="110" t="s">
        <v>397</v>
      </c>
      <c r="N44" s="110" t="s">
        <v>397</v>
      </c>
      <c r="O44" s="111" t="s">
        <v>388</v>
      </c>
      <c r="P44" s="111" t="s">
        <v>397</v>
      </c>
      <c r="Q44" s="111" t="s">
        <v>388</v>
      </c>
      <c r="R44" s="111" t="s">
        <v>397</v>
      </c>
      <c r="S44" s="111" t="s">
        <v>388</v>
      </c>
      <c r="T44" s="113" t="s">
        <v>398</v>
      </c>
      <c r="U44" s="111" t="s">
        <v>390</v>
      </c>
      <c r="V44" s="114" t="s">
        <v>390</v>
      </c>
      <c r="W44" s="83" t="s">
        <v>399</v>
      </c>
      <c r="X44" s="114" t="s">
        <v>523</v>
      </c>
      <c r="Y44" s="114" t="s">
        <v>437</v>
      </c>
      <c r="Z44" s="114" t="s">
        <v>392</v>
      </c>
      <c r="AA44" t="s">
        <v>401</v>
      </c>
      <c r="AB44" t="s">
        <v>374</v>
      </c>
      <c r="AC44" t="s">
        <v>438</v>
      </c>
      <c r="AE44" t="s">
        <v>342</v>
      </c>
    </row>
    <row r="45" spans="1:31" x14ac:dyDescent="0.25">
      <c r="A45" s="74">
        <v>1003</v>
      </c>
      <c r="B45" s="74" t="s">
        <v>547</v>
      </c>
      <c r="C45" s="74" t="s">
        <v>548</v>
      </c>
      <c r="D45" s="108" t="s">
        <v>388</v>
      </c>
      <c r="E45" s="108" t="s">
        <v>388</v>
      </c>
      <c r="F45" s="108" t="s">
        <v>388</v>
      </c>
      <c r="G45" s="108" t="s">
        <v>388</v>
      </c>
      <c r="H45" s="108" t="s">
        <v>388</v>
      </c>
      <c r="I45" s="109" t="s">
        <v>388</v>
      </c>
      <c r="J45" s="110" t="s">
        <v>397</v>
      </c>
      <c r="K45" s="110" t="s">
        <v>397</v>
      </c>
      <c r="L45" s="110" t="s">
        <v>397</v>
      </c>
      <c r="M45" s="110" t="s">
        <v>397</v>
      </c>
      <c r="N45" s="110" t="s">
        <v>397</v>
      </c>
      <c r="O45" s="111" t="s">
        <v>388</v>
      </c>
      <c r="P45" s="111" t="s">
        <v>397</v>
      </c>
      <c r="Q45" s="111" t="s">
        <v>388</v>
      </c>
      <c r="R45" s="111" t="s">
        <v>397</v>
      </c>
      <c r="S45" s="111" t="s">
        <v>397</v>
      </c>
      <c r="T45" s="113" t="s">
        <v>398</v>
      </c>
      <c r="U45" s="111" t="s">
        <v>390</v>
      </c>
      <c r="V45" s="114" t="s">
        <v>390</v>
      </c>
      <c r="W45" s="83" t="s">
        <v>399</v>
      </c>
      <c r="X45" s="114" t="s">
        <v>523</v>
      </c>
      <c r="Y45" s="114" t="s">
        <v>441</v>
      </c>
      <c r="Z45" s="114" t="s">
        <v>392</v>
      </c>
      <c r="AA45" t="s">
        <v>401</v>
      </c>
      <c r="AB45" t="s">
        <v>374</v>
      </c>
      <c r="AC45" t="s">
        <v>442</v>
      </c>
      <c r="AE45" t="s">
        <v>342</v>
      </c>
    </row>
    <row r="46" spans="1:31" x14ac:dyDescent="0.25">
      <c r="A46" s="74">
        <v>1004</v>
      </c>
      <c r="B46" s="74" t="s">
        <v>549</v>
      </c>
      <c r="C46" s="74" t="s">
        <v>550</v>
      </c>
      <c r="D46" s="108" t="s">
        <v>388</v>
      </c>
      <c r="E46" s="108" t="s">
        <v>388</v>
      </c>
      <c r="F46" s="108" t="s">
        <v>388</v>
      </c>
      <c r="G46" s="108" t="s">
        <v>388</v>
      </c>
      <c r="H46" s="108" t="s">
        <v>388</v>
      </c>
      <c r="I46" s="109" t="s">
        <v>388</v>
      </c>
      <c r="J46" s="110" t="s">
        <v>397</v>
      </c>
      <c r="K46" s="110" t="s">
        <v>397</v>
      </c>
      <c r="L46" s="110" t="s">
        <v>397</v>
      </c>
      <c r="M46" s="110" t="s">
        <v>397</v>
      </c>
      <c r="N46" s="110" t="s">
        <v>397</v>
      </c>
      <c r="O46" s="111" t="s">
        <v>388</v>
      </c>
      <c r="P46" s="111" t="s">
        <v>397</v>
      </c>
      <c r="Q46" s="111" t="s">
        <v>397</v>
      </c>
      <c r="R46" s="111" t="s">
        <v>388</v>
      </c>
      <c r="S46" s="111" t="s">
        <v>388</v>
      </c>
      <c r="T46" s="113" t="s">
        <v>398</v>
      </c>
      <c r="U46" s="111" t="s">
        <v>390</v>
      </c>
      <c r="V46" s="114" t="s">
        <v>390</v>
      </c>
      <c r="W46" s="83" t="s">
        <v>399</v>
      </c>
      <c r="X46" s="114" t="s">
        <v>523</v>
      </c>
      <c r="Y46" s="114" t="s">
        <v>445</v>
      </c>
      <c r="Z46" s="114" t="s">
        <v>392</v>
      </c>
      <c r="AA46" t="s">
        <v>401</v>
      </c>
      <c r="AB46" t="s">
        <v>374</v>
      </c>
      <c r="AC46" t="s">
        <v>446</v>
      </c>
      <c r="AE46" t="s">
        <v>342</v>
      </c>
    </row>
    <row r="47" spans="1:31" x14ac:dyDescent="0.25">
      <c r="A47" s="74">
        <v>1005</v>
      </c>
      <c r="B47" s="74" t="s">
        <v>551</v>
      </c>
      <c r="C47" s="74" t="s">
        <v>552</v>
      </c>
      <c r="D47" s="108" t="s">
        <v>388</v>
      </c>
      <c r="E47" s="108" t="s">
        <v>388</v>
      </c>
      <c r="F47" s="108" t="s">
        <v>388</v>
      </c>
      <c r="G47" s="108" t="s">
        <v>388</v>
      </c>
      <c r="H47" s="108" t="s">
        <v>388</v>
      </c>
      <c r="I47" s="109" t="s">
        <v>388</v>
      </c>
      <c r="J47" s="110" t="s">
        <v>397</v>
      </c>
      <c r="K47" s="110" t="s">
        <v>397</v>
      </c>
      <c r="L47" s="110" t="s">
        <v>397</v>
      </c>
      <c r="M47" s="110" t="s">
        <v>397</v>
      </c>
      <c r="N47" s="110" t="s">
        <v>397</v>
      </c>
      <c r="O47" s="111" t="s">
        <v>388</v>
      </c>
      <c r="P47" s="111" t="s">
        <v>397</v>
      </c>
      <c r="Q47" s="111" t="s">
        <v>397</v>
      </c>
      <c r="R47" s="111" t="s">
        <v>388</v>
      </c>
      <c r="S47" s="111" t="s">
        <v>397</v>
      </c>
      <c r="T47" s="113" t="s">
        <v>398</v>
      </c>
      <c r="U47" s="111" t="s">
        <v>390</v>
      </c>
      <c r="V47" s="114" t="s">
        <v>390</v>
      </c>
      <c r="W47" s="83" t="s">
        <v>399</v>
      </c>
      <c r="X47" s="114" t="s">
        <v>523</v>
      </c>
      <c r="Y47" s="114" t="s">
        <v>449</v>
      </c>
      <c r="Z47" s="114" t="s">
        <v>392</v>
      </c>
      <c r="AA47" t="s">
        <v>401</v>
      </c>
      <c r="AB47" t="s">
        <v>374</v>
      </c>
      <c r="AC47" t="s">
        <v>450</v>
      </c>
      <c r="AE47" t="s">
        <v>342</v>
      </c>
    </row>
    <row r="48" spans="1:31" x14ac:dyDescent="0.25">
      <c r="A48" s="74">
        <v>1006</v>
      </c>
      <c r="B48" s="74" t="s">
        <v>553</v>
      </c>
      <c r="C48" s="74" t="s">
        <v>554</v>
      </c>
      <c r="D48" s="108" t="s">
        <v>388</v>
      </c>
      <c r="E48" s="108" t="s">
        <v>388</v>
      </c>
      <c r="F48" s="108" t="s">
        <v>388</v>
      </c>
      <c r="G48" s="108" t="s">
        <v>388</v>
      </c>
      <c r="H48" s="108" t="s">
        <v>388</v>
      </c>
      <c r="I48" s="109" t="s">
        <v>388</v>
      </c>
      <c r="J48" s="110" t="s">
        <v>397</v>
      </c>
      <c r="K48" s="110" t="s">
        <v>397</v>
      </c>
      <c r="L48" s="110" t="s">
        <v>397</v>
      </c>
      <c r="M48" s="110" t="s">
        <v>397</v>
      </c>
      <c r="N48" s="110" t="s">
        <v>397</v>
      </c>
      <c r="O48" s="111" t="s">
        <v>388</v>
      </c>
      <c r="P48" s="111" t="s">
        <v>397</v>
      </c>
      <c r="Q48" s="111" t="s">
        <v>397</v>
      </c>
      <c r="R48" s="111" t="s">
        <v>397</v>
      </c>
      <c r="S48" s="111" t="s">
        <v>388</v>
      </c>
      <c r="T48" s="113" t="s">
        <v>398</v>
      </c>
      <c r="U48" s="111" t="s">
        <v>390</v>
      </c>
      <c r="V48" s="114" t="s">
        <v>390</v>
      </c>
      <c r="W48" s="83" t="s">
        <v>399</v>
      </c>
      <c r="X48" s="114" t="s">
        <v>523</v>
      </c>
      <c r="Y48" s="114" t="s">
        <v>453</v>
      </c>
      <c r="Z48" s="114" t="s">
        <v>392</v>
      </c>
      <c r="AA48" t="s">
        <v>401</v>
      </c>
      <c r="AB48" t="s">
        <v>374</v>
      </c>
      <c r="AC48" t="s">
        <v>454</v>
      </c>
      <c r="AE48" t="s">
        <v>342</v>
      </c>
    </row>
    <row r="49" spans="1:31" x14ac:dyDescent="0.25">
      <c r="A49" s="74">
        <v>1007</v>
      </c>
      <c r="B49" s="74" t="s">
        <v>555</v>
      </c>
      <c r="C49" s="74" t="s">
        <v>556</v>
      </c>
      <c r="D49" s="108" t="s">
        <v>388</v>
      </c>
      <c r="E49" s="108" t="s">
        <v>388</v>
      </c>
      <c r="F49" s="108" t="s">
        <v>388</v>
      </c>
      <c r="G49" s="108" t="s">
        <v>388</v>
      </c>
      <c r="H49" s="108" t="s">
        <v>388</v>
      </c>
      <c r="I49" s="109" t="s">
        <v>388</v>
      </c>
      <c r="J49" s="110" t="s">
        <v>397</v>
      </c>
      <c r="K49" s="110" t="s">
        <v>397</v>
      </c>
      <c r="L49" s="110" t="s">
        <v>397</v>
      </c>
      <c r="M49" s="110" t="s">
        <v>397</v>
      </c>
      <c r="N49" s="110" t="s">
        <v>397</v>
      </c>
      <c r="O49" s="111" t="s">
        <v>388</v>
      </c>
      <c r="P49" s="111" t="s">
        <v>397</v>
      </c>
      <c r="Q49" s="111" t="s">
        <v>397</v>
      </c>
      <c r="R49" s="111" t="s">
        <v>397</v>
      </c>
      <c r="S49" s="111" t="s">
        <v>397</v>
      </c>
      <c r="T49" s="113" t="s">
        <v>398</v>
      </c>
      <c r="U49" s="111" t="s">
        <v>390</v>
      </c>
      <c r="V49" s="114" t="s">
        <v>390</v>
      </c>
      <c r="W49" s="83" t="s">
        <v>399</v>
      </c>
      <c r="X49" s="114" t="s">
        <v>523</v>
      </c>
      <c r="Y49" s="114" t="s">
        <v>457</v>
      </c>
      <c r="Z49" s="114" t="s">
        <v>392</v>
      </c>
      <c r="AA49" t="s">
        <v>401</v>
      </c>
      <c r="AB49" t="s">
        <v>374</v>
      </c>
      <c r="AC49" t="s">
        <v>458</v>
      </c>
      <c r="AE49" t="s">
        <v>342</v>
      </c>
    </row>
    <row r="50" spans="1:31" x14ac:dyDescent="0.25">
      <c r="A50" s="74">
        <v>1008</v>
      </c>
      <c r="B50" s="74" t="s">
        <v>557</v>
      </c>
      <c r="C50" s="74" t="s">
        <v>558</v>
      </c>
      <c r="D50" s="108" t="s">
        <v>388</v>
      </c>
      <c r="E50" s="108" t="s">
        <v>388</v>
      </c>
      <c r="F50" s="108" t="s">
        <v>388</v>
      </c>
      <c r="G50" s="108" t="s">
        <v>388</v>
      </c>
      <c r="H50" s="108" t="s">
        <v>388</v>
      </c>
      <c r="I50" s="109" t="s">
        <v>388</v>
      </c>
      <c r="J50" s="110" t="s">
        <v>397</v>
      </c>
      <c r="K50" s="110" t="s">
        <v>397</v>
      </c>
      <c r="L50" s="110" t="s">
        <v>397</v>
      </c>
      <c r="M50" s="110" t="s">
        <v>397</v>
      </c>
      <c r="N50" s="110" t="s">
        <v>397</v>
      </c>
      <c r="O50" s="111" t="s">
        <v>397</v>
      </c>
      <c r="P50" s="111" t="s">
        <v>388</v>
      </c>
      <c r="Q50" s="111" t="s">
        <v>388</v>
      </c>
      <c r="R50" s="111" t="s">
        <v>388</v>
      </c>
      <c r="S50" s="111" t="s">
        <v>388</v>
      </c>
      <c r="T50" s="113" t="s">
        <v>398</v>
      </c>
      <c r="U50" s="111" t="s">
        <v>390</v>
      </c>
      <c r="V50" s="114" t="s">
        <v>390</v>
      </c>
      <c r="W50" s="83" t="s">
        <v>399</v>
      </c>
      <c r="X50" s="114" t="s">
        <v>523</v>
      </c>
      <c r="Y50" s="114" t="s">
        <v>461</v>
      </c>
      <c r="Z50" s="114" t="s">
        <v>392</v>
      </c>
      <c r="AA50" t="s">
        <v>401</v>
      </c>
      <c r="AB50" t="s">
        <v>374</v>
      </c>
      <c r="AC50" t="s">
        <v>462</v>
      </c>
      <c r="AE50" t="s">
        <v>342</v>
      </c>
    </row>
    <row r="51" spans="1:31" x14ac:dyDescent="0.25">
      <c r="A51" s="74">
        <v>1009</v>
      </c>
      <c r="B51" s="74" t="s">
        <v>559</v>
      </c>
      <c r="C51" s="74" t="s">
        <v>560</v>
      </c>
      <c r="D51" s="108" t="s">
        <v>388</v>
      </c>
      <c r="E51" s="108" t="s">
        <v>388</v>
      </c>
      <c r="F51" s="108" t="s">
        <v>388</v>
      </c>
      <c r="G51" s="108" t="s">
        <v>388</v>
      </c>
      <c r="H51" s="108" t="s">
        <v>388</v>
      </c>
      <c r="I51" s="109" t="s">
        <v>388</v>
      </c>
      <c r="J51" s="110" t="s">
        <v>397</v>
      </c>
      <c r="K51" s="110" t="s">
        <v>397</v>
      </c>
      <c r="L51" s="110" t="s">
        <v>397</v>
      </c>
      <c r="M51" s="110" t="s">
        <v>397</v>
      </c>
      <c r="N51" s="110" t="s">
        <v>397</v>
      </c>
      <c r="O51" s="111" t="s">
        <v>397</v>
      </c>
      <c r="P51" s="111" t="s">
        <v>388</v>
      </c>
      <c r="Q51" s="111" t="s">
        <v>388</v>
      </c>
      <c r="R51" s="111" t="s">
        <v>388</v>
      </c>
      <c r="S51" s="111" t="s">
        <v>397</v>
      </c>
      <c r="T51" s="113" t="s">
        <v>465</v>
      </c>
      <c r="U51" s="111" t="s">
        <v>390</v>
      </c>
      <c r="V51" s="114" t="s">
        <v>390</v>
      </c>
      <c r="W51" s="83" t="s">
        <v>399</v>
      </c>
      <c r="X51" s="114" t="s">
        <v>523</v>
      </c>
      <c r="Y51" s="114" t="s">
        <v>466</v>
      </c>
      <c r="Z51" s="114" t="s">
        <v>392</v>
      </c>
      <c r="AA51" t="s">
        <v>401</v>
      </c>
      <c r="AB51" t="s">
        <v>114</v>
      </c>
      <c r="AC51" t="s">
        <v>467</v>
      </c>
      <c r="AE51" t="s">
        <v>342</v>
      </c>
    </row>
    <row r="52" spans="1:31" x14ac:dyDescent="0.25">
      <c r="A52" s="74">
        <v>1010</v>
      </c>
      <c r="B52" s="74" t="s">
        <v>561</v>
      </c>
      <c r="C52" s="74" t="s">
        <v>562</v>
      </c>
      <c r="D52" s="108" t="s">
        <v>388</v>
      </c>
      <c r="E52" s="108" t="s">
        <v>388</v>
      </c>
      <c r="F52" s="108" t="s">
        <v>388</v>
      </c>
      <c r="G52" s="108" t="s">
        <v>388</v>
      </c>
      <c r="H52" s="108" t="s">
        <v>388</v>
      </c>
      <c r="I52" s="109" t="s">
        <v>388</v>
      </c>
      <c r="J52" s="110" t="s">
        <v>397</v>
      </c>
      <c r="K52" s="110" t="s">
        <v>397</v>
      </c>
      <c r="L52" s="110" t="s">
        <v>397</v>
      </c>
      <c r="M52" s="110" t="s">
        <v>397</v>
      </c>
      <c r="N52" s="110" t="s">
        <v>397</v>
      </c>
      <c r="O52" s="111" t="s">
        <v>397</v>
      </c>
      <c r="P52" s="111" t="s">
        <v>388</v>
      </c>
      <c r="Q52" s="111" t="s">
        <v>388</v>
      </c>
      <c r="R52" s="111" t="s">
        <v>397</v>
      </c>
      <c r="S52" s="111" t="s">
        <v>388</v>
      </c>
      <c r="T52" s="113" t="s">
        <v>398</v>
      </c>
      <c r="U52" s="111" t="s">
        <v>390</v>
      </c>
      <c r="V52" s="114" t="s">
        <v>390</v>
      </c>
      <c r="W52" s="83" t="s">
        <v>399</v>
      </c>
      <c r="X52" s="114" t="s">
        <v>523</v>
      </c>
      <c r="Y52" s="114" t="s">
        <v>470</v>
      </c>
      <c r="Z52" s="114" t="s">
        <v>392</v>
      </c>
      <c r="AA52" t="s">
        <v>401</v>
      </c>
      <c r="AB52" t="s">
        <v>374</v>
      </c>
      <c r="AC52" t="s">
        <v>471</v>
      </c>
      <c r="AE52" t="s">
        <v>342</v>
      </c>
    </row>
    <row r="53" spans="1:31" x14ac:dyDescent="0.25">
      <c r="A53" s="74">
        <v>1011</v>
      </c>
      <c r="B53" s="74" t="s">
        <v>563</v>
      </c>
      <c r="C53" s="74" t="s">
        <v>564</v>
      </c>
      <c r="D53" s="108" t="s">
        <v>388</v>
      </c>
      <c r="E53" s="108" t="s">
        <v>388</v>
      </c>
      <c r="F53" s="108" t="s">
        <v>388</v>
      </c>
      <c r="G53" s="108" t="s">
        <v>388</v>
      </c>
      <c r="H53" s="108" t="s">
        <v>388</v>
      </c>
      <c r="I53" s="109" t="s">
        <v>388</v>
      </c>
      <c r="J53" s="110" t="s">
        <v>397</v>
      </c>
      <c r="K53" s="110" t="s">
        <v>397</v>
      </c>
      <c r="L53" s="110" t="s">
        <v>397</v>
      </c>
      <c r="M53" s="110" t="s">
        <v>397</v>
      </c>
      <c r="N53" s="110" t="s">
        <v>397</v>
      </c>
      <c r="O53" s="111" t="s">
        <v>397</v>
      </c>
      <c r="P53" s="111" t="s">
        <v>388</v>
      </c>
      <c r="Q53" s="111" t="s">
        <v>388</v>
      </c>
      <c r="R53" s="111" t="s">
        <v>397</v>
      </c>
      <c r="S53" s="111" t="s">
        <v>397</v>
      </c>
      <c r="T53" s="113" t="s">
        <v>398</v>
      </c>
      <c r="U53" s="111" t="s">
        <v>390</v>
      </c>
      <c r="V53" s="114" t="s">
        <v>390</v>
      </c>
      <c r="W53" s="83" t="s">
        <v>399</v>
      </c>
      <c r="X53" s="114" t="s">
        <v>523</v>
      </c>
      <c r="Y53" s="114" t="s">
        <v>474</v>
      </c>
      <c r="Z53" s="114" t="s">
        <v>392</v>
      </c>
      <c r="AA53" t="s">
        <v>401</v>
      </c>
      <c r="AB53" t="s">
        <v>374</v>
      </c>
      <c r="AC53" t="s">
        <v>475</v>
      </c>
      <c r="AE53" t="s">
        <v>342</v>
      </c>
    </row>
    <row r="54" spans="1:31" x14ac:dyDescent="0.25">
      <c r="A54" s="74">
        <v>1012</v>
      </c>
      <c r="B54" s="74" t="s">
        <v>565</v>
      </c>
      <c r="C54" s="74" t="s">
        <v>566</v>
      </c>
      <c r="D54" s="108" t="s">
        <v>388</v>
      </c>
      <c r="E54" s="108" t="s">
        <v>388</v>
      </c>
      <c r="F54" s="108" t="s">
        <v>388</v>
      </c>
      <c r="G54" s="108" t="s">
        <v>388</v>
      </c>
      <c r="H54" s="108" t="s">
        <v>388</v>
      </c>
      <c r="I54" s="109" t="s">
        <v>388</v>
      </c>
      <c r="J54" s="110" t="s">
        <v>397</v>
      </c>
      <c r="K54" s="110" t="s">
        <v>397</v>
      </c>
      <c r="L54" s="110" t="s">
        <v>397</v>
      </c>
      <c r="M54" s="110" t="s">
        <v>397</v>
      </c>
      <c r="N54" s="110" t="s">
        <v>397</v>
      </c>
      <c r="O54" s="111" t="s">
        <v>397</v>
      </c>
      <c r="P54" s="111" t="s">
        <v>388</v>
      </c>
      <c r="Q54" s="111" t="s">
        <v>397</v>
      </c>
      <c r="R54" s="111" t="s">
        <v>388</v>
      </c>
      <c r="S54" s="111" t="s">
        <v>388</v>
      </c>
      <c r="T54" s="113" t="s">
        <v>478</v>
      </c>
      <c r="U54" s="111" t="s">
        <v>390</v>
      </c>
      <c r="V54" s="114" t="s">
        <v>390</v>
      </c>
      <c r="W54" s="83" t="s">
        <v>399</v>
      </c>
      <c r="X54" s="114" t="s">
        <v>523</v>
      </c>
      <c r="Y54" s="114" t="s">
        <v>479</v>
      </c>
      <c r="Z54" s="114" t="s">
        <v>392</v>
      </c>
      <c r="AA54" t="s">
        <v>401</v>
      </c>
      <c r="AB54" t="s">
        <v>372</v>
      </c>
      <c r="AC54" t="s">
        <v>386</v>
      </c>
      <c r="AE54" t="s">
        <v>342</v>
      </c>
    </row>
    <row r="55" spans="1:31" x14ac:dyDescent="0.25">
      <c r="A55" s="74">
        <v>1013</v>
      </c>
      <c r="B55" s="74" t="s">
        <v>567</v>
      </c>
      <c r="C55" s="74" t="s">
        <v>568</v>
      </c>
      <c r="D55" s="108" t="s">
        <v>388</v>
      </c>
      <c r="E55" s="108" t="s">
        <v>388</v>
      </c>
      <c r="F55" s="108" t="s">
        <v>388</v>
      </c>
      <c r="G55" s="108" t="s">
        <v>388</v>
      </c>
      <c r="H55" s="108" t="s">
        <v>388</v>
      </c>
      <c r="I55" s="109" t="s">
        <v>388</v>
      </c>
      <c r="J55" s="110" t="s">
        <v>397</v>
      </c>
      <c r="K55" s="110" t="s">
        <v>397</v>
      </c>
      <c r="L55" s="110" t="s">
        <v>397</v>
      </c>
      <c r="M55" s="110" t="s">
        <v>397</v>
      </c>
      <c r="N55" s="110" t="s">
        <v>397</v>
      </c>
      <c r="O55" s="111" t="s">
        <v>397</v>
      </c>
      <c r="P55" s="111" t="s">
        <v>388</v>
      </c>
      <c r="Q55" s="111" t="s">
        <v>397</v>
      </c>
      <c r="R55" s="111" t="s">
        <v>388</v>
      </c>
      <c r="S55" s="111" t="s">
        <v>397</v>
      </c>
      <c r="T55" s="113" t="s">
        <v>482</v>
      </c>
      <c r="U55" s="111" t="s">
        <v>390</v>
      </c>
      <c r="V55" s="114" t="s">
        <v>390</v>
      </c>
      <c r="W55" s="83" t="s">
        <v>399</v>
      </c>
      <c r="X55" s="114" t="s">
        <v>523</v>
      </c>
      <c r="Y55" s="114" t="s">
        <v>483</v>
      </c>
      <c r="Z55" s="114" t="s">
        <v>392</v>
      </c>
      <c r="AA55" t="s">
        <v>401</v>
      </c>
      <c r="AB55" t="s">
        <v>373</v>
      </c>
      <c r="AC55" t="s">
        <v>484</v>
      </c>
      <c r="AE55" t="s">
        <v>342</v>
      </c>
    </row>
    <row r="56" spans="1:31" x14ac:dyDescent="0.25">
      <c r="A56" s="74">
        <v>1014</v>
      </c>
      <c r="B56" s="74" t="s">
        <v>569</v>
      </c>
      <c r="C56" s="74" t="s">
        <v>570</v>
      </c>
      <c r="D56" s="108" t="s">
        <v>388</v>
      </c>
      <c r="E56" s="108" t="s">
        <v>388</v>
      </c>
      <c r="F56" s="108" t="s">
        <v>388</v>
      </c>
      <c r="G56" s="108" t="s">
        <v>388</v>
      </c>
      <c r="H56" s="108" t="s">
        <v>388</v>
      </c>
      <c r="I56" s="109" t="s">
        <v>388</v>
      </c>
      <c r="J56" s="110" t="s">
        <v>397</v>
      </c>
      <c r="K56" s="110" t="s">
        <v>397</v>
      </c>
      <c r="L56" s="110" t="s">
        <v>397</v>
      </c>
      <c r="M56" s="110" t="s">
        <v>397</v>
      </c>
      <c r="N56" s="110" t="s">
        <v>397</v>
      </c>
      <c r="O56" s="111" t="s">
        <v>397</v>
      </c>
      <c r="P56" s="111" t="s">
        <v>388</v>
      </c>
      <c r="Q56" s="111" t="s">
        <v>397</v>
      </c>
      <c r="R56" s="111" t="s">
        <v>397</v>
      </c>
      <c r="S56" s="111" t="s">
        <v>388</v>
      </c>
      <c r="T56" s="113" t="s">
        <v>398</v>
      </c>
      <c r="U56" s="111" t="s">
        <v>390</v>
      </c>
      <c r="V56" s="114" t="s">
        <v>390</v>
      </c>
      <c r="W56" s="83" t="s">
        <v>399</v>
      </c>
      <c r="X56" s="114" t="s">
        <v>523</v>
      </c>
      <c r="Y56" s="114" t="s">
        <v>487</v>
      </c>
      <c r="Z56" s="114" t="s">
        <v>392</v>
      </c>
      <c r="AA56" t="s">
        <v>401</v>
      </c>
      <c r="AB56" t="s">
        <v>374</v>
      </c>
      <c r="AC56" t="s">
        <v>488</v>
      </c>
      <c r="AE56" t="s">
        <v>342</v>
      </c>
    </row>
    <row r="57" spans="1:31" x14ac:dyDescent="0.25">
      <c r="A57" s="74">
        <v>1015</v>
      </c>
      <c r="B57" s="74" t="s">
        <v>571</v>
      </c>
      <c r="C57" s="74" t="s">
        <v>572</v>
      </c>
      <c r="D57" s="108" t="s">
        <v>388</v>
      </c>
      <c r="E57" s="108" t="s">
        <v>388</v>
      </c>
      <c r="F57" s="108" t="s">
        <v>388</v>
      </c>
      <c r="G57" s="108" t="s">
        <v>388</v>
      </c>
      <c r="H57" s="108" t="s">
        <v>388</v>
      </c>
      <c r="I57" s="109" t="s">
        <v>388</v>
      </c>
      <c r="J57" s="110" t="s">
        <v>397</v>
      </c>
      <c r="K57" s="110" t="s">
        <v>397</v>
      </c>
      <c r="L57" s="110" t="s">
        <v>397</v>
      </c>
      <c r="M57" s="110" t="s">
        <v>397</v>
      </c>
      <c r="N57" s="110" t="s">
        <v>397</v>
      </c>
      <c r="O57" s="111" t="s">
        <v>397</v>
      </c>
      <c r="P57" s="111" t="s">
        <v>388</v>
      </c>
      <c r="Q57" s="111" t="s">
        <v>397</v>
      </c>
      <c r="R57" s="111" t="s">
        <v>397</v>
      </c>
      <c r="S57" s="111" t="s">
        <v>397</v>
      </c>
      <c r="T57" s="113" t="s">
        <v>398</v>
      </c>
      <c r="U57" s="111" t="s">
        <v>390</v>
      </c>
      <c r="V57" s="114" t="s">
        <v>390</v>
      </c>
      <c r="W57" s="83" t="s">
        <v>399</v>
      </c>
      <c r="X57" s="114" t="s">
        <v>523</v>
      </c>
      <c r="Y57" s="114" t="s">
        <v>491</v>
      </c>
      <c r="Z57" s="114" t="s">
        <v>392</v>
      </c>
      <c r="AA57" t="s">
        <v>401</v>
      </c>
      <c r="AB57" t="s">
        <v>374</v>
      </c>
      <c r="AC57" t="s">
        <v>492</v>
      </c>
      <c r="AE57" t="s">
        <v>342</v>
      </c>
    </row>
    <row r="58" spans="1:31" x14ac:dyDescent="0.25">
      <c r="A58" s="74">
        <v>1016</v>
      </c>
      <c r="B58" s="74" t="s">
        <v>573</v>
      </c>
      <c r="C58" s="74" t="s">
        <v>574</v>
      </c>
      <c r="D58" s="108" t="s">
        <v>388</v>
      </c>
      <c r="E58" s="108" t="s">
        <v>388</v>
      </c>
      <c r="F58" s="108" t="s">
        <v>388</v>
      </c>
      <c r="G58" s="108" t="s">
        <v>388</v>
      </c>
      <c r="H58" s="108" t="s">
        <v>388</v>
      </c>
      <c r="I58" s="109" t="s">
        <v>388</v>
      </c>
      <c r="J58" s="110" t="s">
        <v>397</v>
      </c>
      <c r="K58" s="110" t="s">
        <v>397</v>
      </c>
      <c r="L58" s="110" t="s">
        <v>397</v>
      </c>
      <c r="M58" s="110" t="s">
        <v>397</v>
      </c>
      <c r="N58" s="110" t="s">
        <v>397</v>
      </c>
      <c r="O58" s="111" t="s">
        <v>397</v>
      </c>
      <c r="P58" s="111" t="s">
        <v>397</v>
      </c>
      <c r="Q58" s="111" t="s">
        <v>388</v>
      </c>
      <c r="R58" s="111" t="s">
        <v>388</v>
      </c>
      <c r="S58" s="111" t="s">
        <v>388</v>
      </c>
      <c r="T58" s="113" t="s">
        <v>398</v>
      </c>
      <c r="U58" s="111" t="s">
        <v>390</v>
      </c>
      <c r="V58" s="114" t="s">
        <v>390</v>
      </c>
      <c r="W58" s="83" t="s">
        <v>399</v>
      </c>
      <c r="X58" s="114" t="s">
        <v>523</v>
      </c>
      <c r="Y58" s="114" t="s">
        <v>495</v>
      </c>
      <c r="Z58" s="114" t="s">
        <v>392</v>
      </c>
      <c r="AA58" t="s">
        <v>401</v>
      </c>
      <c r="AB58" t="s">
        <v>374</v>
      </c>
      <c r="AC58" t="s">
        <v>496</v>
      </c>
      <c r="AE58" t="s">
        <v>342</v>
      </c>
    </row>
    <row r="59" spans="1:31" x14ac:dyDescent="0.25">
      <c r="A59" s="74">
        <v>1017</v>
      </c>
      <c r="B59" s="74" t="s">
        <v>575</v>
      </c>
      <c r="C59" s="74" t="s">
        <v>576</v>
      </c>
      <c r="D59" s="108" t="s">
        <v>388</v>
      </c>
      <c r="E59" s="108" t="s">
        <v>388</v>
      </c>
      <c r="F59" s="108" t="s">
        <v>388</v>
      </c>
      <c r="G59" s="108" t="s">
        <v>388</v>
      </c>
      <c r="H59" s="108" t="s">
        <v>388</v>
      </c>
      <c r="I59" s="109" t="s">
        <v>388</v>
      </c>
      <c r="J59" s="110" t="s">
        <v>397</v>
      </c>
      <c r="K59" s="110" t="s">
        <v>397</v>
      </c>
      <c r="L59" s="110" t="s">
        <v>397</v>
      </c>
      <c r="M59" s="110" t="s">
        <v>397</v>
      </c>
      <c r="N59" s="110" t="s">
        <v>397</v>
      </c>
      <c r="O59" s="111" t="s">
        <v>397</v>
      </c>
      <c r="P59" s="111" t="s">
        <v>397</v>
      </c>
      <c r="Q59" s="111" t="s">
        <v>388</v>
      </c>
      <c r="R59" s="111" t="s">
        <v>388</v>
      </c>
      <c r="S59" s="111" t="s">
        <v>397</v>
      </c>
      <c r="T59" s="113" t="s">
        <v>398</v>
      </c>
      <c r="U59" s="111" t="s">
        <v>390</v>
      </c>
      <c r="V59" s="114" t="s">
        <v>390</v>
      </c>
      <c r="W59" s="83" t="s">
        <v>399</v>
      </c>
      <c r="X59" s="114" t="s">
        <v>523</v>
      </c>
      <c r="Y59" s="114" t="s">
        <v>499</v>
      </c>
      <c r="Z59" s="114" t="s">
        <v>392</v>
      </c>
      <c r="AA59" t="s">
        <v>401</v>
      </c>
      <c r="AB59" t="s">
        <v>374</v>
      </c>
      <c r="AC59" t="s">
        <v>500</v>
      </c>
      <c r="AE59" t="s">
        <v>342</v>
      </c>
    </row>
    <row r="60" spans="1:31" x14ac:dyDescent="0.25">
      <c r="A60" s="74">
        <v>1018</v>
      </c>
      <c r="B60" s="74" t="s">
        <v>577</v>
      </c>
      <c r="C60" s="74" t="s">
        <v>578</v>
      </c>
      <c r="D60" s="108" t="s">
        <v>388</v>
      </c>
      <c r="E60" s="108" t="s">
        <v>388</v>
      </c>
      <c r="F60" s="108" t="s">
        <v>388</v>
      </c>
      <c r="G60" s="108" t="s">
        <v>388</v>
      </c>
      <c r="H60" s="108" t="s">
        <v>388</v>
      </c>
      <c r="I60" s="109" t="s">
        <v>388</v>
      </c>
      <c r="J60" s="110" t="s">
        <v>397</v>
      </c>
      <c r="K60" s="110" t="s">
        <v>397</v>
      </c>
      <c r="L60" s="110" t="s">
        <v>397</v>
      </c>
      <c r="M60" s="110" t="s">
        <v>397</v>
      </c>
      <c r="N60" s="110" t="s">
        <v>397</v>
      </c>
      <c r="O60" s="111" t="s">
        <v>397</v>
      </c>
      <c r="P60" s="111" t="s">
        <v>397</v>
      </c>
      <c r="Q60" s="111" t="s">
        <v>388</v>
      </c>
      <c r="R60" s="111" t="s">
        <v>397</v>
      </c>
      <c r="S60" s="111" t="s">
        <v>388</v>
      </c>
      <c r="T60" s="113" t="s">
        <v>398</v>
      </c>
      <c r="U60" s="111" t="s">
        <v>390</v>
      </c>
      <c r="V60" s="114" t="s">
        <v>390</v>
      </c>
      <c r="W60" s="83" t="s">
        <v>399</v>
      </c>
      <c r="X60" s="114" t="s">
        <v>523</v>
      </c>
      <c r="Y60" s="114" t="s">
        <v>503</v>
      </c>
      <c r="Z60" s="114" t="s">
        <v>392</v>
      </c>
      <c r="AA60" t="s">
        <v>401</v>
      </c>
      <c r="AB60" t="s">
        <v>374</v>
      </c>
      <c r="AC60" t="s">
        <v>504</v>
      </c>
      <c r="AE60" t="s">
        <v>342</v>
      </c>
    </row>
    <row r="61" spans="1:31" x14ac:dyDescent="0.25">
      <c r="A61" s="74">
        <v>1019</v>
      </c>
      <c r="B61" s="74" t="s">
        <v>579</v>
      </c>
      <c r="C61" s="74" t="s">
        <v>580</v>
      </c>
      <c r="D61" s="108" t="s">
        <v>388</v>
      </c>
      <c r="E61" s="108" t="s">
        <v>388</v>
      </c>
      <c r="F61" s="108" t="s">
        <v>388</v>
      </c>
      <c r="G61" s="108" t="s">
        <v>388</v>
      </c>
      <c r="H61" s="108" t="s">
        <v>388</v>
      </c>
      <c r="I61" s="109" t="s">
        <v>388</v>
      </c>
      <c r="J61" s="110" t="s">
        <v>397</v>
      </c>
      <c r="K61" s="110" t="s">
        <v>397</v>
      </c>
      <c r="L61" s="110" t="s">
        <v>397</v>
      </c>
      <c r="M61" s="110" t="s">
        <v>397</v>
      </c>
      <c r="N61" s="110" t="s">
        <v>397</v>
      </c>
      <c r="O61" s="111" t="s">
        <v>397</v>
      </c>
      <c r="P61" s="111" t="s">
        <v>397</v>
      </c>
      <c r="Q61" s="111" t="s">
        <v>388</v>
      </c>
      <c r="R61" s="111" t="s">
        <v>397</v>
      </c>
      <c r="S61" s="111" t="s">
        <v>397</v>
      </c>
      <c r="T61" s="113" t="s">
        <v>398</v>
      </c>
      <c r="U61" s="111" t="s">
        <v>390</v>
      </c>
      <c r="V61" s="114" t="s">
        <v>390</v>
      </c>
      <c r="W61" s="83" t="s">
        <v>399</v>
      </c>
      <c r="X61" s="114" t="s">
        <v>523</v>
      </c>
      <c r="Y61" s="114" t="s">
        <v>507</v>
      </c>
      <c r="Z61" s="114" t="s">
        <v>392</v>
      </c>
      <c r="AA61" t="s">
        <v>401</v>
      </c>
      <c r="AB61" t="s">
        <v>374</v>
      </c>
      <c r="AC61" t="s">
        <v>508</v>
      </c>
      <c r="AE61" t="s">
        <v>342</v>
      </c>
    </row>
    <row r="62" spans="1:31" x14ac:dyDescent="0.25">
      <c r="A62" s="74">
        <v>1020</v>
      </c>
      <c r="B62" s="74" t="s">
        <v>581</v>
      </c>
      <c r="C62" s="74" t="s">
        <v>582</v>
      </c>
      <c r="D62" s="108" t="s">
        <v>388</v>
      </c>
      <c r="E62" s="108" t="s">
        <v>388</v>
      </c>
      <c r="F62" s="108" t="s">
        <v>388</v>
      </c>
      <c r="G62" s="108" t="s">
        <v>388</v>
      </c>
      <c r="H62" s="108" t="s">
        <v>388</v>
      </c>
      <c r="I62" s="109" t="s">
        <v>388</v>
      </c>
      <c r="J62" s="110" t="s">
        <v>397</v>
      </c>
      <c r="K62" s="110" t="s">
        <v>397</v>
      </c>
      <c r="L62" s="110" t="s">
        <v>397</v>
      </c>
      <c r="M62" s="110" t="s">
        <v>397</v>
      </c>
      <c r="N62" s="110" t="s">
        <v>397</v>
      </c>
      <c r="O62" s="111" t="s">
        <v>397</v>
      </c>
      <c r="P62" s="111" t="s">
        <v>397</v>
      </c>
      <c r="Q62" s="111" t="s">
        <v>397</v>
      </c>
      <c r="R62" s="111" t="s">
        <v>388</v>
      </c>
      <c r="S62" s="111" t="s">
        <v>388</v>
      </c>
      <c r="T62" s="113" t="s">
        <v>398</v>
      </c>
      <c r="U62" s="111" t="s">
        <v>390</v>
      </c>
      <c r="V62" s="114" t="s">
        <v>390</v>
      </c>
      <c r="W62" s="83" t="s">
        <v>399</v>
      </c>
      <c r="X62" s="114" t="s">
        <v>523</v>
      </c>
      <c r="Y62" s="114" t="s">
        <v>511</v>
      </c>
      <c r="Z62" s="114" t="s">
        <v>392</v>
      </c>
      <c r="AA62" t="s">
        <v>401</v>
      </c>
      <c r="AB62" t="s">
        <v>374</v>
      </c>
      <c r="AC62" t="s">
        <v>512</v>
      </c>
      <c r="AE62" t="s">
        <v>342</v>
      </c>
    </row>
    <row r="63" spans="1:31" x14ac:dyDescent="0.25">
      <c r="A63" s="74">
        <v>1021</v>
      </c>
      <c r="B63" s="74" t="s">
        <v>583</v>
      </c>
      <c r="C63" s="74" t="s">
        <v>584</v>
      </c>
      <c r="D63" s="108" t="s">
        <v>388</v>
      </c>
      <c r="E63" s="108" t="s">
        <v>388</v>
      </c>
      <c r="F63" s="108" t="s">
        <v>388</v>
      </c>
      <c r="G63" s="108" t="s">
        <v>388</v>
      </c>
      <c r="H63" s="108" t="s">
        <v>388</v>
      </c>
      <c r="I63" s="109" t="s">
        <v>388</v>
      </c>
      <c r="J63" s="110" t="s">
        <v>397</v>
      </c>
      <c r="K63" s="110" t="s">
        <v>397</v>
      </c>
      <c r="L63" s="110" t="s">
        <v>397</v>
      </c>
      <c r="M63" s="110" t="s">
        <v>397</v>
      </c>
      <c r="N63" s="110" t="s">
        <v>397</v>
      </c>
      <c r="O63" s="111" t="s">
        <v>397</v>
      </c>
      <c r="P63" s="111" t="s">
        <v>397</v>
      </c>
      <c r="Q63" s="111" t="s">
        <v>397</v>
      </c>
      <c r="R63" s="111" t="s">
        <v>388</v>
      </c>
      <c r="S63" s="111" t="s">
        <v>397</v>
      </c>
      <c r="T63" s="113" t="s">
        <v>398</v>
      </c>
      <c r="U63" s="111" t="s">
        <v>390</v>
      </c>
      <c r="V63" s="114" t="s">
        <v>390</v>
      </c>
      <c r="W63" s="83" t="s">
        <v>399</v>
      </c>
      <c r="X63" s="114" t="s">
        <v>523</v>
      </c>
      <c r="Y63" s="114" t="s">
        <v>515</v>
      </c>
      <c r="Z63" s="114" t="s">
        <v>392</v>
      </c>
      <c r="AA63" t="s">
        <v>401</v>
      </c>
      <c r="AB63" t="s">
        <v>374</v>
      </c>
      <c r="AC63" t="s">
        <v>516</v>
      </c>
      <c r="AE63" t="s">
        <v>342</v>
      </c>
    </row>
    <row r="64" spans="1:31" x14ac:dyDescent="0.25">
      <c r="A64" s="74">
        <v>1022</v>
      </c>
      <c r="B64" s="74" t="s">
        <v>585</v>
      </c>
      <c r="C64" s="74" t="s">
        <v>586</v>
      </c>
      <c r="D64" s="108" t="s">
        <v>388</v>
      </c>
      <c r="E64" s="108" t="s">
        <v>388</v>
      </c>
      <c r="F64" s="108" t="s">
        <v>388</v>
      </c>
      <c r="G64" s="108" t="s">
        <v>388</v>
      </c>
      <c r="H64" s="108" t="s">
        <v>388</v>
      </c>
      <c r="I64" s="109" t="s">
        <v>388</v>
      </c>
      <c r="J64" s="110" t="s">
        <v>397</v>
      </c>
      <c r="K64" s="110" t="s">
        <v>397</v>
      </c>
      <c r="L64" s="110" t="s">
        <v>397</v>
      </c>
      <c r="M64" s="110" t="s">
        <v>397</v>
      </c>
      <c r="N64" s="110" t="s">
        <v>397</v>
      </c>
      <c r="O64" s="111" t="s">
        <v>397</v>
      </c>
      <c r="P64" s="111" t="s">
        <v>397</v>
      </c>
      <c r="Q64" s="111" t="s">
        <v>397</v>
      </c>
      <c r="R64" s="111" t="s">
        <v>397</v>
      </c>
      <c r="S64" s="111" t="s">
        <v>388</v>
      </c>
      <c r="T64" s="113" t="s">
        <v>398</v>
      </c>
      <c r="U64" s="111" t="s">
        <v>390</v>
      </c>
      <c r="V64" s="114" t="s">
        <v>390</v>
      </c>
      <c r="W64" s="83" t="s">
        <v>399</v>
      </c>
      <c r="X64" s="114" t="s">
        <v>523</v>
      </c>
      <c r="Y64" s="114" t="s">
        <v>519</v>
      </c>
      <c r="Z64" s="114" t="s">
        <v>392</v>
      </c>
      <c r="AA64" t="s">
        <v>401</v>
      </c>
      <c r="AB64" t="s">
        <v>374</v>
      </c>
      <c r="AC64" t="s">
        <v>520</v>
      </c>
      <c r="AE64" t="s">
        <v>342</v>
      </c>
    </row>
    <row r="65" spans="1:31" x14ac:dyDescent="0.25">
      <c r="A65" s="74">
        <v>1023</v>
      </c>
      <c r="B65" s="74" t="s">
        <v>587</v>
      </c>
      <c r="C65" s="74" t="s">
        <v>588</v>
      </c>
      <c r="D65" s="108" t="s">
        <v>388</v>
      </c>
      <c r="E65" s="108" t="s">
        <v>388</v>
      </c>
      <c r="F65" s="108" t="s">
        <v>388</v>
      </c>
      <c r="G65" s="108" t="s">
        <v>388</v>
      </c>
      <c r="H65" s="108" t="s">
        <v>388</v>
      </c>
      <c r="I65" s="109" t="s">
        <v>388</v>
      </c>
      <c r="J65" s="110" t="s">
        <v>397</v>
      </c>
      <c r="K65" s="110" t="s">
        <v>397</v>
      </c>
      <c r="L65" s="110" t="s">
        <v>397</v>
      </c>
      <c r="M65" s="110" t="s">
        <v>397</v>
      </c>
      <c r="N65" s="110" t="s">
        <v>397</v>
      </c>
      <c r="O65" s="111" t="s">
        <v>397</v>
      </c>
      <c r="P65" s="111" t="s">
        <v>397</v>
      </c>
      <c r="Q65" s="111" t="s">
        <v>397</v>
      </c>
      <c r="R65" s="111" t="s">
        <v>397</v>
      </c>
      <c r="S65" s="111" t="s">
        <v>397</v>
      </c>
      <c r="T65" s="113" t="s">
        <v>398</v>
      </c>
      <c r="U65" s="111" t="s">
        <v>390</v>
      </c>
      <c r="V65" s="114" t="s">
        <v>390</v>
      </c>
      <c r="W65" s="83" t="s">
        <v>399</v>
      </c>
      <c r="X65" s="114" t="s">
        <v>523</v>
      </c>
      <c r="Y65" s="114" t="s">
        <v>523</v>
      </c>
      <c r="Z65" s="114" t="s">
        <v>392</v>
      </c>
      <c r="AA65" t="s">
        <v>401</v>
      </c>
      <c r="AB65" t="s">
        <v>374</v>
      </c>
      <c r="AC65" t="s">
        <v>524</v>
      </c>
      <c r="AE65" t="s">
        <v>342</v>
      </c>
    </row>
    <row r="66" spans="1:31" x14ac:dyDescent="0.25">
      <c r="A66" s="74">
        <v>1024</v>
      </c>
      <c r="B66" s="74" t="s">
        <v>589</v>
      </c>
      <c r="C66" s="74" t="s">
        <v>590</v>
      </c>
      <c r="D66" s="108" t="s">
        <v>388</v>
      </c>
      <c r="E66" s="108" t="s">
        <v>388</v>
      </c>
      <c r="F66" s="108" t="s">
        <v>388</v>
      </c>
      <c r="G66" s="108" t="s">
        <v>388</v>
      </c>
      <c r="H66" s="108" t="s">
        <v>388</v>
      </c>
      <c r="I66" s="109" t="s">
        <v>397</v>
      </c>
      <c r="J66" s="110" t="s">
        <v>388</v>
      </c>
      <c r="K66" s="110" t="s">
        <v>388</v>
      </c>
      <c r="L66" s="110" t="s">
        <v>388</v>
      </c>
      <c r="M66" s="110" t="s">
        <v>388</v>
      </c>
      <c r="N66" s="110" t="s">
        <v>388</v>
      </c>
      <c r="O66" s="111" t="s">
        <v>388</v>
      </c>
      <c r="P66" s="111" t="s">
        <v>388</v>
      </c>
      <c r="Q66" s="111" t="s">
        <v>388</v>
      </c>
      <c r="R66" s="111" t="s">
        <v>388</v>
      </c>
      <c r="S66" s="111" t="s">
        <v>388</v>
      </c>
      <c r="T66" s="113" t="s">
        <v>591</v>
      </c>
      <c r="U66" s="111" t="s">
        <v>390</v>
      </c>
      <c r="V66" s="114" t="s">
        <v>390</v>
      </c>
      <c r="W66" s="83" t="s">
        <v>399</v>
      </c>
      <c r="X66" s="114" t="s">
        <v>390</v>
      </c>
      <c r="Y66" s="114" t="s">
        <v>390</v>
      </c>
      <c r="Z66" s="114" t="s">
        <v>392</v>
      </c>
      <c r="AA66" t="s">
        <v>401</v>
      </c>
      <c r="AB66" t="s">
        <v>348</v>
      </c>
      <c r="AC66" t="s">
        <v>592</v>
      </c>
      <c r="AE66" t="s">
        <v>342</v>
      </c>
    </row>
    <row r="67" spans="1:31" x14ac:dyDescent="0.25">
      <c r="A67" s="74">
        <v>1025</v>
      </c>
      <c r="B67" s="74" t="s">
        <v>593</v>
      </c>
      <c r="C67" s="74" t="s">
        <v>594</v>
      </c>
      <c r="D67" s="108" t="s">
        <v>388</v>
      </c>
      <c r="E67" s="108" t="s">
        <v>388</v>
      </c>
      <c r="F67" s="108" t="s">
        <v>388</v>
      </c>
      <c r="G67" s="108" t="s">
        <v>388</v>
      </c>
      <c r="H67" s="108" t="s">
        <v>388</v>
      </c>
      <c r="I67" s="109" t="s">
        <v>397</v>
      </c>
      <c r="J67" s="110" t="s">
        <v>388</v>
      </c>
      <c r="K67" s="110" t="s">
        <v>388</v>
      </c>
      <c r="L67" s="110" t="s">
        <v>388</v>
      </c>
      <c r="M67" s="110" t="s">
        <v>388</v>
      </c>
      <c r="N67" s="110" t="s">
        <v>388</v>
      </c>
      <c r="O67" s="111" t="s">
        <v>388</v>
      </c>
      <c r="P67" s="111" t="s">
        <v>388</v>
      </c>
      <c r="Q67" s="111" t="s">
        <v>388</v>
      </c>
      <c r="R67" s="111" t="s">
        <v>388</v>
      </c>
      <c r="S67" s="111" t="s">
        <v>397</v>
      </c>
      <c r="T67" s="113" t="s">
        <v>595</v>
      </c>
      <c r="U67" s="111" t="s">
        <v>390</v>
      </c>
      <c r="V67" s="114" t="s">
        <v>390</v>
      </c>
      <c r="W67" s="83" t="s">
        <v>399</v>
      </c>
      <c r="X67" s="114" t="s">
        <v>390</v>
      </c>
      <c r="Y67" s="114" t="s">
        <v>400</v>
      </c>
      <c r="Z67" s="114" t="s">
        <v>392</v>
      </c>
      <c r="AA67" t="s">
        <v>401</v>
      </c>
      <c r="AB67" t="s">
        <v>204</v>
      </c>
      <c r="AC67" t="s">
        <v>596</v>
      </c>
      <c r="AE67" t="s">
        <v>342</v>
      </c>
    </row>
    <row r="68" spans="1:31" x14ac:dyDescent="0.25">
      <c r="A68" s="74">
        <v>1026</v>
      </c>
      <c r="B68" s="74" t="s">
        <v>597</v>
      </c>
      <c r="C68" s="74" t="s">
        <v>598</v>
      </c>
      <c r="D68" s="108" t="s">
        <v>388</v>
      </c>
      <c r="E68" s="108" t="s">
        <v>388</v>
      </c>
      <c r="F68" s="108" t="s">
        <v>388</v>
      </c>
      <c r="G68" s="108" t="s">
        <v>388</v>
      </c>
      <c r="H68" s="108" t="s">
        <v>388</v>
      </c>
      <c r="I68" s="109" t="s">
        <v>397</v>
      </c>
      <c r="J68" s="110" t="s">
        <v>388</v>
      </c>
      <c r="K68" s="110" t="s">
        <v>388</v>
      </c>
      <c r="L68" s="110" t="s">
        <v>388</v>
      </c>
      <c r="M68" s="110" t="s">
        <v>388</v>
      </c>
      <c r="N68" s="110" t="s">
        <v>388</v>
      </c>
      <c r="O68" s="111" t="s">
        <v>388</v>
      </c>
      <c r="P68" s="111" t="s">
        <v>388</v>
      </c>
      <c r="Q68" s="111" t="s">
        <v>388</v>
      </c>
      <c r="R68" s="111" t="s">
        <v>397</v>
      </c>
      <c r="S68" s="111" t="s">
        <v>388</v>
      </c>
      <c r="T68" s="113" t="s">
        <v>599</v>
      </c>
      <c r="U68" s="111" t="s">
        <v>390</v>
      </c>
      <c r="V68" s="114" t="s">
        <v>390</v>
      </c>
      <c r="W68" s="83" t="s">
        <v>399</v>
      </c>
      <c r="X68" s="114" t="s">
        <v>390</v>
      </c>
      <c r="Y68" s="114" t="s">
        <v>405</v>
      </c>
      <c r="Z68" s="114" t="s">
        <v>392</v>
      </c>
      <c r="AA68" t="s">
        <v>401</v>
      </c>
      <c r="AB68" t="s">
        <v>375</v>
      </c>
      <c r="AC68" t="s">
        <v>600</v>
      </c>
      <c r="AE68" t="s">
        <v>342</v>
      </c>
    </row>
    <row r="69" spans="1:31" x14ac:dyDescent="0.25">
      <c r="A69" s="74">
        <v>1027</v>
      </c>
      <c r="B69" s="74" t="s">
        <v>601</v>
      </c>
      <c r="C69" s="74" t="s">
        <v>602</v>
      </c>
      <c r="D69" s="108" t="s">
        <v>388</v>
      </c>
      <c r="E69" s="108" t="s">
        <v>388</v>
      </c>
      <c r="F69" s="108" t="s">
        <v>388</v>
      </c>
      <c r="G69" s="108" t="s">
        <v>388</v>
      </c>
      <c r="H69" s="108" t="s">
        <v>388</v>
      </c>
      <c r="I69" s="109" t="s">
        <v>397</v>
      </c>
      <c r="J69" s="110" t="s">
        <v>388</v>
      </c>
      <c r="K69" s="110" t="s">
        <v>388</v>
      </c>
      <c r="L69" s="110" t="s">
        <v>388</v>
      </c>
      <c r="M69" s="110" t="s">
        <v>388</v>
      </c>
      <c r="N69" s="110" t="s">
        <v>388</v>
      </c>
      <c r="O69" s="111" t="s">
        <v>388</v>
      </c>
      <c r="P69" s="111" t="s">
        <v>388</v>
      </c>
      <c r="Q69" s="111" t="s">
        <v>388</v>
      </c>
      <c r="R69" s="111" t="s">
        <v>397</v>
      </c>
      <c r="S69" s="111" t="s">
        <v>397</v>
      </c>
      <c r="T69" s="113" t="s">
        <v>603</v>
      </c>
      <c r="U69" s="111" t="s">
        <v>390</v>
      </c>
      <c r="V69" s="114" t="s">
        <v>390</v>
      </c>
      <c r="W69" s="83" t="s">
        <v>399</v>
      </c>
      <c r="X69" s="114" t="s">
        <v>390</v>
      </c>
      <c r="Y69" s="114" t="s">
        <v>409</v>
      </c>
      <c r="Z69" s="114" t="s">
        <v>392</v>
      </c>
      <c r="AA69" t="s">
        <v>401</v>
      </c>
      <c r="AB69" t="s">
        <v>376</v>
      </c>
      <c r="AC69" t="s">
        <v>604</v>
      </c>
      <c r="AE69" t="s">
        <v>342</v>
      </c>
    </row>
    <row r="70" spans="1:31" x14ac:dyDescent="0.25">
      <c r="A70" s="74">
        <v>1028</v>
      </c>
      <c r="B70" s="74" t="s">
        <v>605</v>
      </c>
      <c r="C70" s="74" t="s">
        <v>606</v>
      </c>
      <c r="D70" s="108" t="s">
        <v>388</v>
      </c>
      <c r="E70" s="108" t="s">
        <v>388</v>
      </c>
      <c r="F70" s="108" t="s">
        <v>388</v>
      </c>
      <c r="G70" s="108" t="s">
        <v>388</v>
      </c>
      <c r="H70" s="108" t="s">
        <v>388</v>
      </c>
      <c r="I70" s="109" t="s">
        <v>397</v>
      </c>
      <c r="J70" s="110" t="s">
        <v>388</v>
      </c>
      <c r="K70" s="110" t="s">
        <v>388</v>
      </c>
      <c r="L70" s="110" t="s">
        <v>388</v>
      </c>
      <c r="M70" s="110" t="s">
        <v>388</v>
      </c>
      <c r="N70" s="110" t="s">
        <v>388</v>
      </c>
      <c r="O70" s="111" t="s">
        <v>388</v>
      </c>
      <c r="P70" s="111" t="s">
        <v>388</v>
      </c>
      <c r="Q70" s="111" t="s">
        <v>397</v>
      </c>
      <c r="R70" s="111" t="s">
        <v>388</v>
      </c>
      <c r="S70" s="111" t="s">
        <v>388</v>
      </c>
      <c r="T70" s="113" t="s">
        <v>607</v>
      </c>
      <c r="U70" s="111" t="s">
        <v>390</v>
      </c>
      <c r="V70" s="114" t="s">
        <v>390</v>
      </c>
      <c r="W70" s="83" t="s">
        <v>399</v>
      </c>
      <c r="X70" s="114" t="s">
        <v>390</v>
      </c>
      <c r="Y70" s="114" t="s">
        <v>413</v>
      </c>
      <c r="Z70" s="114" t="s">
        <v>392</v>
      </c>
      <c r="AA70" t="s">
        <v>401</v>
      </c>
      <c r="AB70" t="s">
        <v>377</v>
      </c>
      <c r="AC70" t="s">
        <v>608</v>
      </c>
      <c r="AE70" t="s">
        <v>342</v>
      </c>
    </row>
    <row r="71" spans="1:31" x14ac:dyDescent="0.25">
      <c r="A71" s="74">
        <v>1029</v>
      </c>
      <c r="B71" s="74" t="s">
        <v>609</v>
      </c>
      <c r="C71" s="74" t="s">
        <v>610</v>
      </c>
      <c r="D71" s="108" t="s">
        <v>388</v>
      </c>
      <c r="E71" s="108" t="s">
        <v>388</v>
      </c>
      <c r="F71" s="108" t="s">
        <v>388</v>
      </c>
      <c r="G71" s="108" t="s">
        <v>388</v>
      </c>
      <c r="H71" s="108" t="s">
        <v>388</v>
      </c>
      <c r="I71" s="109" t="s">
        <v>397</v>
      </c>
      <c r="J71" s="110" t="s">
        <v>388</v>
      </c>
      <c r="K71" s="110" t="s">
        <v>388</v>
      </c>
      <c r="L71" s="110" t="s">
        <v>388</v>
      </c>
      <c r="M71" s="110" t="s">
        <v>388</v>
      </c>
      <c r="N71" s="110" t="s">
        <v>388</v>
      </c>
      <c r="O71" s="111" t="s">
        <v>388</v>
      </c>
      <c r="P71" s="111" t="s">
        <v>388</v>
      </c>
      <c r="Q71" s="111" t="s">
        <v>397</v>
      </c>
      <c r="R71" s="111" t="s">
        <v>388</v>
      </c>
      <c r="S71" s="111" t="s">
        <v>397</v>
      </c>
      <c r="T71" s="113" t="s">
        <v>611</v>
      </c>
      <c r="U71" s="111" t="s">
        <v>390</v>
      </c>
      <c r="V71" s="114" t="s">
        <v>390</v>
      </c>
      <c r="W71" s="83" t="s">
        <v>399</v>
      </c>
      <c r="X71" s="114" t="s">
        <v>390</v>
      </c>
      <c r="Y71" s="114" t="s">
        <v>417</v>
      </c>
      <c r="Z71" s="114" t="s">
        <v>392</v>
      </c>
      <c r="AA71" t="s">
        <v>401</v>
      </c>
      <c r="AB71" t="s">
        <v>378</v>
      </c>
      <c r="AC71" t="s">
        <v>612</v>
      </c>
      <c r="AE71" t="s">
        <v>342</v>
      </c>
    </row>
    <row r="72" spans="1:31" x14ac:dyDescent="0.25">
      <c r="A72" s="74">
        <v>1030</v>
      </c>
      <c r="B72" s="74" t="s">
        <v>613</v>
      </c>
      <c r="C72" s="74" t="s">
        <v>614</v>
      </c>
      <c r="D72" s="108" t="s">
        <v>388</v>
      </c>
      <c r="E72" s="108" t="s">
        <v>388</v>
      </c>
      <c r="F72" s="108" t="s">
        <v>388</v>
      </c>
      <c r="G72" s="108" t="s">
        <v>388</v>
      </c>
      <c r="H72" s="108" t="s">
        <v>388</v>
      </c>
      <c r="I72" s="109" t="s">
        <v>397</v>
      </c>
      <c r="J72" s="110" t="s">
        <v>388</v>
      </c>
      <c r="K72" s="110" t="s">
        <v>388</v>
      </c>
      <c r="L72" s="110" t="s">
        <v>388</v>
      </c>
      <c r="M72" s="110" t="s">
        <v>388</v>
      </c>
      <c r="N72" s="110" t="s">
        <v>388</v>
      </c>
      <c r="O72" s="111" t="s">
        <v>388</v>
      </c>
      <c r="P72" s="111" t="s">
        <v>388</v>
      </c>
      <c r="Q72" s="111" t="s">
        <v>397</v>
      </c>
      <c r="R72" s="111" t="s">
        <v>397</v>
      </c>
      <c r="S72" s="111" t="s">
        <v>388</v>
      </c>
      <c r="T72" s="113" t="s">
        <v>615</v>
      </c>
      <c r="U72" s="111" t="s">
        <v>390</v>
      </c>
      <c r="V72" s="114" t="s">
        <v>390</v>
      </c>
      <c r="W72" s="83" t="s">
        <v>399</v>
      </c>
      <c r="X72" s="114" t="s">
        <v>390</v>
      </c>
      <c r="Y72" s="114" t="s">
        <v>421</v>
      </c>
      <c r="Z72" s="114" t="s">
        <v>392</v>
      </c>
      <c r="AA72" t="s">
        <v>401</v>
      </c>
      <c r="AB72" t="s">
        <v>379</v>
      </c>
      <c r="AC72" t="s">
        <v>616</v>
      </c>
      <c r="AE72" t="s">
        <v>342</v>
      </c>
    </row>
    <row r="73" spans="1:31" x14ac:dyDescent="0.25">
      <c r="A73" s="74">
        <v>1031</v>
      </c>
      <c r="B73" s="74" t="s">
        <v>617</v>
      </c>
      <c r="C73" s="74" t="s">
        <v>618</v>
      </c>
      <c r="D73" s="108" t="s">
        <v>388</v>
      </c>
      <c r="E73" s="108" t="s">
        <v>388</v>
      </c>
      <c r="F73" s="108" t="s">
        <v>388</v>
      </c>
      <c r="G73" s="108" t="s">
        <v>388</v>
      </c>
      <c r="H73" s="108" t="s">
        <v>388</v>
      </c>
      <c r="I73" s="109" t="s">
        <v>397</v>
      </c>
      <c r="J73" s="110" t="s">
        <v>388</v>
      </c>
      <c r="K73" s="110" t="s">
        <v>388</v>
      </c>
      <c r="L73" s="110" t="s">
        <v>388</v>
      </c>
      <c r="M73" s="110" t="s">
        <v>388</v>
      </c>
      <c r="N73" s="110" t="s">
        <v>388</v>
      </c>
      <c r="O73" s="111" t="s">
        <v>388</v>
      </c>
      <c r="P73" s="111" t="s">
        <v>388</v>
      </c>
      <c r="Q73" s="111" t="s">
        <v>397</v>
      </c>
      <c r="R73" s="111" t="s">
        <v>397</v>
      </c>
      <c r="S73" s="111" t="s">
        <v>397</v>
      </c>
      <c r="T73" s="113" t="s">
        <v>619</v>
      </c>
      <c r="U73" s="111" t="s">
        <v>390</v>
      </c>
      <c r="V73" s="114" t="s">
        <v>390</v>
      </c>
      <c r="W73" s="83" t="s">
        <v>399</v>
      </c>
      <c r="X73" s="114" t="s">
        <v>390</v>
      </c>
      <c r="Y73" s="114" t="s">
        <v>425</v>
      </c>
      <c r="Z73" s="114" t="s">
        <v>392</v>
      </c>
      <c r="AA73" t="s">
        <v>401</v>
      </c>
      <c r="AB73" t="s">
        <v>380</v>
      </c>
      <c r="AC73" t="s">
        <v>620</v>
      </c>
      <c r="AE73" t="s">
        <v>342</v>
      </c>
    </row>
    <row r="74" spans="1:31" x14ac:dyDescent="0.25">
      <c r="A74" s="74">
        <v>1032</v>
      </c>
      <c r="B74" s="74" t="s">
        <v>621</v>
      </c>
      <c r="C74" s="74" t="s">
        <v>622</v>
      </c>
      <c r="D74" s="108" t="s">
        <v>388</v>
      </c>
      <c r="E74" s="108" t="s">
        <v>388</v>
      </c>
      <c r="F74" s="108" t="s">
        <v>388</v>
      </c>
      <c r="G74" s="108" t="s">
        <v>388</v>
      </c>
      <c r="H74" s="108" t="s">
        <v>388</v>
      </c>
      <c r="I74" s="109" t="s">
        <v>397</v>
      </c>
      <c r="J74" s="110" t="s">
        <v>388</v>
      </c>
      <c r="K74" s="110" t="s">
        <v>388</v>
      </c>
      <c r="L74" s="110" t="s">
        <v>388</v>
      </c>
      <c r="M74" s="110" t="s">
        <v>388</v>
      </c>
      <c r="N74" s="110" t="s">
        <v>388</v>
      </c>
      <c r="O74" s="111" t="s">
        <v>388</v>
      </c>
      <c r="P74" s="111" t="s">
        <v>397</v>
      </c>
      <c r="Q74" s="111" t="s">
        <v>388</v>
      </c>
      <c r="R74" s="111" t="s">
        <v>388</v>
      </c>
      <c r="S74" s="111" t="s">
        <v>388</v>
      </c>
      <c r="T74" s="113" t="s">
        <v>623</v>
      </c>
      <c r="U74" s="111" t="s">
        <v>390</v>
      </c>
      <c r="V74" s="114" t="s">
        <v>390</v>
      </c>
      <c r="W74" s="83" t="s">
        <v>399</v>
      </c>
      <c r="X74" s="114" t="s">
        <v>390</v>
      </c>
      <c r="Y74" s="114" t="s">
        <v>429</v>
      </c>
      <c r="Z74" s="114" t="s">
        <v>392</v>
      </c>
      <c r="AA74" t="s">
        <v>401</v>
      </c>
      <c r="AB74" t="s">
        <v>355</v>
      </c>
      <c r="AC74" t="s">
        <v>624</v>
      </c>
      <c r="AE74" t="s">
        <v>342</v>
      </c>
    </row>
    <row r="75" spans="1:31" x14ac:dyDescent="0.25">
      <c r="A75" s="74">
        <v>1033</v>
      </c>
      <c r="B75" s="74" t="s">
        <v>625</v>
      </c>
      <c r="C75" s="74" t="s">
        <v>626</v>
      </c>
      <c r="D75" s="108" t="s">
        <v>388</v>
      </c>
      <c r="E75" s="108" t="s">
        <v>388</v>
      </c>
      <c r="F75" s="108" t="s">
        <v>388</v>
      </c>
      <c r="G75" s="108" t="s">
        <v>388</v>
      </c>
      <c r="H75" s="108" t="s">
        <v>388</v>
      </c>
      <c r="I75" s="109" t="s">
        <v>397</v>
      </c>
      <c r="J75" s="110" t="s">
        <v>388</v>
      </c>
      <c r="K75" s="110" t="s">
        <v>388</v>
      </c>
      <c r="L75" s="110" t="s">
        <v>388</v>
      </c>
      <c r="M75" s="110" t="s">
        <v>388</v>
      </c>
      <c r="N75" s="110" t="s">
        <v>388</v>
      </c>
      <c r="O75" s="111" t="s">
        <v>388</v>
      </c>
      <c r="P75" s="111" t="s">
        <v>397</v>
      </c>
      <c r="Q75" s="111" t="s">
        <v>388</v>
      </c>
      <c r="R75" s="111" t="s">
        <v>388</v>
      </c>
      <c r="S75" s="111" t="s">
        <v>397</v>
      </c>
      <c r="T75" s="113" t="s">
        <v>398</v>
      </c>
      <c r="U75" s="111" t="s">
        <v>390</v>
      </c>
      <c r="V75" s="114" t="s">
        <v>390</v>
      </c>
      <c r="W75" s="83" t="s">
        <v>399</v>
      </c>
      <c r="X75" s="114" t="s">
        <v>390</v>
      </c>
      <c r="Y75" s="114" t="s">
        <v>433</v>
      </c>
      <c r="Z75" s="114" t="s">
        <v>392</v>
      </c>
      <c r="AA75" t="s">
        <v>401</v>
      </c>
      <c r="AB75" t="s">
        <v>374</v>
      </c>
      <c r="AC75" t="s">
        <v>627</v>
      </c>
      <c r="AE75" t="s">
        <v>342</v>
      </c>
    </row>
    <row r="76" spans="1:31" x14ac:dyDescent="0.25">
      <c r="A76" s="74">
        <v>1034</v>
      </c>
      <c r="B76" s="74" t="s">
        <v>628</v>
      </c>
      <c r="C76" s="74" t="s">
        <v>629</v>
      </c>
      <c r="D76" s="108" t="s">
        <v>388</v>
      </c>
      <c r="E76" s="108" t="s">
        <v>388</v>
      </c>
      <c r="F76" s="108" t="s">
        <v>388</v>
      </c>
      <c r="G76" s="108" t="s">
        <v>388</v>
      </c>
      <c r="H76" s="108" t="s">
        <v>388</v>
      </c>
      <c r="I76" s="109" t="s">
        <v>397</v>
      </c>
      <c r="J76" s="110" t="s">
        <v>388</v>
      </c>
      <c r="K76" s="110" t="s">
        <v>388</v>
      </c>
      <c r="L76" s="110" t="s">
        <v>388</v>
      </c>
      <c r="M76" s="110" t="s">
        <v>388</v>
      </c>
      <c r="N76" s="110" t="s">
        <v>388</v>
      </c>
      <c r="O76" s="111" t="s">
        <v>388</v>
      </c>
      <c r="P76" s="111" t="s">
        <v>397</v>
      </c>
      <c r="Q76" s="111" t="s">
        <v>388</v>
      </c>
      <c r="R76" s="111" t="s">
        <v>397</v>
      </c>
      <c r="S76" s="111" t="s">
        <v>388</v>
      </c>
      <c r="T76" s="113" t="s">
        <v>398</v>
      </c>
      <c r="U76" s="111" t="s">
        <v>390</v>
      </c>
      <c r="V76" s="114" t="s">
        <v>390</v>
      </c>
      <c r="W76" s="83" t="s">
        <v>399</v>
      </c>
      <c r="X76" s="114" t="s">
        <v>390</v>
      </c>
      <c r="Y76" s="114" t="s">
        <v>437</v>
      </c>
      <c r="Z76" s="114" t="s">
        <v>392</v>
      </c>
      <c r="AA76" t="s">
        <v>401</v>
      </c>
      <c r="AB76" t="s">
        <v>374</v>
      </c>
      <c r="AC76" t="s">
        <v>630</v>
      </c>
      <c r="AE76" t="s">
        <v>342</v>
      </c>
    </row>
    <row r="77" spans="1:31" x14ac:dyDescent="0.25">
      <c r="A77" s="74">
        <v>1035</v>
      </c>
      <c r="B77" s="74" t="s">
        <v>631</v>
      </c>
      <c r="C77" s="74" t="s">
        <v>632</v>
      </c>
      <c r="D77" s="108" t="s">
        <v>388</v>
      </c>
      <c r="E77" s="108" t="s">
        <v>388</v>
      </c>
      <c r="F77" s="108" t="s">
        <v>388</v>
      </c>
      <c r="G77" s="108" t="s">
        <v>388</v>
      </c>
      <c r="H77" s="108" t="s">
        <v>388</v>
      </c>
      <c r="I77" s="109" t="s">
        <v>397</v>
      </c>
      <c r="J77" s="110" t="s">
        <v>388</v>
      </c>
      <c r="K77" s="110" t="s">
        <v>388</v>
      </c>
      <c r="L77" s="110" t="s">
        <v>388</v>
      </c>
      <c r="M77" s="110" t="s">
        <v>388</v>
      </c>
      <c r="N77" s="110" t="s">
        <v>388</v>
      </c>
      <c r="O77" s="111" t="s">
        <v>388</v>
      </c>
      <c r="P77" s="111" t="s">
        <v>397</v>
      </c>
      <c r="Q77" s="111" t="s">
        <v>388</v>
      </c>
      <c r="R77" s="111" t="s">
        <v>397</v>
      </c>
      <c r="S77" s="111" t="s">
        <v>397</v>
      </c>
      <c r="T77" s="113" t="s">
        <v>398</v>
      </c>
      <c r="U77" s="111" t="s">
        <v>390</v>
      </c>
      <c r="V77" s="114" t="s">
        <v>390</v>
      </c>
      <c r="W77" s="83" t="s">
        <v>399</v>
      </c>
      <c r="X77" s="114" t="s">
        <v>390</v>
      </c>
      <c r="Y77" s="114" t="s">
        <v>441</v>
      </c>
      <c r="Z77" s="114" t="s">
        <v>392</v>
      </c>
      <c r="AA77" t="s">
        <v>401</v>
      </c>
      <c r="AB77" t="s">
        <v>374</v>
      </c>
      <c r="AC77" t="s">
        <v>633</v>
      </c>
      <c r="AE77" t="s">
        <v>342</v>
      </c>
    </row>
    <row r="78" spans="1:31" x14ac:dyDescent="0.25">
      <c r="A78" s="74">
        <v>1036</v>
      </c>
      <c r="B78" s="74" t="s">
        <v>634</v>
      </c>
      <c r="C78" s="74" t="s">
        <v>635</v>
      </c>
      <c r="D78" s="108" t="s">
        <v>388</v>
      </c>
      <c r="E78" s="108" t="s">
        <v>388</v>
      </c>
      <c r="F78" s="108" t="s">
        <v>388</v>
      </c>
      <c r="G78" s="108" t="s">
        <v>388</v>
      </c>
      <c r="H78" s="108" t="s">
        <v>388</v>
      </c>
      <c r="I78" s="109" t="s">
        <v>397</v>
      </c>
      <c r="J78" s="110" t="s">
        <v>388</v>
      </c>
      <c r="K78" s="110" t="s">
        <v>388</v>
      </c>
      <c r="L78" s="110" t="s">
        <v>388</v>
      </c>
      <c r="M78" s="110" t="s">
        <v>388</v>
      </c>
      <c r="N78" s="110" t="s">
        <v>388</v>
      </c>
      <c r="O78" s="111" t="s">
        <v>388</v>
      </c>
      <c r="P78" s="111" t="s">
        <v>397</v>
      </c>
      <c r="Q78" s="111" t="s">
        <v>397</v>
      </c>
      <c r="R78" s="111" t="s">
        <v>388</v>
      </c>
      <c r="S78" s="111" t="s">
        <v>388</v>
      </c>
      <c r="T78" s="113" t="s">
        <v>398</v>
      </c>
      <c r="U78" s="111" t="s">
        <v>390</v>
      </c>
      <c r="V78" s="114" t="s">
        <v>390</v>
      </c>
      <c r="W78" s="83" t="s">
        <v>399</v>
      </c>
      <c r="X78" s="114" t="s">
        <v>390</v>
      </c>
      <c r="Y78" s="114" t="s">
        <v>445</v>
      </c>
      <c r="Z78" s="114" t="s">
        <v>392</v>
      </c>
      <c r="AA78" t="s">
        <v>401</v>
      </c>
      <c r="AB78" t="s">
        <v>374</v>
      </c>
      <c r="AC78" t="s">
        <v>636</v>
      </c>
      <c r="AE78" t="s">
        <v>342</v>
      </c>
    </row>
    <row r="79" spans="1:31" x14ac:dyDescent="0.25">
      <c r="A79" s="74">
        <v>1037</v>
      </c>
      <c r="B79" s="74" t="s">
        <v>637</v>
      </c>
      <c r="C79" s="74" t="s">
        <v>638</v>
      </c>
      <c r="D79" s="108" t="s">
        <v>388</v>
      </c>
      <c r="E79" s="108" t="s">
        <v>388</v>
      </c>
      <c r="F79" s="108" t="s">
        <v>388</v>
      </c>
      <c r="G79" s="108" t="s">
        <v>388</v>
      </c>
      <c r="H79" s="108" t="s">
        <v>388</v>
      </c>
      <c r="I79" s="109" t="s">
        <v>397</v>
      </c>
      <c r="J79" s="110" t="s">
        <v>388</v>
      </c>
      <c r="K79" s="110" t="s">
        <v>388</v>
      </c>
      <c r="L79" s="110" t="s">
        <v>388</v>
      </c>
      <c r="M79" s="110" t="s">
        <v>388</v>
      </c>
      <c r="N79" s="110" t="s">
        <v>388</v>
      </c>
      <c r="O79" s="111" t="s">
        <v>388</v>
      </c>
      <c r="P79" s="111" t="s">
        <v>397</v>
      </c>
      <c r="Q79" s="111" t="s">
        <v>397</v>
      </c>
      <c r="R79" s="111" t="s">
        <v>388</v>
      </c>
      <c r="S79" s="111" t="s">
        <v>397</v>
      </c>
      <c r="T79" s="113" t="s">
        <v>398</v>
      </c>
      <c r="U79" s="111" t="s">
        <v>390</v>
      </c>
      <c r="V79" s="114" t="s">
        <v>390</v>
      </c>
      <c r="W79" s="83" t="s">
        <v>399</v>
      </c>
      <c r="X79" s="114" t="s">
        <v>390</v>
      </c>
      <c r="Y79" s="114" t="s">
        <v>449</v>
      </c>
      <c r="Z79" s="114" t="s">
        <v>392</v>
      </c>
      <c r="AA79" t="s">
        <v>401</v>
      </c>
      <c r="AB79" t="s">
        <v>374</v>
      </c>
      <c r="AC79" t="s">
        <v>639</v>
      </c>
      <c r="AE79" t="s">
        <v>342</v>
      </c>
    </row>
    <row r="80" spans="1:31" x14ac:dyDescent="0.25">
      <c r="A80" s="74">
        <v>1038</v>
      </c>
      <c r="B80" s="74" t="s">
        <v>640</v>
      </c>
      <c r="C80" s="74" t="s">
        <v>641</v>
      </c>
      <c r="D80" s="108" t="s">
        <v>388</v>
      </c>
      <c r="E80" s="108" t="s">
        <v>388</v>
      </c>
      <c r="F80" s="108" t="s">
        <v>388</v>
      </c>
      <c r="G80" s="108" t="s">
        <v>388</v>
      </c>
      <c r="H80" s="108" t="s">
        <v>388</v>
      </c>
      <c r="I80" s="109" t="s">
        <v>397</v>
      </c>
      <c r="J80" s="110" t="s">
        <v>388</v>
      </c>
      <c r="K80" s="110" t="s">
        <v>388</v>
      </c>
      <c r="L80" s="110" t="s">
        <v>388</v>
      </c>
      <c r="M80" s="110" t="s">
        <v>388</v>
      </c>
      <c r="N80" s="110" t="s">
        <v>388</v>
      </c>
      <c r="O80" s="111" t="s">
        <v>388</v>
      </c>
      <c r="P80" s="111" t="s">
        <v>397</v>
      </c>
      <c r="Q80" s="111" t="s">
        <v>397</v>
      </c>
      <c r="R80" s="111" t="s">
        <v>397</v>
      </c>
      <c r="S80" s="111" t="s">
        <v>388</v>
      </c>
      <c r="T80" s="113" t="s">
        <v>398</v>
      </c>
      <c r="U80" s="111" t="s">
        <v>390</v>
      </c>
      <c r="V80" s="114" t="s">
        <v>390</v>
      </c>
      <c r="W80" s="83" t="s">
        <v>399</v>
      </c>
      <c r="X80" s="114" t="s">
        <v>390</v>
      </c>
      <c r="Y80" s="114" t="s">
        <v>453</v>
      </c>
      <c r="Z80" s="114" t="s">
        <v>392</v>
      </c>
      <c r="AA80" t="s">
        <v>401</v>
      </c>
      <c r="AB80" t="s">
        <v>374</v>
      </c>
      <c r="AC80" t="s">
        <v>642</v>
      </c>
      <c r="AE80" t="s">
        <v>342</v>
      </c>
    </row>
    <row r="81" spans="1:31" x14ac:dyDescent="0.25">
      <c r="A81" s="74">
        <v>1039</v>
      </c>
      <c r="B81" s="74" t="s">
        <v>643</v>
      </c>
      <c r="C81" s="74" t="s">
        <v>644</v>
      </c>
      <c r="D81" s="108" t="s">
        <v>388</v>
      </c>
      <c r="E81" s="108" t="s">
        <v>388</v>
      </c>
      <c r="F81" s="108" t="s">
        <v>388</v>
      </c>
      <c r="G81" s="108" t="s">
        <v>388</v>
      </c>
      <c r="H81" s="108" t="s">
        <v>388</v>
      </c>
      <c r="I81" s="109" t="s">
        <v>397</v>
      </c>
      <c r="J81" s="110" t="s">
        <v>388</v>
      </c>
      <c r="K81" s="110" t="s">
        <v>388</v>
      </c>
      <c r="L81" s="110" t="s">
        <v>388</v>
      </c>
      <c r="M81" s="110" t="s">
        <v>388</v>
      </c>
      <c r="N81" s="110" t="s">
        <v>388</v>
      </c>
      <c r="O81" s="111" t="s">
        <v>388</v>
      </c>
      <c r="P81" s="111" t="s">
        <v>397</v>
      </c>
      <c r="Q81" s="111" t="s">
        <v>397</v>
      </c>
      <c r="R81" s="111" t="s">
        <v>397</v>
      </c>
      <c r="S81" s="111" t="s">
        <v>397</v>
      </c>
      <c r="T81" s="113" t="s">
        <v>398</v>
      </c>
      <c r="U81" s="111" t="s">
        <v>390</v>
      </c>
      <c r="V81" s="114" t="s">
        <v>390</v>
      </c>
      <c r="W81" s="83" t="s">
        <v>399</v>
      </c>
      <c r="X81" s="114" t="s">
        <v>390</v>
      </c>
      <c r="Y81" s="114" t="s">
        <v>457</v>
      </c>
      <c r="Z81" s="114" t="s">
        <v>392</v>
      </c>
      <c r="AA81" t="s">
        <v>401</v>
      </c>
      <c r="AB81" t="s">
        <v>374</v>
      </c>
      <c r="AC81" t="s">
        <v>645</v>
      </c>
      <c r="AE81" t="s">
        <v>342</v>
      </c>
    </row>
    <row r="82" spans="1:31" x14ac:dyDescent="0.25">
      <c r="A82" s="74">
        <v>1040</v>
      </c>
      <c r="B82" s="74" t="s">
        <v>646</v>
      </c>
      <c r="C82" s="74" t="s">
        <v>647</v>
      </c>
      <c r="D82" s="108" t="s">
        <v>388</v>
      </c>
      <c r="E82" s="108" t="s">
        <v>388</v>
      </c>
      <c r="F82" s="108" t="s">
        <v>388</v>
      </c>
      <c r="G82" s="108" t="s">
        <v>388</v>
      </c>
      <c r="H82" s="108" t="s">
        <v>388</v>
      </c>
      <c r="I82" s="109" t="s">
        <v>397</v>
      </c>
      <c r="J82" s="110" t="s">
        <v>388</v>
      </c>
      <c r="K82" s="110" t="s">
        <v>388</v>
      </c>
      <c r="L82" s="110" t="s">
        <v>388</v>
      </c>
      <c r="M82" s="110" t="s">
        <v>388</v>
      </c>
      <c r="N82" s="110" t="s">
        <v>388</v>
      </c>
      <c r="O82" s="111" t="s">
        <v>397</v>
      </c>
      <c r="P82" s="111" t="s">
        <v>388</v>
      </c>
      <c r="Q82" s="111" t="s">
        <v>388</v>
      </c>
      <c r="R82" s="111" t="s">
        <v>388</v>
      </c>
      <c r="S82" s="111" t="s">
        <v>388</v>
      </c>
      <c r="T82" s="113" t="s">
        <v>648</v>
      </c>
      <c r="U82" s="111" t="s">
        <v>390</v>
      </c>
      <c r="V82" s="114" t="s">
        <v>390</v>
      </c>
      <c r="W82" s="83" t="s">
        <v>399</v>
      </c>
      <c r="X82" s="114" t="s">
        <v>390</v>
      </c>
      <c r="Y82" s="114" t="s">
        <v>461</v>
      </c>
      <c r="Z82" s="114" t="s">
        <v>392</v>
      </c>
      <c r="AA82" t="s">
        <v>401</v>
      </c>
      <c r="AB82" t="s">
        <v>116</v>
      </c>
      <c r="AC82" t="s">
        <v>649</v>
      </c>
      <c r="AE82" t="s">
        <v>342</v>
      </c>
    </row>
    <row r="83" spans="1:31" x14ac:dyDescent="0.25">
      <c r="A83" s="74">
        <v>1041</v>
      </c>
      <c r="B83" s="74" t="s">
        <v>650</v>
      </c>
      <c r="C83" s="74" t="s">
        <v>651</v>
      </c>
      <c r="D83" s="108" t="s">
        <v>388</v>
      </c>
      <c r="E83" s="108" t="s">
        <v>388</v>
      </c>
      <c r="F83" s="108" t="s">
        <v>388</v>
      </c>
      <c r="G83" s="108" t="s">
        <v>388</v>
      </c>
      <c r="H83" s="108" t="s">
        <v>388</v>
      </c>
      <c r="I83" s="109" t="s">
        <v>397</v>
      </c>
      <c r="J83" s="110" t="s">
        <v>388</v>
      </c>
      <c r="K83" s="110" t="s">
        <v>388</v>
      </c>
      <c r="L83" s="110" t="s">
        <v>388</v>
      </c>
      <c r="M83" s="110" t="s">
        <v>388</v>
      </c>
      <c r="N83" s="110" t="s">
        <v>388</v>
      </c>
      <c r="O83" s="111" t="s">
        <v>397</v>
      </c>
      <c r="P83" s="111" t="s">
        <v>388</v>
      </c>
      <c r="Q83" s="111" t="s">
        <v>388</v>
      </c>
      <c r="R83" s="111" t="s">
        <v>388</v>
      </c>
      <c r="S83" s="111" t="s">
        <v>397</v>
      </c>
      <c r="T83" s="113" t="s">
        <v>398</v>
      </c>
      <c r="U83" s="111" t="s">
        <v>390</v>
      </c>
      <c r="V83" s="114" t="s">
        <v>390</v>
      </c>
      <c r="W83" s="83" t="s">
        <v>399</v>
      </c>
      <c r="X83" s="114" t="s">
        <v>390</v>
      </c>
      <c r="Y83" s="114" t="s">
        <v>466</v>
      </c>
      <c r="Z83" s="114" t="s">
        <v>392</v>
      </c>
      <c r="AA83" t="s">
        <v>401</v>
      </c>
      <c r="AB83" t="s">
        <v>374</v>
      </c>
      <c r="AC83" t="s">
        <v>652</v>
      </c>
      <c r="AE83" t="s">
        <v>342</v>
      </c>
    </row>
    <row r="84" spans="1:31" x14ac:dyDescent="0.25">
      <c r="A84" s="74">
        <v>1042</v>
      </c>
      <c r="B84" s="74" t="s">
        <v>653</v>
      </c>
      <c r="C84" s="74" t="s">
        <v>654</v>
      </c>
      <c r="D84" s="108" t="s">
        <v>388</v>
      </c>
      <c r="E84" s="108" t="s">
        <v>388</v>
      </c>
      <c r="F84" s="108" t="s">
        <v>388</v>
      </c>
      <c r="G84" s="108" t="s">
        <v>388</v>
      </c>
      <c r="H84" s="108" t="s">
        <v>388</v>
      </c>
      <c r="I84" s="109" t="s">
        <v>397</v>
      </c>
      <c r="J84" s="110" t="s">
        <v>388</v>
      </c>
      <c r="K84" s="110" t="s">
        <v>388</v>
      </c>
      <c r="L84" s="110" t="s">
        <v>388</v>
      </c>
      <c r="M84" s="110" t="s">
        <v>388</v>
      </c>
      <c r="N84" s="110" t="s">
        <v>388</v>
      </c>
      <c r="O84" s="111" t="s">
        <v>397</v>
      </c>
      <c r="P84" s="111" t="s">
        <v>388</v>
      </c>
      <c r="Q84" s="111" t="s">
        <v>388</v>
      </c>
      <c r="R84" s="111" t="s">
        <v>397</v>
      </c>
      <c r="S84" s="111" t="s">
        <v>388</v>
      </c>
      <c r="T84" s="113" t="s">
        <v>655</v>
      </c>
      <c r="U84" s="111" t="s">
        <v>390</v>
      </c>
      <c r="V84" s="114" t="s">
        <v>390</v>
      </c>
      <c r="W84" s="83" t="s">
        <v>399</v>
      </c>
      <c r="X84" s="114" t="s">
        <v>390</v>
      </c>
      <c r="Y84" s="114" t="s">
        <v>470</v>
      </c>
      <c r="Z84" s="114" t="s">
        <v>392</v>
      </c>
      <c r="AA84" t="s">
        <v>401</v>
      </c>
      <c r="AB84" t="s">
        <v>381</v>
      </c>
      <c r="AC84" t="s">
        <v>656</v>
      </c>
      <c r="AE84" t="s">
        <v>342</v>
      </c>
    </row>
    <row r="85" spans="1:31" x14ac:dyDescent="0.25">
      <c r="A85" s="74">
        <v>1043</v>
      </c>
      <c r="B85" s="74" t="s">
        <v>657</v>
      </c>
      <c r="C85" s="74" t="s">
        <v>658</v>
      </c>
      <c r="D85" s="108" t="s">
        <v>388</v>
      </c>
      <c r="E85" s="108" t="s">
        <v>388</v>
      </c>
      <c r="F85" s="108" t="s">
        <v>388</v>
      </c>
      <c r="G85" s="108" t="s">
        <v>388</v>
      </c>
      <c r="H85" s="108" t="s">
        <v>388</v>
      </c>
      <c r="I85" s="109" t="s">
        <v>397</v>
      </c>
      <c r="J85" s="110" t="s">
        <v>388</v>
      </c>
      <c r="K85" s="110" t="s">
        <v>388</v>
      </c>
      <c r="L85" s="110" t="s">
        <v>388</v>
      </c>
      <c r="M85" s="110" t="s">
        <v>388</v>
      </c>
      <c r="N85" s="110" t="s">
        <v>388</v>
      </c>
      <c r="O85" s="111" t="s">
        <v>397</v>
      </c>
      <c r="P85" s="111" t="s">
        <v>388</v>
      </c>
      <c r="Q85" s="111" t="s">
        <v>388</v>
      </c>
      <c r="R85" s="111" t="s">
        <v>397</v>
      </c>
      <c r="S85" s="111" t="s">
        <v>397</v>
      </c>
      <c r="T85" s="113" t="s">
        <v>659</v>
      </c>
      <c r="U85" s="111" t="s">
        <v>390</v>
      </c>
      <c r="V85" s="114" t="s">
        <v>390</v>
      </c>
      <c r="W85" s="83" t="s">
        <v>399</v>
      </c>
      <c r="X85" s="114" t="s">
        <v>390</v>
      </c>
      <c r="Y85" s="114" t="s">
        <v>474</v>
      </c>
      <c r="Z85" s="114" t="s">
        <v>392</v>
      </c>
      <c r="AA85" t="s">
        <v>401</v>
      </c>
      <c r="AB85" t="s">
        <v>382</v>
      </c>
      <c r="AC85" t="s">
        <v>660</v>
      </c>
      <c r="AE85" t="s">
        <v>342</v>
      </c>
    </row>
    <row r="86" spans="1:31" x14ac:dyDescent="0.25">
      <c r="A86" s="74">
        <v>1044</v>
      </c>
      <c r="B86" s="74" t="s">
        <v>661</v>
      </c>
      <c r="C86" s="74" t="s">
        <v>662</v>
      </c>
      <c r="D86" s="108" t="s">
        <v>388</v>
      </c>
      <c r="E86" s="108" t="s">
        <v>388</v>
      </c>
      <c r="F86" s="108" t="s">
        <v>388</v>
      </c>
      <c r="G86" s="108" t="s">
        <v>388</v>
      </c>
      <c r="H86" s="108" t="s">
        <v>388</v>
      </c>
      <c r="I86" s="109" t="s">
        <v>397</v>
      </c>
      <c r="J86" s="110" t="s">
        <v>388</v>
      </c>
      <c r="K86" s="110" t="s">
        <v>388</v>
      </c>
      <c r="L86" s="110" t="s">
        <v>388</v>
      </c>
      <c r="M86" s="110" t="s">
        <v>388</v>
      </c>
      <c r="N86" s="110" t="s">
        <v>388</v>
      </c>
      <c r="O86" s="111" t="s">
        <v>397</v>
      </c>
      <c r="P86" s="111" t="s">
        <v>388</v>
      </c>
      <c r="Q86" s="111" t="s">
        <v>397</v>
      </c>
      <c r="R86" s="111" t="s">
        <v>388</v>
      </c>
      <c r="S86" s="111" t="s">
        <v>388</v>
      </c>
      <c r="T86" s="113" t="s">
        <v>398</v>
      </c>
      <c r="U86" s="111" t="s">
        <v>390</v>
      </c>
      <c r="V86" s="114" t="s">
        <v>390</v>
      </c>
      <c r="W86" s="83" t="s">
        <v>399</v>
      </c>
      <c r="X86" s="114" t="s">
        <v>390</v>
      </c>
      <c r="Y86" s="114" t="s">
        <v>479</v>
      </c>
      <c r="Z86" s="114" t="s">
        <v>392</v>
      </c>
      <c r="AA86" t="s">
        <v>401</v>
      </c>
      <c r="AB86" t="s">
        <v>374</v>
      </c>
      <c r="AC86" t="s">
        <v>663</v>
      </c>
      <c r="AE86" t="s">
        <v>342</v>
      </c>
    </row>
    <row r="87" spans="1:31" x14ac:dyDescent="0.25">
      <c r="A87" s="74">
        <v>1045</v>
      </c>
      <c r="B87" s="74" t="s">
        <v>664</v>
      </c>
      <c r="C87" s="74" t="s">
        <v>665</v>
      </c>
      <c r="D87" s="108" t="s">
        <v>388</v>
      </c>
      <c r="E87" s="108" t="s">
        <v>388</v>
      </c>
      <c r="F87" s="108" t="s">
        <v>388</v>
      </c>
      <c r="G87" s="108" t="s">
        <v>388</v>
      </c>
      <c r="H87" s="108" t="s">
        <v>388</v>
      </c>
      <c r="I87" s="109" t="s">
        <v>397</v>
      </c>
      <c r="J87" s="110" t="s">
        <v>388</v>
      </c>
      <c r="K87" s="110" t="s">
        <v>388</v>
      </c>
      <c r="L87" s="110" t="s">
        <v>388</v>
      </c>
      <c r="M87" s="110" t="s">
        <v>388</v>
      </c>
      <c r="N87" s="110" t="s">
        <v>388</v>
      </c>
      <c r="O87" s="111" t="s">
        <v>397</v>
      </c>
      <c r="P87" s="111" t="s">
        <v>388</v>
      </c>
      <c r="Q87" s="111" t="s">
        <v>397</v>
      </c>
      <c r="R87" s="111" t="s">
        <v>388</v>
      </c>
      <c r="S87" s="111" t="s">
        <v>397</v>
      </c>
      <c r="T87" s="113" t="s">
        <v>398</v>
      </c>
      <c r="U87" s="111" t="s">
        <v>390</v>
      </c>
      <c r="V87" s="114" t="s">
        <v>390</v>
      </c>
      <c r="W87" s="83" t="s">
        <v>399</v>
      </c>
      <c r="X87" s="114" t="s">
        <v>390</v>
      </c>
      <c r="Y87" s="114" t="s">
        <v>483</v>
      </c>
      <c r="Z87" s="114" t="s">
        <v>392</v>
      </c>
      <c r="AA87" t="s">
        <v>401</v>
      </c>
      <c r="AB87" t="s">
        <v>374</v>
      </c>
      <c r="AC87" t="s">
        <v>666</v>
      </c>
      <c r="AE87" t="s">
        <v>342</v>
      </c>
    </row>
    <row r="88" spans="1:31" x14ac:dyDescent="0.25">
      <c r="A88" s="74">
        <v>1046</v>
      </c>
      <c r="B88" s="74" t="s">
        <v>667</v>
      </c>
      <c r="C88" s="74" t="s">
        <v>668</v>
      </c>
      <c r="D88" s="108" t="s">
        <v>388</v>
      </c>
      <c r="E88" s="108" t="s">
        <v>388</v>
      </c>
      <c r="F88" s="108" t="s">
        <v>388</v>
      </c>
      <c r="G88" s="108" t="s">
        <v>388</v>
      </c>
      <c r="H88" s="108" t="s">
        <v>388</v>
      </c>
      <c r="I88" s="109" t="s">
        <v>397</v>
      </c>
      <c r="J88" s="110" t="s">
        <v>388</v>
      </c>
      <c r="K88" s="110" t="s">
        <v>388</v>
      </c>
      <c r="L88" s="110" t="s">
        <v>388</v>
      </c>
      <c r="M88" s="110" t="s">
        <v>388</v>
      </c>
      <c r="N88" s="110" t="s">
        <v>388</v>
      </c>
      <c r="O88" s="111" t="s">
        <v>397</v>
      </c>
      <c r="P88" s="111" t="s">
        <v>388</v>
      </c>
      <c r="Q88" s="111" t="s">
        <v>397</v>
      </c>
      <c r="R88" s="111" t="s">
        <v>397</v>
      </c>
      <c r="S88" s="111" t="s">
        <v>388</v>
      </c>
      <c r="T88" s="113" t="s">
        <v>398</v>
      </c>
      <c r="U88" s="111" t="s">
        <v>390</v>
      </c>
      <c r="V88" s="114" t="s">
        <v>390</v>
      </c>
      <c r="W88" s="83" t="s">
        <v>399</v>
      </c>
      <c r="X88" s="114" t="s">
        <v>390</v>
      </c>
      <c r="Y88" s="114" t="s">
        <v>487</v>
      </c>
      <c r="Z88" s="114" t="s">
        <v>392</v>
      </c>
      <c r="AA88" t="s">
        <v>401</v>
      </c>
      <c r="AB88" t="s">
        <v>374</v>
      </c>
      <c r="AC88" t="s">
        <v>669</v>
      </c>
      <c r="AE88" t="s">
        <v>342</v>
      </c>
    </row>
    <row r="89" spans="1:31" x14ac:dyDescent="0.25">
      <c r="A89" s="74">
        <v>1047</v>
      </c>
      <c r="B89" s="74" t="s">
        <v>670</v>
      </c>
      <c r="C89" s="74" t="s">
        <v>671</v>
      </c>
      <c r="D89" s="108" t="s">
        <v>388</v>
      </c>
      <c r="E89" s="108" t="s">
        <v>388</v>
      </c>
      <c r="F89" s="108" t="s">
        <v>388</v>
      </c>
      <c r="G89" s="108" t="s">
        <v>388</v>
      </c>
      <c r="H89" s="108" t="s">
        <v>388</v>
      </c>
      <c r="I89" s="109" t="s">
        <v>397</v>
      </c>
      <c r="J89" s="110" t="s">
        <v>388</v>
      </c>
      <c r="K89" s="110" t="s">
        <v>388</v>
      </c>
      <c r="L89" s="110" t="s">
        <v>388</v>
      </c>
      <c r="M89" s="110" t="s">
        <v>388</v>
      </c>
      <c r="N89" s="110" t="s">
        <v>388</v>
      </c>
      <c r="O89" s="111" t="s">
        <v>397</v>
      </c>
      <c r="P89" s="111" t="s">
        <v>388</v>
      </c>
      <c r="Q89" s="111" t="s">
        <v>397</v>
      </c>
      <c r="R89" s="111" t="s">
        <v>397</v>
      </c>
      <c r="S89" s="111" t="s">
        <v>397</v>
      </c>
      <c r="T89" s="113" t="s">
        <v>398</v>
      </c>
      <c r="U89" s="111" t="s">
        <v>390</v>
      </c>
      <c r="V89" s="114" t="s">
        <v>390</v>
      </c>
      <c r="W89" s="83" t="s">
        <v>399</v>
      </c>
      <c r="X89" s="114" t="s">
        <v>390</v>
      </c>
      <c r="Y89" s="114" t="s">
        <v>491</v>
      </c>
      <c r="Z89" s="114" t="s">
        <v>392</v>
      </c>
      <c r="AA89" t="s">
        <v>401</v>
      </c>
      <c r="AB89" t="s">
        <v>374</v>
      </c>
      <c r="AC89" t="s">
        <v>672</v>
      </c>
      <c r="AE89" t="s">
        <v>342</v>
      </c>
    </row>
    <row r="90" spans="1:31" x14ac:dyDescent="0.25">
      <c r="A90" s="74">
        <v>1048</v>
      </c>
      <c r="B90" s="74" t="s">
        <v>673</v>
      </c>
      <c r="C90" s="74" t="s">
        <v>674</v>
      </c>
      <c r="D90" s="108" t="s">
        <v>388</v>
      </c>
      <c r="E90" s="108" t="s">
        <v>388</v>
      </c>
      <c r="F90" s="108" t="s">
        <v>388</v>
      </c>
      <c r="G90" s="108" t="s">
        <v>388</v>
      </c>
      <c r="H90" s="108" t="s">
        <v>388</v>
      </c>
      <c r="I90" s="109" t="s">
        <v>397</v>
      </c>
      <c r="J90" s="110" t="s">
        <v>388</v>
      </c>
      <c r="K90" s="110" t="s">
        <v>388</v>
      </c>
      <c r="L90" s="110" t="s">
        <v>388</v>
      </c>
      <c r="M90" s="110" t="s">
        <v>388</v>
      </c>
      <c r="N90" s="110" t="s">
        <v>388</v>
      </c>
      <c r="O90" s="111" t="s">
        <v>397</v>
      </c>
      <c r="P90" s="111" t="s">
        <v>397</v>
      </c>
      <c r="Q90" s="111" t="s">
        <v>388</v>
      </c>
      <c r="R90" s="111" t="s">
        <v>388</v>
      </c>
      <c r="S90" s="111" t="s">
        <v>388</v>
      </c>
      <c r="T90" s="113" t="s">
        <v>398</v>
      </c>
      <c r="U90" s="111" t="s">
        <v>390</v>
      </c>
      <c r="V90" s="114" t="s">
        <v>390</v>
      </c>
      <c r="W90" s="83" t="s">
        <v>399</v>
      </c>
      <c r="X90" s="114" t="s">
        <v>390</v>
      </c>
      <c r="Y90" s="114" t="s">
        <v>495</v>
      </c>
      <c r="Z90" s="114" t="s">
        <v>392</v>
      </c>
      <c r="AA90" t="s">
        <v>401</v>
      </c>
      <c r="AB90" t="s">
        <v>374</v>
      </c>
      <c r="AC90" t="s">
        <v>675</v>
      </c>
      <c r="AE90" t="s">
        <v>342</v>
      </c>
    </row>
    <row r="91" spans="1:31" x14ac:dyDescent="0.25">
      <c r="A91" s="74">
        <v>1049</v>
      </c>
      <c r="B91" s="74" t="s">
        <v>676</v>
      </c>
      <c r="C91" s="74" t="s">
        <v>677</v>
      </c>
      <c r="D91" s="108" t="s">
        <v>388</v>
      </c>
      <c r="E91" s="108" t="s">
        <v>388</v>
      </c>
      <c r="F91" s="108" t="s">
        <v>388</v>
      </c>
      <c r="G91" s="108" t="s">
        <v>388</v>
      </c>
      <c r="H91" s="108" t="s">
        <v>388</v>
      </c>
      <c r="I91" s="109" t="s">
        <v>397</v>
      </c>
      <c r="J91" s="110" t="s">
        <v>388</v>
      </c>
      <c r="K91" s="110" t="s">
        <v>388</v>
      </c>
      <c r="L91" s="110" t="s">
        <v>388</v>
      </c>
      <c r="M91" s="110" t="s">
        <v>388</v>
      </c>
      <c r="N91" s="110" t="s">
        <v>388</v>
      </c>
      <c r="O91" s="111" t="s">
        <v>397</v>
      </c>
      <c r="P91" s="111" t="s">
        <v>397</v>
      </c>
      <c r="Q91" s="111" t="s">
        <v>388</v>
      </c>
      <c r="R91" s="111" t="s">
        <v>388</v>
      </c>
      <c r="S91" s="111" t="s">
        <v>397</v>
      </c>
      <c r="T91" s="113" t="s">
        <v>398</v>
      </c>
      <c r="U91" s="111" t="s">
        <v>390</v>
      </c>
      <c r="V91" s="114" t="s">
        <v>390</v>
      </c>
      <c r="W91" s="83" t="s">
        <v>399</v>
      </c>
      <c r="X91" s="114" t="s">
        <v>390</v>
      </c>
      <c r="Y91" s="114" t="s">
        <v>499</v>
      </c>
      <c r="Z91" s="114" t="s">
        <v>392</v>
      </c>
      <c r="AA91" t="s">
        <v>401</v>
      </c>
      <c r="AB91" t="s">
        <v>374</v>
      </c>
      <c r="AC91" t="s">
        <v>678</v>
      </c>
      <c r="AE91" t="s">
        <v>342</v>
      </c>
    </row>
    <row r="92" spans="1:31" x14ac:dyDescent="0.25">
      <c r="A92" s="74">
        <v>1050</v>
      </c>
      <c r="B92" s="74" t="s">
        <v>679</v>
      </c>
      <c r="C92" s="74" t="s">
        <v>680</v>
      </c>
      <c r="D92" s="108" t="s">
        <v>388</v>
      </c>
      <c r="E92" s="108" t="s">
        <v>388</v>
      </c>
      <c r="F92" s="108" t="s">
        <v>388</v>
      </c>
      <c r="G92" s="108" t="s">
        <v>388</v>
      </c>
      <c r="H92" s="108" t="s">
        <v>388</v>
      </c>
      <c r="I92" s="109" t="s">
        <v>397</v>
      </c>
      <c r="J92" s="110" t="s">
        <v>388</v>
      </c>
      <c r="K92" s="110" t="s">
        <v>388</v>
      </c>
      <c r="L92" s="110" t="s">
        <v>388</v>
      </c>
      <c r="M92" s="110" t="s">
        <v>388</v>
      </c>
      <c r="N92" s="110" t="s">
        <v>388</v>
      </c>
      <c r="O92" s="111" t="s">
        <v>397</v>
      </c>
      <c r="P92" s="111" t="s">
        <v>397</v>
      </c>
      <c r="Q92" s="111" t="s">
        <v>388</v>
      </c>
      <c r="R92" s="111" t="s">
        <v>397</v>
      </c>
      <c r="S92" s="111" t="s">
        <v>388</v>
      </c>
      <c r="T92" s="113" t="s">
        <v>398</v>
      </c>
      <c r="U92" s="111" t="s">
        <v>390</v>
      </c>
      <c r="V92" s="114" t="s">
        <v>390</v>
      </c>
      <c r="W92" s="83" t="s">
        <v>399</v>
      </c>
      <c r="X92" s="114" t="s">
        <v>390</v>
      </c>
      <c r="Y92" s="114" t="s">
        <v>503</v>
      </c>
      <c r="Z92" s="114" t="s">
        <v>392</v>
      </c>
      <c r="AA92" t="s">
        <v>401</v>
      </c>
      <c r="AB92" t="s">
        <v>374</v>
      </c>
      <c r="AC92" t="s">
        <v>681</v>
      </c>
      <c r="AE92" t="s">
        <v>342</v>
      </c>
    </row>
    <row r="93" spans="1:31" x14ac:dyDescent="0.25">
      <c r="A93" s="74">
        <v>1051</v>
      </c>
      <c r="B93" s="74" t="s">
        <v>682</v>
      </c>
      <c r="C93" s="74" t="s">
        <v>683</v>
      </c>
      <c r="D93" s="108" t="s">
        <v>388</v>
      </c>
      <c r="E93" s="108" t="s">
        <v>388</v>
      </c>
      <c r="F93" s="108" t="s">
        <v>388</v>
      </c>
      <c r="G93" s="108" t="s">
        <v>388</v>
      </c>
      <c r="H93" s="108" t="s">
        <v>388</v>
      </c>
      <c r="I93" s="109" t="s">
        <v>397</v>
      </c>
      <c r="J93" s="110" t="s">
        <v>388</v>
      </c>
      <c r="K93" s="110" t="s">
        <v>388</v>
      </c>
      <c r="L93" s="110" t="s">
        <v>388</v>
      </c>
      <c r="M93" s="110" t="s">
        <v>388</v>
      </c>
      <c r="N93" s="110" t="s">
        <v>388</v>
      </c>
      <c r="O93" s="111" t="s">
        <v>397</v>
      </c>
      <c r="P93" s="111" t="s">
        <v>397</v>
      </c>
      <c r="Q93" s="111" t="s">
        <v>388</v>
      </c>
      <c r="R93" s="111" t="s">
        <v>397</v>
      </c>
      <c r="S93" s="111" t="s">
        <v>397</v>
      </c>
      <c r="T93" s="113" t="s">
        <v>398</v>
      </c>
      <c r="U93" s="111" t="s">
        <v>390</v>
      </c>
      <c r="V93" s="114" t="s">
        <v>390</v>
      </c>
      <c r="W93" s="83" t="s">
        <v>399</v>
      </c>
      <c r="X93" s="114" t="s">
        <v>390</v>
      </c>
      <c r="Y93" s="114" t="s">
        <v>507</v>
      </c>
      <c r="Z93" s="114" t="s">
        <v>392</v>
      </c>
      <c r="AA93" t="s">
        <v>401</v>
      </c>
      <c r="AB93" t="s">
        <v>374</v>
      </c>
      <c r="AC93" t="s">
        <v>684</v>
      </c>
      <c r="AE93" t="s">
        <v>342</v>
      </c>
    </row>
    <row r="94" spans="1:31" x14ac:dyDescent="0.25">
      <c r="A94" s="74">
        <v>1052</v>
      </c>
      <c r="B94" s="74" t="s">
        <v>685</v>
      </c>
      <c r="C94" s="74" t="s">
        <v>686</v>
      </c>
      <c r="D94" s="108" t="s">
        <v>388</v>
      </c>
      <c r="E94" s="108" t="s">
        <v>388</v>
      </c>
      <c r="F94" s="108" t="s">
        <v>388</v>
      </c>
      <c r="G94" s="108" t="s">
        <v>388</v>
      </c>
      <c r="H94" s="108" t="s">
        <v>388</v>
      </c>
      <c r="I94" s="109" t="s">
        <v>397</v>
      </c>
      <c r="J94" s="110" t="s">
        <v>388</v>
      </c>
      <c r="K94" s="110" t="s">
        <v>388</v>
      </c>
      <c r="L94" s="110" t="s">
        <v>388</v>
      </c>
      <c r="M94" s="110" t="s">
        <v>388</v>
      </c>
      <c r="N94" s="110" t="s">
        <v>388</v>
      </c>
      <c r="O94" s="111" t="s">
        <v>397</v>
      </c>
      <c r="P94" s="111" t="s">
        <v>397</v>
      </c>
      <c r="Q94" s="111" t="s">
        <v>397</v>
      </c>
      <c r="R94" s="111" t="s">
        <v>388</v>
      </c>
      <c r="S94" s="111" t="s">
        <v>388</v>
      </c>
      <c r="T94" s="113" t="s">
        <v>398</v>
      </c>
      <c r="U94" s="111" t="s">
        <v>390</v>
      </c>
      <c r="V94" s="114" t="s">
        <v>390</v>
      </c>
      <c r="W94" s="83" t="s">
        <v>399</v>
      </c>
      <c r="X94" s="114" t="s">
        <v>390</v>
      </c>
      <c r="Y94" s="114" t="s">
        <v>511</v>
      </c>
      <c r="Z94" s="114" t="s">
        <v>392</v>
      </c>
      <c r="AA94" t="s">
        <v>401</v>
      </c>
      <c r="AB94" t="s">
        <v>374</v>
      </c>
      <c r="AC94" t="s">
        <v>687</v>
      </c>
      <c r="AE94" t="s">
        <v>342</v>
      </c>
    </row>
    <row r="95" spans="1:31" x14ac:dyDescent="0.25">
      <c r="A95" s="74">
        <v>1053</v>
      </c>
      <c r="B95" s="74" t="s">
        <v>688</v>
      </c>
      <c r="C95" s="74" t="s">
        <v>689</v>
      </c>
      <c r="D95" s="108" t="s">
        <v>388</v>
      </c>
      <c r="E95" s="108" t="s">
        <v>388</v>
      </c>
      <c r="F95" s="108" t="s">
        <v>388</v>
      </c>
      <c r="G95" s="108" t="s">
        <v>388</v>
      </c>
      <c r="H95" s="108" t="s">
        <v>388</v>
      </c>
      <c r="I95" s="109" t="s">
        <v>397</v>
      </c>
      <c r="J95" s="110" t="s">
        <v>388</v>
      </c>
      <c r="K95" s="110" t="s">
        <v>388</v>
      </c>
      <c r="L95" s="110" t="s">
        <v>388</v>
      </c>
      <c r="M95" s="110" t="s">
        <v>388</v>
      </c>
      <c r="N95" s="110" t="s">
        <v>388</v>
      </c>
      <c r="O95" s="111" t="s">
        <v>397</v>
      </c>
      <c r="P95" s="111" t="s">
        <v>397</v>
      </c>
      <c r="Q95" s="111" t="s">
        <v>397</v>
      </c>
      <c r="R95" s="111" t="s">
        <v>388</v>
      </c>
      <c r="S95" s="111" t="s">
        <v>397</v>
      </c>
      <c r="T95" s="113" t="s">
        <v>398</v>
      </c>
      <c r="U95" s="111" t="s">
        <v>390</v>
      </c>
      <c r="V95" s="114" t="s">
        <v>390</v>
      </c>
      <c r="W95" s="83" t="s">
        <v>399</v>
      </c>
      <c r="X95" s="114" t="s">
        <v>390</v>
      </c>
      <c r="Y95" s="114" t="s">
        <v>515</v>
      </c>
      <c r="Z95" s="114" t="s">
        <v>392</v>
      </c>
      <c r="AA95" t="s">
        <v>401</v>
      </c>
      <c r="AB95" t="s">
        <v>374</v>
      </c>
      <c r="AC95" t="s">
        <v>690</v>
      </c>
      <c r="AE95" t="s">
        <v>342</v>
      </c>
    </row>
    <row r="96" spans="1:31" x14ac:dyDescent="0.25">
      <c r="A96" s="74">
        <v>1054</v>
      </c>
      <c r="B96" s="74" t="s">
        <v>691</v>
      </c>
      <c r="C96" s="74" t="s">
        <v>692</v>
      </c>
      <c r="D96" s="108" t="s">
        <v>388</v>
      </c>
      <c r="E96" s="108" t="s">
        <v>388</v>
      </c>
      <c r="F96" s="108" t="s">
        <v>388</v>
      </c>
      <c r="G96" s="108" t="s">
        <v>388</v>
      </c>
      <c r="H96" s="108" t="s">
        <v>388</v>
      </c>
      <c r="I96" s="109" t="s">
        <v>397</v>
      </c>
      <c r="J96" s="110" t="s">
        <v>388</v>
      </c>
      <c r="K96" s="110" t="s">
        <v>388</v>
      </c>
      <c r="L96" s="110" t="s">
        <v>388</v>
      </c>
      <c r="M96" s="110" t="s">
        <v>388</v>
      </c>
      <c r="N96" s="110" t="s">
        <v>388</v>
      </c>
      <c r="O96" s="111" t="s">
        <v>397</v>
      </c>
      <c r="P96" s="111" t="s">
        <v>397</v>
      </c>
      <c r="Q96" s="111" t="s">
        <v>397</v>
      </c>
      <c r="R96" s="111" t="s">
        <v>397</v>
      </c>
      <c r="S96" s="111" t="s">
        <v>388</v>
      </c>
      <c r="T96" s="113" t="s">
        <v>398</v>
      </c>
      <c r="U96" s="111" t="s">
        <v>390</v>
      </c>
      <c r="V96" s="114" t="s">
        <v>390</v>
      </c>
      <c r="W96" s="83" t="s">
        <v>399</v>
      </c>
      <c r="X96" s="114" t="s">
        <v>390</v>
      </c>
      <c r="Y96" s="114" t="s">
        <v>519</v>
      </c>
      <c r="Z96" s="114" t="s">
        <v>392</v>
      </c>
      <c r="AA96" t="s">
        <v>401</v>
      </c>
      <c r="AB96" t="s">
        <v>374</v>
      </c>
      <c r="AC96" t="s">
        <v>693</v>
      </c>
      <c r="AE96" t="s">
        <v>342</v>
      </c>
    </row>
    <row r="97" spans="1:31" x14ac:dyDescent="0.25">
      <c r="A97" s="74">
        <v>1055</v>
      </c>
      <c r="B97" s="74" t="s">
        <v>694</v>
      </c>
      <c r="C97" s="74" t="s">
        <v>695</v>
      </c>
      <c r="D97" s="108" t="s">
        <v>388</v>
      </c>
      <c r="E97" s="108" t="s">
        <v>388</v>
      </c>
      <c r="F97" s="108" t="s">
        <v>388</v>
      </c>
      <c r="G97" s="108" t="s">
        <v>388</v>
      </c>
      <c r="H97" s="108" t="s">
        <v>388</v>
      </c>
      <c r="I97" s="109" t="s">
        <v>397</v>
      </c>
      <c r="J97" s="110" t="s">
        <v>388</v>
      </c>
      <c r="K97" s="110" t="s">
        <v>388</v>
      </c>
      <c r="L97" s="110" t="s">
        <v>388</v>
      </c>
      <c r="M97" s="110" t="s">
        <v>388</v>
      </c>
      <c r="N97" s="110" t="s">
        <v>388</v>
      </c>
      <c r="O97" s="111" t="s">
        <v>397</v>
      </c>
      <c r="P97" s="111" t="s">
        <v>397</v>
      </c>
      <c r="Q97" s="111" t="s">
        <v>397</v>
      </c>
      <c r="R97" s="111" t="s">
        <v>397</v>
      </c>
      <c r="S97" s="111" t="s">
        <v>397</v>
      </c>
      <c r="T97" s="113" t="s">
        <v>398</v>
      </c>
      <c r="U97" s="111" t="s">
        <v>390</v>
      </c>
      <c r="V97" s="114" t="s">
        <v>390</v>
      </c>
      <c r="W97" s="83" t="s">
        <v>399</v>
      </c>
      <c r="X97" s="114" t="s">
        <v>390</v>
      </c>
      <c r="Y97" s="114" t="s">
        <v>523</v>
      </c>
      <c r="Z97" s="114" t="s">
        <v>392</v>
      </c>
      <c r="AA97" t="s">
        <v>401</v>
      </c>
      <c r="AB97" t="s">
        <v>374</v>
      </c>
      <c r="AC97" t="s">
        <v>696</v>
      </c>
      <c r="AE97" t="s">
        <v>342</v>
      </c>
    </row>
    <row r="98" spans="1:31" x14ac:dyDescent="0.25">
      <c r="A98" s="74">
        <v>2016</v>
      </c>
      <c r="B98" s="74" t="s">
        <v>697</v>
      </c>
      <c r="C98" s="74" t="s">
        <v>698</v>
      </c>
      <c r="D98" s="108" t="s">
        <v>388</v>
      </c>
      <c r="E98" s="108" t="s">
        <v>388</v>
      </c>
      <c r="F98" s="108" t="s">
        <v>388</v>
      </c>
      <c r="G98" s="108" t="s">
        <v>388</v>
      </c>
      <c r="H98" s="108" t="s">
        <v>388</v>
      </c>
      <c r="I98" s="109" t="s">
        <v>397</v>
      </c>
      <c r="J98" s="110" t="s">
        <v>397</v>
      </c>
      <c r="K98" s="110" t="s">
        <v>397</v>
      </c>
      <c r="L98" s="110" t="s">
        <v>397</v>
      </c>
      <c r="M98" s="110" t="s">
        <v>397</v>
      </c>
      <c r="N98" s="110" t="s">
        <v>397</v>
      </c>
      <c r="O98" s="111" t="s">
        <v>388</v>
      </c>
      <c r="P98" s="111" t="s">
        <v>388</v>
      </c>
      <c r="Q98" s="111" t="s">
        <v>388</v>
      </c>
      <c r="R98" s="111" t="s">
        <v>388</v>
      </c>
      <c r="S98" s="111" t="s">
        <v>388</v>
      </c>
      <c r="T98" s="113" t="s">
        <v>591</v>
      </c>
      <c r="U98" s="111" t="s">
        <v>390</v>
      </c>
      <c r="V98" s="114" t="s">
        <v>390</v>
      </c>
      <c r="W98" s="83" t="s">
        <v>399</v>
      </c>
      <c r="X98" s="114" t="s">
        <v>523</v>
      </c>
      <c r="Y98" s="114" t="s">
        <v>390</v>
      </c>
      <c r="Z98" s="114" t="s">
        <v>392</v>
      </c>
      <c r="AA98" t="s">
        <v>401</v>
      </c>
      <c r="AB98" t="s">
        <v>348</v>
      </c>
      <c r="AC98" t="s">
        <v>592</v>
      </c>
      <c r="AE98" t="s">
        <v>342</v>
      </c>
    </row>
    <row r="99" spans="1:31" x14ac:dyDescent="0.25">
      <c r="A99" s="74">
        <v>2017</v>
      </c>
      <c r="B99" s="74" t="s">
        <v>699</v>
      </c>
      <c r="C99" s="74" t="s">
        <v>700</v>
      </c>
      <c r="D99" s="108" t="s">
        <v>388</v>
      </c>
      <c r="E99" s="108" t="s">
        <v>388</v>
      </c>
      <c r="F99" s="108" t="s">
        <v>388</v>
      </c>
      <c r="G99" s="108" t="s">
        <v>388</v>
      </c>
      <c r="H99" s="108" t="s">
        <v>388</v>
      </c>
      <c r="I99" s="109" t="s">
        <v>397</v>
      </c>
      <c r="J99" s="110" t="s">
        <v>397</v>
      </c>
      <c r="K99" s="110" t="s">
        <v>397</v>
      </c>
      <c r="L99" s="110" t="s">
        <v>397</v>
      </c>
      <c r="M99" s="110" t="s">
        <v>397</v>
      </c>
      <c r="N99" s="110" t="s">
        <v>397</v>
      </c>
      <c r="O99" s="111" t="s">
        <v>388</v>
      </c>
      <c r="P99" s="111" t="s">
        <v>388</v>
      </c>
      <c r="Q99" s="111" t="s">
        <v>388</v>
      </c>
      <c r="R99" s="111" t="s">
        <v>388</v>
      </c>
      <c r="S99" s="111" t="s">
        <v>397</v>
      </c>
      <c r="T99" s="113" t="s">
        <v>595</v>
      </c>
      <c r="U99" s="111" t="s">
        <v>390</v>
      </c>
      <c r="V99" s="114" t="s">
        <v>390</v>
      </c>
      <c r="W99" s="83" t="s">
        <v>399</v>
      </c>
      <c r="X99" s="114" t="s">
        <v>523</v>
      </c>
      <c r="Y99" s="114" t="s">
        <v>400</v>
      </c>
      <c r="Z99" s="114" t="s">
        <v>392</v>
      </c>
      <c r="AA99" t="s">
        <v>401</v>
      </c>
      <c r="AB99" t="s">
        <v>204</v>
      </c>
      <c r="AC99" t="s">
        <v>596</v>
      </c>
      <c r="AE99" t="s">
        <v>342</v>
      </c>
    </row>
    <row r="100" spans="1:31" x14ac:dyDescent="0.25">
      <c r="A100" s="74">
        <v>2018</v>
      </c>
      <c r="B100" s="74" t="s">
        <v>701</v>
      </c>
      <c r="C100" s="74" t="s">
        <v>702</v>
      </c>
      <c r="D100" s="108" t="s">
        <v>388</v>
      </c>
      <c r="E100" s="108" t="s">
        <v>388</v>
      </c>
      <c r="F100" s="108" t="s">
        <v>388</v>
      </c>
      <c r="G100" s="108" t="s">
        <v>388</v>
      </c>
      <c r="H100" s="108" t="s">
        <v>388</v>
      </c>
      <c r="I100" s="109" t="s">
        <v>397</v>
      </c>
      <c r="J100" s="110" t="s">
        <v>397</v>
      </c>
      <c r="K100" s="110" t="s">
        <v>397</v>
      </c>
      <c r="L100" s="110" t="s">
        <v>397</v>
      </c>
      <c r="M100" s="110" t="s">
        <v>397</v>
      </c>
      <c r="N100" s="110" t="s">
        <v>397</v>
      </c>
      <c r="O100" s="111" t="s">
        <v>388</v>
      </c>
      <c r="P100" s="111" t="s">
        <v>388</v>
      </c>
      <c r="Q100" s="111" t="s">
        <v>388</v>
      </c>
      <c r="R100" s="111" t="s">
        <v>397</v>
      </c>
      <c r="S100" s="111" t="s">
        <v>388</v>
      </c>
      <c r="T100" s="113" t="s">
        <v>599</v>
      </c>
      <c r="U100" s="111" t="s">
        <v>390</v>
      </c>
      <c r="V100" s="114" t="s">
        <v>390</v>
      </c>
      <c r="W100" s="83" t="s">
        <v>399</v>
      </c>
      <c r="X100" s="114" t="s">
        <v>523</v>
      </c>
      <c r="Y100" s="114" t="s">
        <v>405</v>
      </c>
      <c r="Z100" s="114" t="s">
        <v>392</v>
      </c>
      <c r="AA100" t="s">
        <v>401</v>
      </c>
      <c r="AB100" t="s">
        <v>375</v>
      </c>
      <c r="AC100" t="s">
        <v>600</v>
      </c>
      <c r="AE100" t="s">
        <v>342</v>
      </c>
    </row>
    <row r="101" spans="1:31" x14ac:dyDescent="0.25">
      <c r="A101" s="74">
        <v>2019</v>
      </c>
      <c r="B101" s="74" t="s">
        <v>703</v>
      </c>
      <c r="C101" s="74" t="s">
        <v>704</v>
      </c>
      <c r="D101" s="108" t="s">
        <v>388</v>
      </c>
      <c r="E101" s="108" t="s">
        <v>388</v>
      </c>
      <c r="F101" s="108" t="s">
        <v>388</v>
      </c>
      <c r="G101" s="108" t="s">
        <v>388</v>
      </c>
      <c r="H101" s="108" t="s">
        <v>388</v>
      </c>
      <c r="I101" s="109" t="s">
        <v>397</v>
      </c>
      <c r="J101" s="110" t="s">
        <v>397</v>
      </c>
      <c r="K101" s="110" t="s">
        <v>397</v>
      </c>
      <c r="L101" s="110" t="s">
        <v>397</v>
      </c>
      <c r="M101" s="110" t="s">
        <v>397</v>
      </c>
      <c r="N101" s="110" t="s">
        <v>397</v>
      </c>
      <c r="O101" s="111" t="s">
        <v>388</v>
      </c>
      <c r="P101" s="111" t="s">
        <v>388</v>
      </c>
      <c r="Q101" s="111" t="s">
        <v>388</v>
      </c>
      <c r="R101" s="111" t="s">
        <v>397</v>
      </c>
      <c r="S101" s="111" t="s">
        <v>397</v>
      </c>
      <c r="T101" s="113" t="s">
        <v>603</v>
      </c>
      <c r="U101" s="111" t="s">
        <v>390</v>
      </c>
      <c r="V101" s="114" t="s">
        <v>390</v>
      </c>
      <c r="W101" s="83" t="s">
        <v>399</v>
      </c>
      <c r="X101" s="114" t="s">
        <v>523</v>
      </c>
      <c r="Y101" s="114" t="s">
        <v>409</v>
      </c>
      <c r="Z101" s="114" t="s">
        <v>392</v>
      </c>
      <c r="AA101" t="s">
        <v>401</v>
      </c>
      <c r="AB101" t="s">
        <v>376</v>
      </c>
      <c r="AC101" t="s">
        <v>604</v>
      </c>
      <c r="AE101" t="s">
        <v>342</v>
      </c>
    </row>
    <row r="102" spans="1:31" x14ac:dyDescent="0.25">
      <c r="A102" s="74">
        <v>2020</v>
      </c>
      <c r="B102" s="74" t="s">
        <v>705</v>
      </c>
      <c r="C102" s="74" t="s">
        <v>706</v>
      </c>
      <c r="D102" s="108" t="s">
        <v>388</v>
      </c>
      <c r="E102" s="108" t="s">
        <v>388</v>
      </c>
      <c r="F102" s="108" t="s">
        <v>388</v>
      </c>
      <c r="G102" s="108" t="s">
        <v>388</v>
      </c>
      <c r="H102" s="108" t="s">
        <v>388</v>
      </c>
      <c r="I102" s="109" t="s">
        <v>397</v>
      </c>
      <c r="J102" s="110" t="s">
        <v>397</v>
      </c>
      <c r="K102" s="110" t="s">
        <v>397</v>
      </c>
      <c r="L102" s="110" t="s">
        <v>397</v>
      </c>
      <c r="M102" s="110" t="s">
        <v>397</v>
      </c>
      <c r="N102" s="110" t="s">
        <v>397</v>
      </c>
      <c r="O102" s="111" t="s">
        <v>388</v>
      </c>
      <c r="P102" s="111" t="s">
        <v>388</v>
      </c>
      <c r="Q102" s="111" t="s">
        <v>397</v>
      </c>
      <c r="R102" s="111" t="s">
        <v>388</v>
      </c>
      <c r="S102" s="111" t="s">
        <v>388</v>
      </c>
      <c r="T102" s="113" t="s">
        <v>607</v>
      </c>
      <c r="U102" s="111" t="s">
        <v>390</v>
      </c>
      <c r="V102" s="114" t="s">
        <v>390</v>
      </c>
      <c r="W102" s="83" t="s">
        <v>399</v>
      </c>
      <c r="X102" s="114" t="s">
        <v>523</v>
      </c>
      <c r="Y102" s="114" t="s">
        <v>413</v>
      </c>
      <c r="Z102" s="114" t="s">
        <v>392</v>
      </c>
      <c r="AA102" t="s">
        <v>401</v>
      </c>
      <c r="AB102" t="s">
        <v>377</v>
      </c>
      <c r="AC102" t="s">
        <v>608</v>
      </c>
      <c r="AE102" t="s">
        <v>342</v>
      </c>
    </row>
    <row r="103" spans="1:31" x14ac:dyDescent="0.25">
      <c r="A103" s="74">
        <v>2021</v>
      </c>
      <c r="B103" s="74" t="s">
        <v>707</v>
      </c>
      <c r="C103" s="74" t="s">
        <v>708</v>
      </c>
      <c r="D103" s="108" t="s">
        <v>388</v>
      </c>
      <c r="E103" s="108" t="s">
        <v>388</v>
      </c>
      <c r="F103" s="108" t="s">
        <v>388</v>
      </c>
      <c r="G103" s="108" t="s">
        <v>388</v>
      </c>
      <c r="H103" s="108" t="s">
        <v>388</v>
      </c>
      <c r="I103" s="109" t="s">
        <v>397</v>
      </c>
      <c r="J103" s="110" t="s">
        <v>397</v>
      </c>
      <c r="K103" s="110" t="s">
        <v>397</v>
      </c>
      <c r="L103" s="110" t="s">
        <v>397</v>
      </c>
      <c r="M103" s="110" t="s">
        <v>397</v>
      </c>
      <c r="N103" s="110" t="s">
        <v>397</v>
      </c>
      <c r="O103" s="111" t="s">
        <v>388</v>
      </c>
      <c r="P103" s="111" t="s">
        <v>388</v>
      </c>
      <c r="Q103" s="111" t="s">
        <v>397</v>
      </c>
      <c r="R103" s="111" t="s">
        <v>388</v>
      </c>
      <c r="S103" s="111" t="s">
        <v>397</v>
      </c>
      <c r="T103" s="113" t="s">
        <v>611</v>
      </c>
      <c r="U103" s="111" t="s">
        <v>390</v>
      </c>
      <c r="V103" s="114" t="s">
        <v>390</v>
      </c>
      <c r="W103" s="83" t="s">
        <v>399</v>
      </c>
      <c r="X103" s="114" t="s">
        <v>523</v>
      </c>
      <c r="Y103" s="114" t="s">
        <v>417</v>
      </c>
      <c r="Z103" s="114" t="s">
        <v>392</v>
      </c>
      <c r="AA103" t="s">
        <v>401</v>
      </c>
      <c r="AB103" t="s">
        <v>378</v>
      </c>
      <c r="AC103" t="s">
        <v>612</v>
      </c>
      <c r="AE103" t="s">
        <v>342</v>
      </c>
    </row>
    <row r="104" spans="1:31" x14ac:dyDescent="0.25">
      <c r="A104" s="74">
        <v>2022</v>
      </c>
      <c r="B104" s="74" t="s">
        <v>709</v>
      </c>
      <c r="C104" s="74" t="s">
        <v>710</v>
      </c>
      <c r="D104" s="108" t="s">
        <v>388</v>
      </c>
      <c r="E104" s="108" t="s">
        <v>388</v>
      </c>
      <c r="F104" s="108" t="s">
        <v>388</v>
      </c>
      <c r="G104" s="108" t="s">
        <v>388</v>
      </c>
      <c r="H104" s="108" t="s">
        <v>388</v>
      </c>
      <c r="I104" s="109" t="s">
        <v>397</v>
      </c>
      <c r="J104" s="110" t="s">
        <v>397</v>
      </c>
      <c r="K104" s="110" t="s">
        <v>397</v>
      </c>
      <c r="L104" s="110" t="s">
        <v>397</v>
      </c>
      <c r="M104" s="110" t="s">
        <v>397</v>
      </c>
      <c r="N104" s="110" t="s">
        <v>397</v>
      </c>
      <c r="O104" s="111" t="s">
        <v>388</v>
      </c>
      <c r="P104" s="111" t="s">
        <v>388</v>
      </c>
      <c r="Q104" s="111" t="s">
        <v>397</v>
      </c>
      <c r="R104" s="111" t="s">
        <v>397</v>
      </c>
      <c r="S104" s="111" t="s">
        <v>388</v>
      </c>
      <c r="T104" s="113" t="s">
        <v>615</v>
      </c>
      <c r="U104" s="111" t="s">
        <v>390</v>
      </c>
      <c r="V104" s="114" t="s">
        <v>390</v>
      </c>
      <c r="W104" s="83" t="s">
        <v>399</v>
      </c>
      <c r="X104" s="114" t="s">
        <v>523</v>
      </c>
      <c r="Y104" s="114" t="s">
        <v>421</v>
      </c>
      <c r="Z104" s="114" t="s">
        <v>392</v>
      </c>
      <c r="AA104" t="s">
        <v>401</v>
      </c>
      <c r="AB104" t="s">
        <v>379</v>
      </c>
      <c r="AC104" t="s">
        <v>616</v>
      </c>
      <c r="AE104" t="s">
        <v>342</v>
      </c>
    </row>
    <row r="105" spans="1:31" x14ac:dyDescent="0.25">
      <c r="A105" s="74">
        <v>2023</v>
      </c>
      <c r="B105" s="74" t="s">
        <v>711</v>
      </c>
      <c r="C105" s="74" t="s">
        <v>712</v>
      </c>
      <c r="D105" s="108" t="s">
        <v>388</v>
      </c>
      <c r="E105" s="108" t="s">
        <v>388</v>
      </c>
      <c r="F105" s="108" t="s">
        <v>388</v>
      </c>
      <c r="G105" s="108" t="s">
        <v>388</v>
      </c>
      <c r="H105" s="108" t="s">
        <v>388</v>
      </c>
      <c r="I105" s="109" t="s">
        <v>397</v>
      </c>
      <c r="J105" s="110" t="s">
        <v>397</v>
      </c>
      <c r="K105" s="110" t="s">
        <v>397</v>
      </c>
      <c r="L105" s="110" t="s">
        <v>397</v>
      </c>
      <c r="M105" s="110" t="s">
        <v>397</v>
      </c>
      <c r="N105" s="110" t="s">
        <v>397</v>
      </c>
      <c r="O105" s="111" t="s">
        <v>388</v>
      </c>
      <c r="P105" s="111" t="s">
        <v>388</v>
      </c>
      <c r="Q105" s="111" t="s">
        <v>397</v>
      </c>
      <c r="R105" s="111" t="s">
        <v>397</v>
      </c>
      <c r="S105" s="111" t="s">
        <v>397</v>
      </c>
      <c r="T105" s="113" t="s">
        <v>619</v>
      </c>
      <c r="U105" s="111" t="s">
        <v>390</v>
      </c>
      <c r="V105" s="114" t="s">
        <v>390</v>
      </c>
      <c r="W105" s="83" t="s">
        <v>399</v>
      </c>
      <c r="X105" s="114" t="s">
        <v>523</v>
      </c>
      <c r="Y105" s="114" t="s">
        <v>425</v>
      </c>
      <c r="Z105" s="114" t="s">
        <v>392</v>
      </c>
      <c r="AA105" t="s">
        <v>401</v>
      </c>
      <c r="AB105" t="s">
        <v>380</v>
      </c>
      <c r="AC105" t="s">
        <v>620</v>
      </c>
      <c r="AE105" t="s">
        <v>342</v>
      </c>
    </row>
    <row r="106" spans="1:31" x14ac:dyDescent="0.25">
      <c r="A106" s="74">
        <v>2024</v>
      </c>
      <c r="B106" s="74" t="s">
        <v>713</v>
      </c>
      <c r="C106" s="74" t="s">
        <v>714</v>
      </c>
      <c r="D106" s="108" t="s">
        <v>388</v>
      </c>
      <c r="E106" s="108" t="s">
        <v>388</v>
      </c>
      <c r="F106" s="108" t="s">
        <v>388</v>
      </c>
      <c r="G106" s="108" t="s">
        <v>388</v>
      </c>
      <c r="H106" s="108" t="s">
        <v>388</v>
      </c>
      <c r="I106" s="109" t="s">
        <v>397</v>
      </c>
      <c r="J106" s="110" t="s">
        <v>397</v>
      </c>
      <c r="K106" s="110" t="s">
        <v>397</v>
      </c>
      <c r="L106" s="110" t="s">
        <v>397</v>
      </c>
      <c r="M106" s="110" t="s">
        <v>397</v>
      </c>
      <c r="N106" s="110" t="s">
        <v>397</v>
      </c>
      <c r="O106" s="111" t="s">
        <v>388</v>
      </c>
      <c r="P106" s="111" t="s">
        <v>397</v>
      </c>
      <c r="Q106" s="111" t="s">
        <v>388</v>
      </c>
      <c r="R106" s="111" t="s">
        <v>388</v>
      </c>
      <c r="S106" s="111" t="s">
        <v>388</v>
      </c>
      <c r="T106" s="113" t="s">
        <v>623</v>
      </c>
      <c r="U106" s="111" t="s">
        <v>390</v>
      </c>
      <c r="V106" s="114" t="s">
        <v>390</v>
      </c>
      <c r="W106" s="83" t="s">
        <v>399</v>
      </c>
      <c r="X106" s="114" t="s">
        <v>523</v>
      </c>
      <c r="Y106" s="114" t="s">
        <v>429</v>
      </c>
      <c r="Z106" s="114" t="s">
        <v>392</v>
      </c>
      <c r="AA106" t="s">
        <v>401</v>
      </c>
      <c r="AB106" t="s">
        <v>355</v>
      </c>
      <c r="AC106" t="s">
        <v>624</v>
      </c>
      <c r="AE106" t="s">
        <v>342</v>
      </c>
    </row>
    <row r="107" spans="1:31" x14ac:dyDescent="0.25">
      <c r="A107" s="74">
        <v>2025</v>
      </c>
      <c r="B107" s="74" t="s">
        <v>715</v>
      </c>
      <c r="C107" s="74" t="s">
        <v>716</v>
      </c>
      <c r="D107" s="108" t="s">
        <v>388</v>
      </c>
      <c r="E107" s="108" t="s">
        <v>388</v>
      </c>
      <c r="F107" s="108" t="s">
        <v>388</v>
      </c>
      <c r="G107" s="108" t="s">
        <v>388</v>
      </c>
      <c r="H107" s="108" t="s">
        <v>388</v>
      </c>
      <c r="I107" s="109" t="s">
        <v>397</v>
      </c>
      <c r="J107" s="110" t="s">
        <v>397</v>
      </c>
      <c r="K107" s="110" t="s">
        <v>397</v>
      </c>
      <c r="L107" s="110" t="s">
        <v>397</v>
      </c>
      <c r="M107" s="110" t="s">
        <v>397</v>
      </c>
      <c r="N107" s="110" t="s">
        <v>397</v>
      </c>
      <c r="O107" s="111" t="s">
        <v>388</v>
      </c>
      <c r="P107" s="111" t="s">
        <v>397</v>
      </c>
      <c r="Q107" s="111" t="s">
        <v>388</v>
      </c>
      <c r="R107" s="111" t="s">
        <v>388</v>
      </c>
      <c r="S107" s="111" t="s">
        <v>397</v>
      </c>
      <c r="T107" s="113" t="s">
        <v>398</v>
      </c>
      <c r="U107" s="111" t="s">
        <v>390</v>
      </c>
      <c r="V107" s="114" t="s">
        <v>390</v>
      </c>
      <c r="W107" s="83" t="s">
        <v>399</v>
      </c>
      <c r="X107" s="114" t="s">
        <v>523</v>
      </c>
      <c r="Y107" s="114" t="s">
        <v>433</v>
      </c>
      <c r="Z107" s="114" t="s">
        <v>392</v>
      </c>
      <c r="AA107" t="s">
        <v>401</v>
      </c>
      <c r="AB107" t="s">
        <v>374</v>
      </c>
      <c r="AC107" t="s">
        <v>627</v>
      </c>
      <c r="AE107" t="s">
        <v>342</v>
      </c>
    </row>
    <row r="108" spans="1:31" x14ac:dyDescent="0.25">
      <c r="A108" s="74">
        <v>2026</v>
      </c>
      <c r="B108" s="74" t="s">
        <v>717</v>
      </c>
      <c r="C108" s="74" t="s">
        <v>718</v>
      </c>
      <c r="D108" s="108" t="s">
        <v>388</v>
      </c>
      <c r="E108" s="108" t="s">
        <v>388</v>
      </c>
      <c r="F108" s="108" t="s">
        <v>388</v>
      </c>
      <c r="G108" s="108" t="s">
        <v>388</v>
      </c>
      <c r="H108" s="108" t="s">
        <v>388</v>
      </c>
      <c r="I108" s="109" t="s">
        <v>397</v>
      </c>
      <c r="J108" s="110" t="s">
        <v>397</v>
      </c>
      <c r="K108" s="110" t="s">
        <v>397</v>
      </c>
      <c r="L108" s="110" t="s">
        <v>397</v>
      </c>
      <c r="M108" s="110" t="s">
        <v>397</v>
      </c>
      <c r="N108" s="110" t="s">
        <v>397</v>
      </c>
      <c r="O108" s="111" t="s">
        <v>388</v>
      </c>
      <c r="P108" s="111" t="s">
        <v>397</v>
      </c>
      <c r="Q108" s="111" t="s">
        <v>388</v>
      </c>
      <c r="R108" s="111" t="s">
        <v>397</v>
      </c>
      <c r="S108" s="111" t="s">
        <v>388</v>
      </c>
      <c r="T108" s="113" t="s">
        <v>398</v>
      </c>
      <c r="U108" s="111" t="s">
        <v>390</v>
      </c>
      <c r="V108" s="114" t="s">
        <v>390</v>
      </c>
      <c r="W108" s="83" t="s">
        <v>399</v>
      </c>
      <c r="X108" s="114" t="s">
        <v>523</v>
      </c>
      <c r="Y108" s="114" t="s">
        <v>437</v>
      </c>
      <c r="Z108" s="114" t="s">
        <v>392</v>
      </c>
      <c r="AA108" t="s">
        <v>401</v>
      </c>
      <c r="AB108" t="s">
        <v>374</v>
      </c>
      <c r="AC108" t="s">
        <v>630</v>
      </c>
      <c r="AE108" t="s">
        <v>342</v>
      </c>
    </row>
    <row r="109" spans="1:31" x14ac:dyDescent="0.25">
      <c r="A109" s="74">
        <v>2027</v>
      </c>
      <c r="B109" s="74" t="s">
        <v>719</v>
      </c>
      <c r="C109" s="74" t="s">
        <v>720</v>
      </c>
      <c r="D109" s="108" t="s">
        <v>388</v>
      </c>
      <c r="E109" s="108" t="s">
        <v>388</v>
      </c>
      <c r="F109" s="108" t="s">
        <v>388</v>
      </c>
      <c r="G109" s="108" t="s">
        <v>388</v>
      </c>
      <c r="H109" s="108" t="s">
        <v>388</v>
      </c>
      <c r="I109" s="109" t="s">
        <v>397</v>
      </c>
      <c r="J109" s="110" t="s">
        <v>397</v>
      </c>
      <c r="K109" s="110" t="s">
        <v>397</v>
      </c>
      <c r="L109" s="110" t="s">
        <v>397</v>
      </c>
      <c r="M109" s="110" t="s">
        <v>397</v>
      </c>
      <c r="N109" s="110" t="s">
        <v>397</v>
      </c>
      <c r="O109" s="111" t="s">
        <v>388</v>
      </c>
      <c r="P109" s="111" t="s">
        <v>397</v>
      </c>
      <c r="Q109" s="111" t="s">
        <v>388</v>
      </c>
      <c r="R109" s="111" t="s">
        <v>397</v>
      </c>
      <c r="S109" s="111" t="s">
        <v>397</v>
      </c>
      <c r="T109" s="113" t="s">
        <v>398</v>
      </c>
      <c r="U109" s="111" t="s">
        <v>390</v>
      </c>
      <c r="V109" s="114" t="s">
        <v>390</v>
      </c>
      <c r="W109" s="83" t="s">
        <v>399</v>
      </c>
      <c r="X109" s="114" t="s">
        <v>523</v>
      </c>
      <c r="Y109" s="114" t="s">
        <v>441</v>
      </c>
      <c r="Z109" s="114" t="s">
        <v>392</v>
      </c>
      <c r="AA109" t="s">
        <v>401</v>
      </c>
      <c r="AB109" t="s">
        <v>374</v>
      </c>
      <c r="AC109" t="s">
        <v>633</v>
      </c>
      <c r="AE109" t="s">
        <v>342</v>
      </c>
    </row>
    <row r="110" spans="1:31" x14ac:dyDescent="0.25">
      <c r="A110" s="74">
        <v>2028</v>
      </c>
      <c r="B110" s="74" t="s">
        <v>721</v>
      </c>
      <c r="C110" s="74" t="s">
        <v>722</v>
      </c>
      <c r="D110" s="108" t="s">
        <v>388</v>
      </c>
      <c r="E110" s="108" t="s">
        <v>388</v>
      </c>
      <c r="F110" s="108" t="s">
        <v>388</v>
      </c>
      <c r="G110" s="108" t="s">
        <v>388</v>
      </c>
      <c r="H110" s="108" t="s">
        <v>388</v>
      </c>
      <c r="I110" s="109" t="s">
        <v>397</v>
      </c>
      <c r="J110" s="110" t="s">
        <v>397</v>
      </c>
      <c r="K110" s="110" t="s">
        <v>397</v>
      </c>
      <c r="L110" s="110" t="s">
        <v>397</v>
      </c>
      <c r="M110" s="110" t="s">
        <v>397</v>
      </c>
      <c r="N110" s="110" t="s">
        <v>397</v>
      </c>
      <c r="O110" s="111" t="s">
        <v>388</v>
      </c>
      <c r="P110" s="111" t="s">
        <v>397</v>
      </c>
      <c r="Q110" s="111" t="s">
        <v>397</v>
      </c>
      <c r="R110" s="111" t="s">
        <v>388</v>
      </c>
      <c r="S110" s="111" t="s">
        <v>388</v>
      </c>
      <c r="T110" s="113" t="s">
        <v>398</v>
      </c>
      <c r="U110" s="111" t="s">
        <v>390</v>
      </c>
      <c r="V110" s="114" t="s">
        <v>390</v>
      </c>
      <c r="W110" s="83" t="s">
        <v>399</v>
      </c>
      <c r="X110" s="114" t="s">
        <v>523</v>
      </c>
      <c r="Y110" s="114" t="s">
        <v>445</v>
      </c>
      <c r="Z110" s="114" t="s">
        <v>392</v>
      </c>
      <c r="AA110" t="s">
        <v>401</v>
      </c>
      <c r="AB110" t="s">
        <v>374</v>
      </c>
      <c r="AC110" t="s">
        <v>636</v>
      </c>
      <c r="AE110" t="s">
        <v>342</v>
      </c>
    </row>
    <row r="111" spans="1:31" x14ac:dyDescent="0.25">
      <c r="A111" s="74">
        <v>2029</v>
      </c>
      <c r="B111" s="74" t="s">
        <v>723</v>
      </c>
      <c r="C111" s="74" t="s">
        <v>724</v>
      </c>
      <c r="D111" s="108" t="s">
        <v>388</v>
      </c>
      <c r="E111" s="108" t="s">
        <v>388</v>
      </c>
      <c r="F111" s="108" t="s">
        <v>388</v>
      </c>
      <c r="G111" s="108" t="s">
        <v>388</v>
      </c>
      <c r="H111" s="108" t="s">
        <v>388</v>
      </c>
      <c r="I111" s="109" t="s">
        <v>397</v>
      </c>
      <c r="J111" s="110" t="s">
        <v>397</v>
      </c>
      <c r="K111" s="110" t="s">
        <v>397</v>
      </c>
      <c r="L111" s="110" t="s">
        <v>397</v>
      </c>
      <c r="M111" s="110" t="s">
        <v>397</v>
      </c>
      <c r="N111" s="110" t="s">
        <v>397</v>
      </c>
      <c r="O111" s="111" t="s">
        <v>388</v>
      </c>
      <c r="P111" s="111" t="s">
        <v>397</v>
      </c>
      <c r="Q111" s="111" t="s">
        <v>397</v>
      </c>
      <c r="R111" s="111" t="s">
        <v>388</v>
      </c>
      <c r="S111" s="111" t="s">
        <v>397</v>
      </c>
      <c r="T111" s="113" t="s">
        <v>398</v>
      </c>
      <c r="U111" s="111" t="s">
        <v>390</v>
      </c>
      <c r="V111" s="114" t="s">
        <v>390</v>
      </c>
      <c r="W111" s="83" t="s">
        <v>399</v>
      </c>
      <c r="X111" s="114" t="s">
        <v>523</v>
      </c>
      <c r="Y111" s="114" t="s">
        <v>449</v>
      </c>
      <c r="Z111" s="114" t="s">
        <v>392</v>
      </c>
      <c r="AA111" t="s">
        <v>401</v>
      </c>
      <c r="AB111" t="s">
        <v>374</v>
      </c>
      <c r="AC111" t="s">
        <v>639</v>
      </c>
      <c r="AE111" t="s">
        <v>342</v>
      </c>
    </row>
    <row r="112" spans="1:31" x14ac:dyDescent="0.25">
      <c r="A112" s="74">
        <v>2030</v>
      </c>
      <c r="B112" s="74" t="s">
        <v>725</v>
      </c>
      <c r="C112" s="74" t="s">
        <v>726</v>
      </c>
      <c r="D112" s="108" t="s">
        <v>388</v>
      </c>
      <c r="E112" s="108" t="s">
        <v>388</v>
      </c>
      <c r="F112" s="108" t="s">
        <v>388</v>
      </c>
      <c r="G112" s="108" t="s">
        <v>388</v>
      </c>
      <c r="H112" s="108" t="s">
        <v>388</v>
      </c>
      <c r="I112" s="109" t="s">
        <v>397</v>
      </c>
      <c r="J112" s="110" t="s">
        <v>397</v>
      </c>
      <c r="K112" s="110" t="s">
        <v>397</v>
      </c>
      <c r="L112" s="110" t="s">
        <v>397</v>
      </c>
      <c r="M112" s="110" t="s">
        <v>397</v>
      </c>
      <c r="N112" s="110" t="s">
        <v>397</v>
      </c>
      <c r="O112" s="111" t="s">
        <v>388</v>
      </c>
      <c r="P112" s="111" t="s">
        <v>397</v>
      </c>
      <c r="Q112" s="111" t="s">
        <v>397</v>
      </c>
      <c r="R112" s="111" t="s">
        <v>397</v>
      </c>
      <c r="S112" s="111" t="s">
        <v>388</v>
      </c>
      <c r="T112" s="113" t="s">
        <v>398</v>
      </c>
      <c r="U112" s="111" t="s">
        <v>390</v>
      </c>
      <c r="V112" s="114" t="s">
        <v>390</v>
      </c>
      <c r="W112" s="83" t="s">
        <v>399</v>
      </c>
      <c r="X112" s="114" t="s">
        <v>523</v>
      </c>
      <c r="Y112" s="114" t="s">
        <v>453</v>
      </c>
      <c r="Z112" s="114" t="s">
        <v>392</v>
      </c>
      <c r="AA112" t="s">
        <v>401</v>
      </c>
      <c r="AB112" t="s">
        <v>374</v>
      </c>
      <c r="AC112" t="s">
        <v>642</v>
      </c>
      <c r="AE112" t="s">
        <v>342</v>
      </c>
    </row>
    <row r="113" spans="1:31" x14ac:dyDescent="0.25">
      <c r="A113" s="74">
        <v>2031</v>
      </c>
      <c r="B113" s="74" t="s">
        <v>727</v>
      </c>
      <c r="C113" s="74" t="s">
        <v>728</v>
      </c>
      <c r="D113" s="108" t="s">
        <v>388</v>
      </c>
      <c r="E113" s="108" t="s">
        <v>388</v>
      </c>
      <c r="F113" s="108" t="s">
        <v>388</v>
      </c>
      <c r="G113" s="108" t="s">
        <v>388</v>
      </c>
      <c r="H113" s="108" t="s">
        <v>388</v>
      </c>
      <c r="I113" s="109" t="s">
        <v>397</v>
      </c>
      <c r="J113" s="110" t="s">
        <v>397</v>
      </c>
      <c r="K113" s="110" t="s">
        <v>397</v>
      </c>
      <c r="L113" s="110" t="s">
        <v>397</v>
      </c>
      <c r="M113" s="110" t="s">
        <v>397</v>
      </c>
      <c r="N113" s="110" t="s">
        <v>397</v>
      </c>
      <c r="O113" s="111" t="s">
        <v>388</v>
      </c>
      <c r="P113" s="111" t="s">
        <v>397</v>
      </c>
      <c r="Q113" s="111" t="s">
        <v>397</v>
      </c>
      <c r="R113" s="111" t="s">
        <v>397</v>
      </c>
      <c r="S113" s="111" t="s">
        <v>397</v>
      </c>
      <c r="T113" s="113" t="s">
        <v>398</v>
      </c>
      <c r="U113" s="111" t="s">
        <v>390</v>
      </c>
      <c r="V113" s="114" t="s">
        <v>390</v>
      </c>
      <c r="W113" s="83" t="s">
        <v>399</v>
      </c>
      <c r="X113" s="114" t="s">
        <v>523</v>
      </c>
      <c r="Y113" s="114" t="s">
        <v>457</v>
      </c>
      <c r="Z113" s="114" t="s">
        <v>392</v>
      </c>
      <c r="AA113" t="s">
        <v>401</v>
      </c>
      <c r="AB113" t="s">
        <v>374</v>
      </c>
      <c r="AC113" t="s">
        <v>645</v>
      </c>
      <c r="AE113" t="s">
        <v>342</v>
      </c>
    </row>
    <row r="114" spans="1:31" x14ac:dyDescent="0.25">
      <c r="A114" s="74">
        <v>2032</v>
      </c>
      <c r="B114" s="74" t="s">
        <v>729</v>
      </c>
      <c r="C114" s="74" t="s">
        <v>730</v>
      </c>
      <c r="D114" s="108" t="s">
        <v>388</v>
      </c>
      <c r="E114" s="108" t="s">
        <v>388</v>
      </c>
      <c r="F114" s="108" t="s">
        <v>388</v>
      </c>
      <c r="G114" s="108" t="s">
        <v>388</v>
      </c>
      <c r="H114" s="108" t="s">
        <v>388</v>
      </c>
      <c r="I114" s="109" t="s">
        <v>397</v>
      </c>
      <c r="J114" s="110" t="s">
        <v>397</v>
      </c>
      <c r="K114" s="110" t="s">
        <v>397</v>
      </c>
      <c r="L114" s="110" t="s">
        <v>397</v>
      </c>
      <c r="M114" s="110" t="s">
        <v>397</v>
      </c>
      <c r="N114" s="110" t="s">
        <v>397</v>
      </c>
      <c r="O114" s="111" t="s">
        <v>397</v>
      </c>
      <c r="P114" s="111" t="s">
        <v>388</v>
      </c>
      <c r="Q114" s="111" t="s">
        <v>388</v>
      </c>
      <c r="R114" s="111" t="s">
        <v>388</v>
      </c>
      <c r="S114" s="111" t="s">
        <v>388</v>
      </c>
      <c r="T114" s="113" t="s">
        <v>648</v>
      </c>
      <c r="U114" s="111" t="s">
        <v>390</v>
      </c>
      <c r="V114" s="114" t="s">
        <v>390</v>
      </c>
      <c r="W114" s="83" t="s">
        <v>399</v>
      </c>
      <c r="X114" s="114" t="s">
        <v>523</v>
      </c>
      <c r="Y114" s="114" t="s">
        <v>461</v>
      </c>
      <c r="Z114" s="114" t="s">
        <v>392</v>
      </c>
      <c r="AA114" t="s">
        <v>401</v>
      </c>
      <c r="AB114" t="s">
        <v>116</v>
      </c>
      <c r="AC114" t="s">
        <v>649</v>
      </c>
      <c r="AE114" t="s">
        <v>342</v>
      </c>
    </row>
    <row r="115" spans="1:31" x14ac:dyDescent="0.25">
      <c r="A115" s="74">
        <v>2033</v>
      </c>
      <c r="B115" s="74" t="s">
        <v>731</v>
      </c>
      <c r="C115" s="74" t="s">
        <v>732</v>
      </c>
      <c r="D115" s="108" t="s">
        <v>388</v>
      </c>
      <c r="E115" s="108" t="s">
        <v>388</v>
      </c>
      <c r="F115" s="108" t="s">
        <v>388</v>
      </c>
      <c r="G115" s="108" t="s">
        <v>388</v>
      </c>
      <c r="H115" s="108" t="s">
        <v>388</v>
      </c>
      <c r="I115" s="109" t="s">
        <v>397</v>
      </c>
      <c r="J115" s="110" t="s">
        <v>397</v>
      </c>
      <c r="K115" s="110" t="s">
        <v>397</v>
      </c>
      <c r="L115" s="110" t="s">
        <v>397</v>
      </c>
      <c r="M115" s="110" t="s">
        <v>397</v>
      </c>
      <c r="N115" s="110" t="s">
        <v>397</v>
      </c>
      <c r="O115" s="111" t="s">
        <v>397</v>
      </c>
      <c r="P115" s="111" t="s">
        <v>388</v>
      </c>
      <c r="Q115" s="111" t="s">
        <v>388</v>
      </c>
      <c r="R115" s="111" t="s">
        <v>388</v>
      </c>
      <c r="S115" s="111" t="s">
        <v>397</v>
      </c>
      <c r="T115" s="113" t="s">
        <v>398</v>
      </c>
      <c r="U115" s="111" t="s">
        <v>390</v>
      </c>
      <c r="V115" s="114" t="s">
        <v>390</v>
      </c>
      <c r="W115" s="83" t="s">
        <v>399</v>
      </c>
      <c r="X115" s="114" t="s">
        <v>523</v>
      </c>
      <c r="Y115" s="114" t="s">
        <v>466</v>
      </c>
      <c r="Z115" s="114" t="s">
        <v>392</v>
      </c>
      <c r="AA115" t="s">
        <v>401</v>
      </c>
      <c r="AB115" t="s">
        <v>374</v>
      </c>
      <c r="AC115" t="s">
        <v>652</v>
      </c>
      <c r="AE115" t="s">
        <v>342</v>
      </c>
    </row>
    <row r="116" spans="1:31" x14ac:dyDescent="0.25">
      <c r="A116" s="74">
        <v>2034</v>
      </c>
      <c r="B116" s="74" t="s">
        <v>733</v>
      </c>
      <c r="C116" s="74" t="s">
        <v>734</v>
      </c>
      <c r="D116" s="108" t="s">
        <v>388</v>
      </c>
      <c r="E116" s="108" t="s">
        <v>388</v>
      </c>
      <c r="F116" s="108" t="s">
        <v>388</v>
      </c>
      <c r="G116" s="108" t="s">
        <v>388</v>
      </c>
      <c r="H116" s="108" t="s">
        <v>388</v>
      </c>
      <c r="I116" s="109" t="s">
        <v>397</v>
      </c>
      <c r="J116" s="110" t="s">
        <v>397</v>
      </c>
      <c r="K116" s="110" t="s">
        <v>397</v>
      </c>
      <c r="L116" s="110" t="s">
        <v>397</v>
      </c>
      <c r="M116" s="110" t="s">
        <v>397</v>
      </c>
      <c r="N116" s="110" t="s">
        <v>397</v>
      </c>
      <c r="O116" s="111" t="s">
        <v>397</v>
      </c>
      <c r="P116" s="111" t="s">
        <v>388</v>
      </c>
      <c r="Q116" s="111" t="s">
        <v>388</v>
      </c>
      <c r="R116" s="111" t="s">
        <v>397</v>
      </c>
      <c r="S116" s="111" t="s">
        <v>388</v>
      </c>
      <c r="T116" s="113" t="s">
        <v>655</v>
      </c>
      <c r="U116" s="111" t="s">
        <v>390</v>
      </c>
      <c r="V116" s="114" t="s">
        <v>390</v>
      </c>
      <c r="W116" s="83" t="s">
        <v>399</v>
      </c>
      <c r="X116" s="114" t="s">
        <v>523</v>
      </c>
      <c r="Y116" s="114" t="s">
        <v>470</v>
      </c>
      <c r="Z116" s="114" t="s">
        <v>392</v>
      </c>
      <c r="AA116" t="s">
        <v>401</v>
      </c>
      <c r="AB116" t="s">
        <v>381</v>
      </c>
      <c r="AC116" t="s">
        <v>656</v>
      </c>
      <c r="AE116" t="s">
        <v>342</v>
      </c>
    </row>
    <row r="117" spans="1:31" x14ac:dyDescent="0.25">
      <c r="A117" s="74">
        <v>2035</v>
      </c>
      <c r="B117" s="74" t="s">
        <v>735</v>
      </c>
      <c r="C117" s="74" t="s">
        <v>736</v>
      </c>
      <c r="D117" s="108" t="s">
        <v>388</v>
      </c>
      <c r="E117" s="108" t="s">
        <v>388</v>
      </c>
      <c r="F117" s="108" t="s">
        <v>388</v>
      </c>
      <c r="G117" s="108" t="s">
        <v>388</v>
      </c>
      <c r="H117" s="108" t="s">
        <v>388</v>
      </c>
      <c r="I117" s="109" t="s">
        <v>397</v>
      </c>
      <c r="J117" s="110" t="s">
        <v>397</v>
      </c>
      <c r="K117" s="110" t="s">
        <v>397</v>
      </c>
      <c r="L117" s="110" t="s">
        <v>397</v>
      </c>
      <c r="M117" s="110" t="s">
        <v>397</v>
      </c>
      <c r="N117" s="110" t="s">
        <v>397</v>
      </c>
      <c r="O117" s="111" t="s">
        <v>397</v>
      </c>
      <c r="P117" s="111" t="s">
        <v>388</v>
      </c>
      <c r="Q117" s="111" t="s">
        <v>388</v>
      </c>
      <c r="R117" s="111" t="s">
        <v>397</v>
      </c>
      <c r="S117" s="111" t="s">
        <v>397</v>
      </c>
      <c r="T117" s="113" t="s">
        <v>659</v>
      </c>
      <c r="U117" s="111" t="s">
        <v>390</v>
      </c>
      <c r="V117" s="114" t="s">
        <v>390</v>
      </c>
      <c r="W117" s="83" t="s">
        <v>399</v>
      </c>
      <c r="X117" s="114" t="s">
        <v>523</v>
      </c>
      <c r="Y117" s="114" t="s">
        <v>474</v>
      </c>
      <c r="Z117" s="114" t="s">
        <v>392</v>
      </c>
      <c r="AA117" t="s">
        <v>401</v>
      </c>
      <c r="AB117" t="s">
        <v>382</v>
      </c>
      <c r="AC117" t="s">
        <v>660</v>
      </c>
      <c r="AE117" t="s">
        <v>342</v>
      </c>
    </row>
    <row r="118" spans="1:31" x14ac:dyDescent="0.25">
      <c r="A118" s="74">
        <v>2036</v>
      </c>
      <c r="B118" s="74" t="s">
        <v>737</v>
      </c>
      <c r="C118" s="74" t="s">
        <v>738</v>
      </c>
      <c r="D118" s="108" t="s">
        <v>388</v>
      </c>
      <c r="E118" s="108" t="s">
        <v>388</v>
      </c>
      <c r="F118" s="108" t="s">
        <v>388</v>
      </c>
      <c r="G118" s="108" t="s">
        <v>388</v>
      </c>
      <c r="H118" s="108" t="s">
        <v>388</v>
      </c>
      <c r="I118" s="109" t="s">
        <v>397</v>
      </c>
      <c r="J118" s="110" t="s">
        <v>397</v>
      </c>
      <c r="K118" s="110" t="s">
        <v>397</v>
      </c>
      <c r="L118" s="110" t="s">
        <v>397</v>
      </c>
      <c r="M118" s="110" t="s">
        <v>397</v>
      </c>
      <c r="N118" s="110" t="s">
        <v>397</v>
      </c>
      <c r="O118" s="111" t="s">
        <v>397</v>
      </c>
      <c r="P118" s="111" t="s">
        <v>388</v>
      </c>
      <c r="Q118" s="111" t="s">
        <v>397</v>
      </c>
      <c r="R118" s="111" t="s">
        <v>388</v>
      </c>
      <c r="S118" s="111" t="s">
        <v>388</v>
      </c>
      <c r="T118" s="113" t="s">
        <v>398</v>
      </c>
      <c r="U118" s="111" t="s">
        <v>390</v>
      </c>
      <c r="V118" s="114" t="s">
        <v>390</v>
      </c>
      <c r="W118" s="83" t="s">
        <v>399</v>
      </c>
      <c r="X118" s="114" t="s">
        <v>523</v>
      </c>
      <c r="Y118" s="114" t="s">
        <v>479</v>
      </c>
      <c r="Z118" s="114" t="s">
        <v>392</v>
      </c>
      <c r="AA118" t="s">
        <v>401</v>
      </c>
      <c r="AB118" t="s">
        <v>374</v>
      </c>
      <c r="AC118" t="s">
        <v>663</v>
      </c>
      <c r="AE118" t="s">
        <v>342</v>
      </c>
    </row>
    <row r="119" spans="1:31" x14ac:dyDescent="0.25">
      <c r="A119" s="74">
        <v>2037</v>
      </c>
      <c r="B119" s="74" t="s">
        <v>739</v>
      </c>
      <c r="C119" s="74" t="s">
        <v>740</v>
      </c>
      <c r="D119" s="108" t="s">
        <v>388</v>
      </c>
      <c r="E119" s="108" t="s">
        <v>388</v>
      </c>
      <c r="F119" s="108" t="s">
        <v>388</v>
      </c>
      <c r="G119" s="108" t="s">
        <v>388</v>
      </c>
      <c r="H119" s="108" t="s">
        <v>388</v>
      </c>
      <c r="I119" s="109" t="s">
        <v>397</v>
      </c>
      <c r="J119" s="110" t="s">
        <v>397</v>
      </c>
      <c r="K119" s="110" t="s">
        <v>397</v>
      </c>
      <c r="L119" s="110" t="s">
        <v>397</v>
      </c>
      <c r="M119" s="110" t="s">
        <v>397</v>
      </c>
      <c r="N119" s="110" t="s">
        <v>397</v>
      </c>
      <c r="O119" s="111" t="s">
        <v>397</v>
      </c>
      <c r="P119" s="111" t="s">
        <v>388</v>
      </c>
      <c r="Q119" s="111" t="s">
        <v>397</v>
      </c>
      <c r="R119" s="111" t="s">
        <v>388</v>
      </c>
      <c r="S119" s="111" t="s">
        <v>397</v>
      </c>
      <c r="T119" s="113" t="s">
        <v>398</v>
      </c>
      <c r="U119" s="111" t="s">
        <v>390</v>
      </c>
      <c r="V119" s="114" t="s">
        <v>390</v>
      </c>
      <c r="W119" s="83" t="s">
        <v>399</v>
      </c>
      <c r="X119" s="114" t="s">
        <v>523</v>
      </c>
      <c r="Y119" s="114" t="s">
        <v>483</v>
      </c>
      <c r="Z119" s="114" t="s">
        <v>392</v>
      </c>
      <c r="AA119" t="s">
        <v>401</v>
      </c>
      <c r="AB119" t="s">
        <v>374</v>
      </c>
      <c r="AC119" t="s">
        <v>666</v>
      </c>
      <c r="AE119" t="s">
        <v>342</v>
      </c>
    </row>
    <row r="120" spans="1:31" x14ac:dyDescent="0.25">
      <c r="A120" s="74">
        <v>2038</v>
      </c>
      <c r="B120" s="74" t="s">
        <v>741</v>
      </c>
      <c r="C120" s="74" t="s">
        <v>742</v>
      </c>
      <c r="D120" s="108" t="s">
        <v>388</v>
      </c>
      <c r="E120" s="108" t="s">
        <v>388</v>
      </c>
      <c r="F120" s="108" t="s">
        <v>388</v>
      </c>
      <c r="G120" s="108" t="s">
        <v>388</v>
      </c>
      <c r="H120" s="108" t="s">
        <v>388</v>
      </c>
      <c r="I120" s="109" t="s">
        <v>397</v>
      </c>
      <c r="J120" s="110" t="s">
        <v>397</v>
      </c>
      <c r="K120" s="110" t="s">
        <v>397</v>
      </c>
      <c r="L120" s="110" t="s">
        <v>397</v>
      </c>
      <c r="M120" s="110" t="s">
        <v>397</v>
      </c>
      <c r="N120" s="110" t="s">
        <v>397</v>
      </c>
      <c r="O120" s="111" t="s">
        <v>397</v>
      </c>
      <c r="P120" s="111" t="s">
        <v>388</v>
      </c>
      <c r="Q120" s="111" t="s">
        <v>397</v>
      </c>
      <c r="R120" s="111" t="s">
        <v>397</v>
      </c>
      <c r="S120" s="111" t="s">
        <v>388</v>
      </c>
      <c r="T120" s="113" t="s">
        <v>398</v>
      </c>
      <c r="U120" s="111" t="s">
        <v>390</v>
      </c>
      <c r="V120" s="114" t="s">
        <v>390</v>
      </c>
      <c r="W120" s="83" t="s">
        <v>399</v>
      </c>
      <c r="X120" s="114" t="s">
        <v>523</v>
      </c>
      <c r="Y120" s="114" t="s">
        <v>487</v>
      </c>
      <c r="Z120" s="114" t="s">
        <v>392</v>
      </c>
      <c r="AA120" t="s">
        <v>401</v>
      </c>
      <c r="AB120" t="s">
        <v>374</v>
      </c>
      <c r="AC120" t="s">
        <v>669</v>
      </c>
      <c r="AE120" t="s">
        <v>342</v>
      </c>
    </row>
    <row r="121" spans="1:31" x14ac:dyDescent="0.25">
      <c r="A121" s="74">
        <v>2039</v>
      </c>
      <c r="B121" s="74" t="s">
        <v>743</v>
      </c>
      <c r="C121" s="74" t="s">
        <v>744</v>
      </c>
      <c r="D121" s="108" t="s">
        <v>388</v>
      </c>
      <c r="E121" s="108" t="s">
        <v>388</v>
      </c>
      <c r="F121" s="108" t="s">
        <v>388</v>
      </c>
      <c r="G121" s="108" t="s">
        <v>388</v>
      </c>
      <c r="H121" s="108" t="s">
        <v>388</v>
      </c>
      <c r="I121" s="109" t="s">
        <v>397</v>
      </c>
      <c r="J121" s="110" t="s">
        <v>397</v>
      </c>
      <c r="K121" s="110" t="s">
        <v>397</v>
      </c>
      <c r="L121" s="110" t="s">
        <v>397</v>
      </c>
      <c r="M121" s="110" t="s">
        <v>397</v>
      </c>
      <c r="N121" s="110" t="s">
        <v>397</v>
      </c>
      <c r="O121" s="111" t="s">
        <v>397</v>
      </c>
      <c r="P121" s="111" t="s">
        <v>388</v>
      </c>
      <c r="Q121" s="111" t="s">
        <v>397</v>
      </c>
      <c r="R121" s="111" t="s">
        <v>397</v>
      </c>
      <c r="S121" s="111" t="s">
        <v>397</v>
      </c>
      <c r="T121" s="113" t="s">
        <v>398</v>
      </c>
      <c r="U121" s="111" t="s">
        <v>390</v>
      </c>
      <c r="V121" s="114" t="s">
        <v>390</v>
      </c>
      <c r="W121" s="83" t="s">
        <v>399</v>
      </c>
      <c r="X121" s="114" t="s">
        <v>523</v>
      </c>
      <c r="Y121" s="114" t="s">
        <v>491</v>
      </c>
      <c r="Z121" s="114" t="s">
        <v>392</v>
      </c>
      <c r="AA121" t="s">
        <v>401</v>
      </c>
      <c r="AB121" t="s">
        <v>374</v>
      </c>
      <c r="AC121" t="s">
        <v>672</v>
      </c>
      <c r="AE121" t="s">
        <v>342</v>
      </c>
    </row>
    <row r="122" spans="1:31" x14ac:dyDescent="0.25">
      <c r="A122" s="74">
        <v>2040</v>
      </c>
      <c r="B122" s="74" t="s">
        <v>745</v>
      </c>
      <c r="C122" s="74" t="s">
        <v>746</v>
      </c>
      <c r="D122" s="108" t="s">
        <v>388</v>
      </c>
      <c r="E122" s="108" t="s">
        <v>388</v>
      </c>
      <c r="F122" s="108" t="s">
        <v>388</v>
      </c>
      <c r="G122" s="108" t="s">
        <v>388</v>
      </c>
      <c r="H122" s="108" t="s">
        <v>388</v>
      </c>
      <c r="I122" s="109" t="s">
        <v>397</v>
      </c>
      <c r="J122" s="110" t="s">
        <v>397</v>
      </c>
      <c r="K122" s="110" t="s">
        <v>397</v>
      </c>
      <c r="L122" s="110" t="s">
        <v>397</v>
      </c>
      <c r="M122" s="110" t="s">
        <v>397</v>
      </c>
      <c r="N122" s="110" t="s">
        <v>397</v>
      </c>
      <c r="O122" s="111" t="s">
        <v>397</v>
      </c>
      <c r="P122" s="111" t="s">
        <v>397</v>
      </c>
      <c r="Q122" s="111" t="s">
        <v>388</v>
      </c>
      <c r="R122" s="111" t="s">
        <v>388</v>
      </c>
      <c r="S122" s="111" t="s">
        <v>388</v>
      </c>
      <c r="T122" s="113" t="s">
        <v>398</v>
      </c>
      <c r="U122" s="111" t="s">
        <v>390</v>
      </c>
      <c r="V122" s="114" t="s">
        <v>390</v>
      </c>
      <c r="W122" s="83" t="s">
        <v>399</v>
      </c>
      <c r="X122" s="114" t="s">
        <v>523</v>
      </c>
      <c r="Y122" s="114" t="s">
        <v>495</v>
      </c>
      <c r="Z122" s="114" t="s">
        <v>392</v>
      </c>
      <c r="AA122" t="s">
        <v>401</v>
      </c>
      <c r="AB122" t="s">
        <v>374</v>
      </c>
      <c r="AC122" t="s">
        <v>675</v>
      </c>
      <c r="AE122" t="s">
        <v>342</v>
      </c>
    </row>
    <row r="123" spans="1:31" x14ac:dyDescent="0.25">
      <c r="A123" s="74">
        <v>2041</v>
      </c>
      <c r="B123" s="74" t="s">
        <v>747</v>
      </c>
      <c r="C123" s="74" t="s">
        <v>748</v>
      </c>
      <c r="D123" s="108" t="s">
        <v>388</v>
      </c>
      <c r="E123" s="108" t="s">
        <v>388</v>
      </c>
      <c r="F123" s="108" t="s">
        <v>388</v>
      </c>
      <c r="G123" s="108" t="s">
        <v>388</v>
      </c>
      <c r="H123" s="108" t="s">
        <v>388</v>
      </c>
      <c r="I123" s="109" t="s">
        <v>397</v>
      </c>
      <c r="J123" s="110" t="s">
        <v>397</v>
      </c>
      <c r="K123" s="110" t="s">
        <v>397</v>
      </c>
      <c r="L123" s="110" t="s">
        <v>397</v>
      </c>
      <c r="M123" s="110" t="s">
        <v>397</v>
      </c>
      <c r="N123" s="110" t="s">
        <v>397</v>
      </c>
      <c r="O123" s="111" t="s">
        <v>397</v>
      </c>
      <c r="P123" s="111" t="s">
        <v>397</v>
      </c>
      <c r="Q123" s="111" t="s">
        <v>388</v>
      </c>
      <c r="R123" s="111" t="s">
        <v>388</v>
      </c>
      <c r="S123" s="111" t="s">
        <v>397</v>
      </c>
      <c r="T123" s="113" t="s">
        <v>398</v>
      </c>
      <c r="U123" s="111" t="s">
        <v>390</v>
      </c>
      <c r="V123" s="114" t="s">
        <v>390</v>
      </c>
      <c r="W123" s="83" t="s">
        <v>399</v>
      </c>
      <c r="X123" s="114" t="s">
        <v>523</v>
      </c>
      <c r="Y123" s="114" t="s">
        <v>499</v>
      </c>
      <c r="Z123" s="114" t="s">
        <v>392</v>
      </c>
      <c r="AA123" t="s">
        <v>401</v>
      </c>
      <c r="AB123" t="s">
        <v>374</v>
      </c>
      <c r="AC123" t="s">
        <v>678</v>
      </c>
      <c r="AE123" t="s">
        <v>342</v>
      </c>
    </row>
    <row r="124" spans="1:31" x14ac:dyDescent="0.25">
      <c r="A124" s="74">
        <v>2042</v>
      </c>
      <c r="B124" s="74" t="s">
        <v>749</v>
      </c>
      <c r="C124" s="74" t="s">
        <v>750</v>
      </c>
      <c r="D124" s="108" t="s">
        <v>388</v>
      </c>
      <c r="E124" s="108" t="s">
        <v>388</v>
      </c>
      <c r="F124" s="108" t="s">
        <v>388</v>
      </c>
      <c r="G124" s="108" t="s">
        <v>388</v>
      </c>
      <c r="H124" s="108" t="s">
        <v>388</v>
      </c>
      <c r="I124" s="109" t="s">
        <v>397</v>
      </c>
      <c r="J124" s="110" t="s">
        <v>397</v>
      </c>
      <c r="K124" s="110" t="s">
        <v>397</v>
      </c>
      <c r="L124" s="110" t="s">
        <v>397</v>
      </c>
      <c r="M124" s="110" t="s">
        <v>397</v>
      </c>
      <c r="N124" s="110" t="s">
        <v>397</v>
      </c>
      <c r="O124" s="111" t="s">
        <v>397</v>
      </c>
      <c r="P124" s="111" t="s">
        <v>397</v>
      </c>
      <c r="Q124" s="111" t="s">
        <v>388</v>
      </c>
      <c r="R124" s="111" t="s">
        <v>397</v>
      </c>
      <c r="S124" s="111" t="s">
        <v>388</v>
      </c>
      <c r="T124" s="113" t="s">
        <v>398</v>
      </c>
      <c r="U124" s="111" t="s">
        <v>390</v>
      </c>
      <c r="V124" s="114" t="s">
        <v>390</v>
      </c>
      <c r="W124" s="83" t="s">
        <v>399</v>
      </c>
      <c r="X124" s="114" t="s">
        <v>523</v>
      </c>
      <c r="Y124" s="114" t="s">
        <v>503</v>
      </c>
      <c r="Z124" s="114" t="s">
        <v>392</v>
      </c>
      <c r="AA124" t="s">
        <v>401</v>
      </c>
      <c r="AB124" t="s">
        <v>374</v>
      </c>
      <c r="AC124" t="s">
        <v>681</v>
      </c>
      <c r="AE124" t="s">
        <v>342</v>
      </c>
    </row>
    <row r="125" spans="1:31" x14ac:dyDescent="0.25">
      <c r="A125" s="74">
        <v>2043</v>
      </c>
      <c r="B125" s="74" t="s">
        <v>751</v>
      </c>
      <c r="C125" s="74" t="s">
        <v>752</v>
      </c>
      <c r="D125" s="108" t="s">
        <v>388</v>
      </c>
      <c r="E125" s="108" t="s">
        <v>388</v>
      </c>
      <c r="F125" s="108" t="s">
        <v>388</v>
      </c>
      <c r="G125" s="108" t="s">
        <v>388</v>
      </c>
      <c r="H125" s="108" t="s">
        <v>388</v>
      </c>
      <c r="I125" s="109" t="s">
        <v>397</v>
      </c>
      <c r="J125" s="110" t="s">
        <v>397</v>
      </c>
      <c r="K125" s="110" t="s">
        <v>397</v>
      </c>
      <c r="L125" s="110" t="s">
        <v>397</v>
      </c>
      <c r="M125" s="110" t="s">
        <v>397</v>
      </c>
      <c r="N125" s="110" t="s">
        <v>397</v>
      </c>
      <c r="O125" s="111" t="s">
        <v>397</v>
      </c>
      <c r="P125" s="111" t="s">
        <v>397</v>
      </c>
      <c r="Q125" s="111" t="s">
        <v>388</v>
      </c>
      <c r="R125" s="111" t="s">
        <v>397</v>
      </c>
      <c r="S125" s="111" t="s">
        <v>397</v>
      </c>
      <c r="T125" s="113" t="s">
        <v>398</v>
      </c>
      <c r="U125" s="111" t="s">
        <v>390</v>
      </c>
      <c r="V125" s="114" t="s">
        <v>390</v>
      </c>
      <c r="W125" s="83" t="s">
        <v>399</v>
      </c>
      <c r="X125" s="114" t="s">
        <v>523</v>
      </c>
      <c r="Y125" s="114" t="s">
        <v>507</v>
      </c>
      <c r="Z125" s="114" t="s">
        <v>392</v>
      </c>
      <c r="AA125" t="s">
        <v>401</v>
      </c>
      <c r="AB125" t="s">
        <v>374</v>
      </c>
      <c r="AC125" t="s">
        <v>684</v>
      </c>
      <c r="AE125" t="s">
        <v>342</v>
      </c>
    </row>
    <row r="126" spans="1:31" x14ac:dyDescent="0.25">
      <c r="A126" s="74">
        <v>2044</v>
      </c>
      <c r="B126" s="74" t="s">
        <v>753</v>
      </c>
      <c r="C126" s="74" t="s">
        <v>754</v>
      </c>
      <c r="D126" s="108" t="s">
        <v>388</v>
      </c>
      <c r="E126" s="108" t="s">
        <v>388</v>
      </c>
      <c r="F126" s="108" t="s">
        <v>388</v>
      </c>
      <c r="G126" s="108" t="s">
        <v>388</v>
      </c>
      <c r="H126" s="108" t="s">
        <v>388</v>
      </c>
      <c r="I126" s="109" t="s">
        <v>397</v>
      </c>
      <c r="J126" s="110" t="s">
        <v>397</v>
      </c>
      <c r="K126" s="110" t="s">
        <v>397</v>
      </c>
      <c r="L126" s="110" t="s">
        <v>397</v>
      </c>
      <c r="M126" s="110" t="s">
        <v>397</v>
      </c>
      <c r="N126" s="110" t="s">
        <v>397</v>
      </c>
      <c r="O126" s="111" t="s">
        <v>397</v>
      </c>
      <c r="P126" s="111" t="s">
        <v>397</v>
      </c>
      <c r="Q126" s="111" t="s">
        <v>397</v>
      </c>
      <c r="R126" s="111" t="s">
        <v>388</v>
      </c>
      <c r="S126" s="111" t="s">
        <v>388</v>
      </c>
      <c r="T126" s="113" t="s">
        <v>398</v>
      </c>
      <c r="U126" s="111" t="s">
        <v>390</v>
      </c>
      <c r="V126" s="114" t="s">
        <v>390</v>
      </c>
      <c r="W126" s="83" t="s">
        <v>399</v>
      </c>
      <c r="X126" s="114" t="s">
        <v>523</v>
      </c>
      <c r="Y126" s="114" t="s">
        <v>511</v>
      </c>
      <c r="Z126" s="114" t="s">
        <v>392</v>
      </c>
      <c r="AA126" t="s">
        <v>401</v>
      </c>
      <c r="AB126" t="s">
        <v>374</v>
      </c>
      <c r="AC126" t="s">
        <v>687</v>
      </c>
      <c r="AE126" t="s">
        <v>342</v>
      </c>
    </row>
    <row r="127" spans="1:31" x14ac:dyDescent="0.25">
      <c r="A127" s="74">
        <v>2045</v>
      </c>
      <c r="B127" s="74" t="s">
        <v>755</v>
      </c>
      <c r="C127" s="74" t="s">
        <v>756</v>
      </c>
      <c r="D127" s="108" t="s">
        <v>388</v>
      </c>
      <c r="E127" s="108" t="s">
        <v>388</v>
      </c>
      <c r="F127" s="108" t="s">
        <v>388</v>
      </c>
      <c r="G127" s="108" t="s">
        <v>388</v>
      </c>
      <c r="H127" s="108" t="s">
        <v>388</v>
      </c>
      <c r="I127" s="109" t="s">
        <v>397</v>
      </c>
      <c r="J127" s="110" t="s">
        <v>397</v>
      </c>
      <c r="K127" s="110" t="s">
        <v>397</v>
      </c>
      <c r="L127" s="110" t="s">
        <v>397</v>
      </c>
      <c r="M127" s="110" t="s">
        <v>397</v>
      </c>
      <c r="N127" s="110" t="s">
        <v>397</v>
      </c>
      <c r="O127" s="111" t="s">
        <v>397</v>
      </c>
      <c r="P127" s="111" t="s">
        <v>397</v>
      </c>
      <c r="Q127" s="111" t="s">
        <v>397</v>
      </c>
      <c r="R127" s="111" t="s">
        <v>388</v>
      </c>
      <c r="S127" s="111" t="s">
        <v>397</v>
      </c>
      <c r="T127" s="113" t="s">
        <v>398</v>
      </c>
      <c r="U127" s="111" t="s">
        <v>390</v>
      </c>
      <c r="V127" s="114" t="s">
        <v>390</v>
      </c>
      <c r="W127" s="83" t="s">
        <v>399</v>
      </c>
      <c r="X127" s="114" t="s">
        <v>523</v>
      </c>
      <c r="Y127" s="114" t="s">
        <v>515</v>
      </c>
      <c r="Z127" s="114" t="s">
        <v>392</v>
      </c>
      <c r="AA127" t="s">
        <v>401</v>
      </c>
      <c r="AB127" t="s">
        <v>374</v>
      </c>
      <c r="AC127" t="s">
        <v>690</v>
      </c>
      <c r="AE127" t="s">
        <v>342</v>
      </c>
    </row>
    <row r="128" spans="1:31" x14ac:dyDescent="0.25">
      <c r="A128" s="74">
        <v>2046</v>
      </c>
      <c r="B128" s="74" t="s">
        <v>757</v>
      </c>
      <c r="C128" s="74" t="s">
        <v>758</v>
      </c>
      <c r="D128" s="108" t="s">
        <v>388</v>
      </c>
      <c r="E128" s="108" t="s">
        <v>388</v>
      </c>
      <c r="F128" s="108" t="s">
        <v>388</v>
      </c>
      <c r="G128" s="108" t="s">
        <v>388</v>
      </c>
      <c r="H128" s="108" t="s">
        <v>388</v>
      </c>
      <c r="I128" s="109" t="s">
        <v>397</v>
      </c>
      <c r="J128" s="110" t="s">
        <v>397</v>
      </c>
      <c r="K128" s="110" t="s">
        <v>397</v>
      </c>
      <c r="L128" s="110" t="s">
        <v>397</v>
      </c>
      <c r="M128" s="110" t="s">
        <v>397</v>
      </c>
      <c r="N128" s="110" t="s">
        <v>397</v>
      </c>
      <c r="O128" s="111" t="s">
        <v>397</v>
      </c>
      <c r="P128" s="111" t="s">
        <v>397</v>
      </c>
      <c r="Q128" s="111" t="s">
        <v>397</v>
      </c>
      <c r="R128" s="111" t="s">
        <v>397</v>
      </c>
      <c r="S128" s="111" t="s">
        <v>388</v>
      </c>
      <c r="T128" s="113" t="s">
        <v>398</v>
      </c>
      <c r="U128" s="111" t="s">
        <v>390</v>
      </c>
      <c r="V128" s="114" t="s">
        <v>390</v>
      </c>
      <c r="W128" s="83" t="s">
        <v>399</v>
      </c>
      <c r="X128" s="114" t="s">
        <v>523</v>
      </c>
      <c r="Y128" s="114" t="s">
        <v>519</v>
      </c>
      <c r="Z128" s="114" t="s">
        <v>392</v>
      </c>
      <c r="AA128" t="s">
        <v>401</v>
      </c>
      <c r="AB128" t="s">
        <v>374</v>
      </c>
      <c r="AC128" t="s">
        <v>693</v>
      </c>
      <c r="AE128" t="s">
        <v>342</v>
      </c>
    </row>
    <row r="129" spans="1:31" x14ac:dyDescent="0.25">
      <c r="A129" s="74">
        <v>2047</v>
      </c>
      <c r="B129" s="74" t="s">
        <v>759</v>
      </c>
      <c r="C129" s="74" t="s">
        <v>760</v>
      </c>
      <c r="D129" s="108" t="s">
        <v>388</v>
      </c>
      <c r="E129" s="108" t="s">
        <v>388</v>
      </c>
      <c r="F129" s="108" t="s">
        <v>388</v>
      </c>
      <c r="G129" s="108" t="s">
        <v>388</v>
      </c>
      <c r="H129" s="108" t="s">
        <v>388</v>
      </c>
      <c r="I129" s="109" t="s">
        <v>397</v>
      </c>
      <c r="J129" s="110" t="s">
        <v>397</v>
      </c>
      <c r="K129" s="110" t="s">
        <v>397</v>
      </c>
      <c r="L129" s="110" t="s">
        <v>397</v>
      </c>
      <c r="M129" s="110" t="s">
        <v>397</v>
      </c>
      <c r="N129" s="110" t="s">
        <v>397</v>
      </c>
      <c r="O129" s="111" t="s">
        <v>397</v>
      </c>
      <c r="P129" s="111" t="s">
        <v>397</v>
      </c>
      <c r="Q129" s="111" t="s">
        <v>397</v>
      </c>
      <c r="R129" s="111" t="s">
        <v>397</v>
      </c>
      <c r="S129" s="111" t="s">
        <v>397</v>
      </c>
      <c r="T129" s="113" t="s">
        <v>398</v>
      </c>
      <c r="U129" s="111" t="s">
        <v>390</v>
      </c>
      <c r="V129" s="114" t="s">
        <v>390</v>
      </c>
      <c r="W129" s="83" t="s">
        <v>399</v>
      </c>
      <c r="X129" s="114" t="s">
        <v>523</v>
      </c>
      <c r="Y129" s="114" t="s">
        <v>523</v>
      </c>
      <c r="Z129" s="114" t="s">
        <v>392</v>
      </c>
      <c r="AA129" t="s">
        <v>401</v>
      </c>
      <c r="AB129" t="s">
        <v>374</v>
      </c>
      <c r="AC129" t="s">
        <v>696</v>
      </c>
      <c r="AE129" t="s">
        <v>342</v>
      </c>
    </row>
    <row r="130" spans="1:31" x14ac:dyDescent="0.25">
      <c r="A130" s="74">
        <v>34816</v>
      </c>
      <c r="B130" s="74" t="s">
        <v>761</v>
      </c>
      <c r="C130" s="74" t="s">
        <v>762</v>
      </c>
      <c r="D130" s="108" t="s">
        <v>397</v>
      </c>
      <c r="E130" s="108" t="s">
        <v>388</v>
      </c>
      <c r="F130" s="108" t="s">
        <v>388</v>
      </c>
      <c r="G130" s="108" t="s">
        <v>388</v>
      </c>
      <c r="H130" s="108" t="s">
        <v>397</v>
      </c>
      <c r="I130" s="109" t="s">
        <v>388</v>
      </c>
      <c r="J130" s="110" t="s">
        <v>388</v>
      </c>
      <c r="K130" s="110" t="s">
        <v>388</v>
      </c>
      <c r="L130" s="110" t="s">
        <v>388</v>
      </c>
      <c r="M130" s="110" t="s">
        <v>388</v>
      </c>
      <c r="N130" s="110" t="s">
        <v>388</v>
      </c>
      <c r="O130" s="111" t="s">
        <v>388</v>
      </c>
      <c r="P130" s="111" t="s">
        <v>388</v>
      </c>
      <c r="Q130" s="111" t="s">
        <v>388</v>
      </c>
      <c r="R130" s="111" t="s">
        <v>388</v>
      </c>
      <c r="S130" s="111" t="s">
        <v>388</v>
      </c>
      <c r="T130" s="113" t="s">
        <v>763</v>
      </c>
      <c r="U130" s="111" t="s">
        <v>466</v>
      </c>
      <c r="V130" s="114" t="s">
        <v>466</v>
      </c>
      <c r="W130" s="83" t="s">
        <v>399</v>
      </c>
      <c r="X130" s="114" t="s">
        <v>390</v>
      </c>
      <c r="Y130" s="114" t="s">
        <v>390</v>
      </c>
      <c r="Z130" s="114" t="s">
        <v>392</v>
      </c>
      <c r="AA130" t="s">
        <v>401</v>
      </c>
      <c r="AB130" t="s">
        <v>374</v>
      </c>
      <c r="AC130" t="s">
        <v>394</v>
      </c>
      <c r="AE130" t="s">
        <v>342</v>
      </c>
    </row>
    <row r="131" spans="1:31" x14ac:dyDescent="0.25">
      <c r="A131" s="74">
        <v>34817</v>
      </c>
      <c r="B131" s="74" t="s">
        <v>764</v>
      </c>
      <c r="C131" s="74" t="s">
        <v>765</v>
      </c>
      <c r="D131" s="108" t="s">
        <v>397</v>
      </c>
      <c r="E131" s="108" t="s">
        <v>388</v>
      </c>
      <c r="F131" s="108" t="s">
        <v>388</v>
      </c>
      <c r="G131" s="108" t="s">
        <v>388</v>
      </c>
      <c r="H131" s="108" t="s">
        <v>397</v>
      </c>
      <c r="I131" s="109" t="s">
        <v>388</v>
      </c>
      <c r="J131" s="110" t="s">
        <v>388</v>
      </c>
      <c r="K131" s="110" t="s">
        <v>388</v>
      </c>
      <c r="L131" s="110" t="s">
        <v>388</v>
      </c>
      <c r="M131" s="110" t="s">
        <v>388</v>
      </c>
      <c r="N131" s="110" t="s">
        <v>388</v>
      </c>
      <c r="O131" s="111" t="s">
        <v>388</v>
      </c>
      <c r="P131" s="111" t="s">
        <v>388</v>
      </c>
      <c r="Q131" s="111" t="s">
        <v>388</v>
      </c>
      <c r="R131" s="111" t="s">
        <v>388</v>
      </c>
      <c r="S131" s="111" t="s">
        <v>397</v>
      </c>
      <c r="T131" s="113" t="s">
        <v>763</v>
      </c>
      <c r="U131" s="111" t="s">
        <v>466</v>
      </c>
      <c r="V131" s="114" t="s">
        <v>466</v>
      </c>
      <c r="W131" s="83" t="s">
        <v>399</v>
      </c>
      <c r="X131" s="114" t="s">
        <v>390</v>
      </c>
      <c r="Y131" s="114" t="s">
        <v>400</v>
      </c>
      <c r="Z131" s="114" t="s">
        <v>392</v>
      </c>
      <c r="AA131" t="s">
        <v>401</v>
      </c>
      <c r="AB131" t="s">
        <v>374</v>
      </c>
      <c r="AC131" t="s">
        <v>402</v>
      </c>
      <c r="AE131" t="s">
        <v>342</v>
      </c>
    </row>
    <row r="132" spans="1:31" x14ac:dyDescent="0.25">
      <c r="A132" s="74">
        <v>34818</v>
      </c>
      <c r="B132" s="74" t="s">
        <v>766</v>
      </c>
      <c r="C132" s="74" t="s">
        <v>767</v>
      </c>
      <c r="D132" s="108" t="s">
        <v>397</v>
      </c>
      <c r="E132" s="108" t="s">
        <v>388</v>
      </c>
      <c r="F132" s="108" t="s">
        <v>388</v>
      </c>
      <c r="G132" s="108" t="s">
        <v>388</v>
      </c>
      <c r="H132" s="108" t="s">
        <v>397</v>
      </c>
      <c r="I132" s="109" t="s">
        <v>388</v>
      </c>
      <c r="J132" s="110" t="s">
        <v>388</v>
      </c>
      <c r="K132" s="110" t="s">
        <v>388</v>
      </c>
      <c r="L132" s="110" t="s">
        <v>388</v>
      </c>
      <c r="M132" s="110" t="s">
        <v>388</v>
      </c>
      <c r="N132" s="110" t="s">
        <v>388</v>
      </c>
      <c r="O132" s="111" t="s">
        <v>388</v>
      </c>
      <c r="P132" s="111" t="s">
        <v>388</v>
      </c>
      <c r="Q132" s="111" t="s">
        <v>388</v>
      </c>
      <c r="R132" s="111" t="s">
        <v>397</v>
      </c>
      <c r="S132" s="111" t="s">
        <v>388</v>
      </c>
      <c r="T132" s="113" t="s">
        <v>763</v>
      </c>
      <c r="U132" s="111" t="s">
        <v>466</v>
      </c>
      <c r="V132" s="114" t="s">
        <v>466</v>
      </c>
      <c r="W132" s="83" t="s">
        <v>399</v>
      </c>
      <c r="X132" s="114" t="s">
        <v>390</v>
      </c>
      <c r="Y132" s="114" t="s">
        <v>405</v>
      </c>
      <c r="Z132" s="114" t="s">
        <v>392</v>
      </c>
      <c r="AA132" t="s">
        <v>401</v>
      </c>
      <c r="AB132" t="s">
        <v>374</v>
      </c>
      <c r="AC132" t="s">
        <v>406</v>
      </c>
      <c r="AE132" t="s">
        <v>342</v>
      </c>
    </row>
    <row r="133" spans="1:31" x14ac:dyDescent="0.25">
      <c r="A133" s="74">
        <v>34819</v>
      </c>
      <c r="B133" s="74" t="s">
        <v>768</v>
      </c>
      <c r="C133" s="74" t="s">
        <v>769</v>
      </c>
      <c r="D133" s="108" t="s">
        <v>397</v>
      </c>
      <c r="E133" s="108" t="s">
        <v>388</v>
      </c>
      <c r="F133" s="108" t="s">
        <v>388</v>
      </c>
      <c r="G133" s="108" t="s">
        <v>388</v>
      </c>
      <c r="H133" s="108" t="s">
        <v>397</v>
      </c>
      <c r="I133" s="109" t="s">
        <v>388</v>
      </c>
      <c r="J133" s="110" t="s">
        <v>388</v>
      </c>
      <c r="K133" s="110" t="s">
        <v>388</v>
      </c>
      <c r="L133" s="110" t="s">
        <v>388</v>
      </c>
      <c r="M133" s="110" t="s">
        <v>388</v>
      </c>
      <c r="N133" s="110" t="s">
        <v>388</v>
      </c>
      <c r="O133" s="111" t="s">
        <v>388</v>
      </c>
      <c r="P133" s="111" t="s">
        <v>388</v>
      </c>
      <c r="Q133" s="111" t="s">
        <v>388</v>
      </c>
      <c r="R133" s="111" t="s">
        <v>397</v>
      </c>
      <c r="S133" s="111" t="s">
        <v>397</v>
      </c>
      <c r="T133" s="113" t="s">
        <v>763</v>
      </c>
      <c r="U133" s="111" t="s">
        <v>466</v>
      </c>
      <c r="V133" s="114" t="s">
        <v>466</v>
      </c>
      <c r="W133" s="83" t="s">
        <v>399</v>
      </c>
      <c r="X133" s="114" t="s">
        <v>390</v>
      </c>
      <c r="Y133" s="114" t="s">
        <v>409</v>
      </c>
      <c r="Z133" s="114" t="s">
        <v>392</v>
      </c>
      <c r="AA133" t="s">
        <v>401</v>
      </c>
      <c r="AB133" t="s">
        <v>374</v>
      </c>
      <c r="AC133" t="s">
        <v>410</v>
      </c>
      <c r="AE133" t="s">
        <v>342</v>
      </c>
    </row>
    <row r="134" spans="1:31" x14ac:dyDescent="0.25">
      <c r="A134" s="74">
        <v>34820</v>
      </c>
      <c r="B134" s="74" t="s">
        <v>770</v>
      </c>
      <c r="C134" s="74" t="s">
        <v>771</v>
      </c>
      <c r="D134" s="108" t="s">
        <v>397</v>
      </c>
      <c r="E134" s="108" t="s">
        <v>388</v>
      </c>
      <c r="F134" s="108" t="s">
        <v>388</v>
      </c>
      <c r="G134" s="108" t="s">
        <v>388</v>
      </c>
      <c r="H134" s="108" t="s">
        <v>397</v>
      </c>
      <c r="I134" s="109" t="s">
        <v>388</v>
      </c>
      <c r="J134" s="110" t="s">
        <v>388</v>
      </c>
      <c r="K134" s="110" t="s">
        <v>388</v>
      </c>
      <c r="L134" s="110" t="s">
        <v>388</v>
      </c>
      <c r="M134" s="110" t="s">
        <v>388</v>
      </c>
      <c r="N134" s="110" t="s">
        <v>388</v>
      </c>
      <c r="O134" s="111" t="s">
        <v>388</v>
      </c>
      <c r="P134" s="111" t="s">
        <v>388</v>
      </c>
      <c r="Q134" s="111" t="s">
        <v>397</v>
      </c>
      <c r="R134" s="111" t="s">
        <v>388</v>
      </c>
      <c r="S134" s="111" t="s">
        <v>388</v>
      </c>
      <c r="T134" s="113" t="s">
        <v>763</v>
      </c>
      <c r="U134" s="111" t="s">
        <v>466</v>
      </c>
      <c r="V134" s="114" t="s">
        <v>466</v>
      </c>
      <c r="W134" s="83" t="s">
        <v>399</v>
      </c>
      <c r="X134" s="114" t="s">
        <v>390</v>
      </c>
      <c r="Y134" s="114" t="s">
        <v>413</v>
      </c>
      <c r="Z134" s="114" t="s">
        <v>392</v>
      </c>
      <c r="AA134" t="s">
        <v>401</v>
      </c>
      <c r="AB134" t="s">
        <v>374</v>
      </c>
      <c r="AC134" t="s">
        <v>414</v>
      </c>
      <c r="AE134" t="s">
        <v>342</v>
      </c>
    </row>
    <row r="135" spans="1:31" x14ac:dyDescent="0.25">
      <c r="A135" s="74">
        <v>34821</v>
      </c>
      <c r="B135" s="74" t="s">
        <v>772</v>
      </c>
      <c r="C135" s="74" t="s">
        <v>773</v>
      </c>
      <c r="D135" s="108" t="s">
        <v>397</v>
      </c>
      <c r="E135" s="108" t="s">
        <v>388</v>
      </c>
      <c r="F135" s="108" t="s">
        <v>388</v>
      </c>
      <c r="G135" s="108" t="s">
        <v>388</v>
      </c>
      <c r="H135" s="108" t="s">
        <v>397</v>
      </c>
      <c r="I135" s="109" t="s">
        <v>388</v>
      </c>
      <c r="J135" s="110" t="s">
        <v>388</v>
      </c>
      <c r="K135" s="110" t="s">
        <v>388</v>
      </c>
      <c r="L135" s="110" t="s">
        <v>388</v>
      </c>
      <c r="M135" s="110" t="s">
        <v>388</v>
      </c>
      <c r="N135" s="110" t="s">
        <v>388</v>
      </c>
      <c r="O135" s="111" t="s">
        <v>388</v>
      </c>
      <c r="P135" s="111" t="s">
        <v>388</v>
      </c>
      <c r="Q135" s="111" t="s">
        <v>397</v>
      </c>
      <c r="R135" s="111" t="s">
        <v>388</v>
      </c>
      <c r="S135" s="111" t="s">
        <v>397</v>
      </c>
      <c r="T135" s="113" t="s">
        <v>763</v>
      </c>
      <c r="U135" s="111" t="s">
        <v>466</v>
      </c>
      <c r="V135" s="114" t="s">
        <v>466</v>
      </c>
      <c r="W135" s="83" t="s">
        <v>399</v>
      </c>
      <c r="X135" s="114" t="s">
        <v>390</v>
      </c>
      <c r="Y135" s="114" t="s">
        <v>417</v>
      </c>
      <c r="Z135" s="114" t="s">
        <v>392</v>
      </c>
      <c r="AA135" t="s">
        <v>401</v>
      </c>
      <c r="AB135" t="s">
        <v>374</v>
      </c>
      <c r="AC135" t="s">
        <v>418</v>
      </c>
      <c r="AE135" t="s">
        <v>342</v>
      </c>
    </row>
    <row r="136" spans="1:31" x14ac:dyDescent="0.25">
      <c r="A136" s="74">
        <v>34822</v>
      </c>
      <c r="B136" s="74" t="s">
        <v>774</v>
      </c>
      <c r="C136" s="74" t="s">
        <v>775</v>
      </c>
      <c r="D136" s="108" t="s">
        <v>397</v>
      </c>
      <c r="E136" s="108" t="s">
        <v>388</v>
      </c>
      <c r="F136" s="108" t="s">
        <v>388</v>
      </c>
      <c r="G136" s="108" t="s">
        <v>388</v>
      </c>
      <c r="H136" s="108" t="s">
        <v>397</v>
      </c>
      <c r="I136" s="109" t="s">
        <v>388</v>
      </c>
      <c r="J136" s="110" t="s">
        <v>388</v>
      </c>
      <c r="K136" s="110" t="s">
        <v>388</v>
      </c>
      <c r="L136" s="110" t="s">
        <v>388</v>
      </c>
      <c r="M136" s="110" t="s">
        <v>388</v>
      </c>
      <c r="N136" s="110" t="s">
        <v>388</v>
      </c>
      <c r="O136" s="111" t="s">
        <v>388</v>
      </c>
      <c r="P136" s="111" t="s">
        <v>388</v>
      </c>
      <c r="Q136" s="111" t="s">
        <v>397</v>
      </c>
      <c r="R136" s="111" t="s">
        <v>397</v>
      </c>
      <c r="S136" s="111" t="s">
        <v>388</v>
      </c>
      <c r="T136" s="113" t="s">
        <v>763</v>
      </c>
      <c r="U136" s="111" t="s">
        <v>466</v>
      </c>
      <c r="V136" s="114" t="s">
        <v>466</v>
      </c>
      <c r="W136" s="83" t="s">
        <v>399</v>
      </c>
      <c r="X136" s="114" t="s">
        <v>390</v>
      </c>
      <c r="Y136" s="114" t="s">
        <v>421</v>
      </c>
      <c r="Z136" s="114" t="s">
        <v>392</v>
      </c>
      <c r="AA136" t="s">
        <v>401</v>
      </c>
      <c r="AB136" t="s">
        <v>374</v>
      </c>
      <c r="AC136" t="s">
        <v>422</v>
      </c>
      <c r="AE136" t="s">
        <v>342</v>
      </c>
    </row>
    <row r="137" spans="1:31" x14ac:dyDescent="0.25">
      <c r="A137" s="74">
        <v>34823</v>
      </c>
      <c r="B137" s="74" t="s">
        <v>776</v>
      </c>
      <c r="C137" s="74" t="s">
        <v>777</v>
      </c>
      <c r="D137" s="108" t="s">
        <v>397</v>
      </c>
      <c r="E137" s="108" t="s">
        <v>388</v>
      </c>
      <c r="F137" s="108" t="s">
        <v>388</v>
      </c>
      <c r="G137" s="108" t="s">
        <v>388</v>
      </c>
      <c r="H137" s="108" t="s">
        <v>397</v>
      </c>
      <c r="I137" s="109" t="s">
        <v>388</v>
      </c>
      <c r="J137" s="110" t="s">
        <v>388</v>
      </c>
      <c r="K137" s="110" t="s">
        <v>388</v>
      </c>
      <c r="L137" s="110" t="s">
        <v>388</v>
      </c>
      <c r="M137" s="110" t="s">
        <v>388</v>
      </c>
      <c r="N137" s="110" t="s">
        <v>388</v>
      </c>
      <c r="O137" s="111" t="s">
        <v>388</v>
      </c>
      <c r="P137" s="111" t="s">
        <v>388</v>
      </c>
      <c r="Q137" s="111" t="s">
        <v>397</v>
      </c>
      <c r="R137" s="111" t="s">
        <v>397</v>
      </c>
      <c r="S137" s="111" t="s">
        <v>397</v>
      </c>
      <c r="T137" s="113" t="s">
        <v>763</v>
      </c>
      <c r="U137" s="111" t="s">
        <v>466</v>
      </c>
      <c r="V137" s="114" t="s">
        <v>466</v>
      </c>
      <c r="W137" s="83" t="s">
        <v>399</v>
      </c>
      <c r="X137" s="114" t="s">
        <v>390</v>
      </c>
      <c r="Y137" s="114" t="s">
        <v>425</v>
      </c>
      <c r="Z137" s="114" t="s">
        <v>392</v>
      </c>
      <c r="AA137" t="s">
        <v>401</v>
      </c>
      <c r="AB137" t="s">
        <v>374</v>
      </c>
      <c r="AC137" t="s">
        <v>426</v>
      </c>
      <c r="AE137" t="s">
        <v>342</v>
      </c>
    </row>
    <row r="138" spans="1:31" x14ac:dyDescent="0.25">
      <c r="A138" s="74">
        <v>34824</v>
      </c>
      <c r="B138" s="74" t="s">
        <v>778</v>
      </c>
      <c r="C138" s="74" t="s">
        <v>779</v>
      </c>
      <c r="D138" s="108" t="s">
        <v>397</v>
      </c>
      <c r="E138" s="108" t="s">
        <v>388</v>
      </c>
      <c r="F138" s="108" t="s">
        <v>388</v>
      </c>
      <c r="G138" s="108" t="s">
        <v>388</v>
      </c>
      <c r="H138" s="108" t="s">
        <v>397</v>
      </c>
      <c r="I138" s="109" t="s">
        <v>388</v>
      </c>
      <c r="J138" s="110" t="s">
        <v>388</v>
      </c>
      <c r="K138" s="110" t="s">
        <v>388</v>
      </c>
      <c r="L138" s="110" t="s">
        <v>388</v>
      </c>
      <c r="M138" s="110" t="s">
        <v>388</v>
      </c>
      <c r="N138" s="110" t="s">
        <v>388</v>
      </c>
      <c r="O138" s="111" t="s">
        <v>388</v>
      </c>
      <c r="P138" s="111" t="s">
        <v>397</v>
      </c>
      <c r="Q138" s="111" t="s">
        <v>388</v>
      </c>
      <c r="R138" s="111" t="s">
        <v>388</v>
      </c>
      <c r="S138" s="111" t="s">
        <v>388</v>
      </c>
      <c r="T138" s="113" t="s">
        <v>763</v>
      </c>
      <c r="U138" s="111" t="s">
        <v>466</v>
      </c>
      <c r="V138" s="114" t="s">
        <v>466</v>
      </c>
      <c r="W138" s="83" t="s">
        <v>399</v>
      </c>
      <c r="X138" s="114" t="s">
        <v>390</v>
      </c>
      <c r="Y138" s="114" t="s">
        <v>429</v>
      </c>
      <c r="Z138" s="114" t="s">
        <v>392</v>
      </c>
      <c r="AA138" t="s">
        <v>401</v>
      </c>
      <c r="AB138" t="s">
        <v>374</v>
      </c>
      <c r="AC138" t="s">
        <v>430</v>
      </c>
      <c r="AE138" t="s">
        <v>342</v>
      </c>
    </row>
    <row r="139" spans="1:31" x14ac:dyDescent="0.25">
      <c r="A139" s="74">
        <v>34825</v>
      </c>
      <c r="B139" s="74" t="s">
        <v>780</v>
      </c>
      <c r="C139" s="74" t="s">
        <v>781</v>
      </c>
      <c r="D139" s="108" t="s">
        <v>397</v>
      </c>
      <c r="E139" s="108" t="s">
        <v>388</v>
      </c>
      <c r="F139" s="108" t="s">
        <v>388</v>
      </c>
      <c r="G139" s="108" t="s">
        <v>388</v>
      </c>
      <c r="H139" s="108" t="s">
        <v>397</v>
      </c>
      <c r="I139" s="109" t="s">
        <v>388</v>
      </c>
      <c r="J139" s="110" t="s">
        <v>388</v>
      </c>
      <c r="K139" s="110" t="s">
        <v>388</v>
      </c>
      <c r="L139" s="110" t="s">
        <v>388</v>
      </c>
      <c r="M139" s="110" t="s">
        <v>388</v>
      </c>
      <c r="N139" s="110" t="s">
        <v>388</v>
      </c>
      <c r="O139" s="111" t="s">
        <v>388</v>
      </c>
      <c r="P139" s="111" t="s">
        <v>397</v>
      </c>
      <c r="Q139" s="111" t="s">
        <v>388</v>
      </c>
      <c r="R139" s="111" t="s">
        <v>388</v>
      </c>
      <c r="S139" s="111" t="s">
        <v>397</v>
      </c>
      <c r="T139" s="113" t="s">
        <v>763</v>
      </c>
      <c r="U139" s="111" t="s">
        <v>466</v>
      </c>
      <c r="V139" s="114" t="s">
        <v>466</v>
      </c>
      <c r="W139" s="83" t="s">
        <v>399</v>
      </c>
      <c r="X139" s="114" t="s">
        <v>390</v>
      </c>
      <c r="Y139" s="114" t="s">
        <v>433</v>
      </c>
      <c r="Z139" s="114" t="s">
        <v>392</v>
      </c>
      <c r="AA139" t="s">
        <v>401</v>
      </c>
      <c r="AB139" t="s">
        <v>374</v>
      </c>
      <c r="AC139" t="s">
        <v>434</v>
      </c>
      <c r="AE139" t="s">
        <v>342</v>
      </c>
    </row>
    <row r="140" spans="1:31" x14ac:dyDescent="0.25">
      <c r="A140" s="74">
        <v>34826</v>
      </c>
      <c r="B140" s="74" t="s">
        <v>782</v>
      </c>
      <c r="C140" s="74" t="s">
        <v>783</v>
      </c>
      <c r="D140" s="108" t="s">
        <v>397</v>
      </c>
      <c r="E140" s="108" t="s">
        <v>388</v>
      </c>
      <c r="F140" s="108" t="s">
        <v>388</v>
      </c>
      <c r="G140" s="108" t="s">
        <v>388</v>
      </c>
      <c r="H140" s="108" t="s">
        <v>397</v>
      </c>
      <c r="I140" s="109" t="s">
        <v>388</v>
      </c>
      <c r="J140" s="110" t="s">
        <v>388</v>
      </c>
      <c r="K140" s="110" t="s">
        <v>388</v>
      </c>
      <c r="L140" s="110" t="s">
        <v>388</v>
      </c>
      <c r="M140" s="110" t="s">
        <v>388</v>
      </c>
      <c r="N140" s="110" t="s">
        <v>388</v>
      </c>
      <c r="O140" s="111" t="s">
        <v>388</v>
      </c>
      <c r="P140" s="111" t="s">
        <v>397</v>
      </c>
      <c r="Q140" s="111" t="s">
        <v>388</v>
      </c>
      <c r="R140" s="111" t="s">
        <v>397</v>
      </c>
      <c r="S140" s="111" t="s">
        <v>388</v>
      </c>
      <c r="T140" s="113" t="s">
        <v>763</v>
      </c>
      <c r="U140" s="111" t="s">
        <v>466</v>
      </c>
      <c r="V140" s="114" t="s">
        <v>466</v>
      </c>
      <c r="W140" s="83" t="s">
        <v>399</v>
      </c>
      <c r="X140" s="114" t="s">
        <v>390</v>
      </c>
      <c r="Y140" s="114" t="s">
        <v>437</v>
      </c>
      <c r="Z140" s="114" t="s">
        <v>392</v>
      </c>
      <c r="AA140" t="s">
        <v>401</v>
      </c>
      <c r="AB140" t="s">
        <v>374</v>
      </c>
      <c r="AC140" t="s">
        <v>438</v>
      </c>
      <c r="AE140" t="s">
        <v>342</v>
      </c>
    </row>
    <row r="141" spans="1:31" x14ac:dyDescent="0.25">
      <c r="A141" s="74">
        <v>34827</v>
      </c>
      <c r="B141" s="74" t="s">
        <v>784</v>
      </c>
      <c r="C141" s="74" t="s">
        <v>785</v>
      </c>
      <c r="D141" s="108" t="s">
        <v>397</v>
      </c>
      <c r="E141" s="108" t="s">
        <v>388</v>
      </c>
      <c r="F141" s="108" t="s">
        <v>388</v>
      </c>
      <c r="G141" s="108" t="s">
        <v>388</v>
      </c>
      <c r="H141" s="108" t="s">
        <v>397</v>
      </c>
      <c r="I141" s="109" t="s">
        <v>388</v>
      </c>
      <c r="J141" s="110" t="s">
        <v>388</v>
      </c>
      <c r="K141" s="110" t="s">
        <v>388</v>
      </c>
      <c r="L141" s="110" t="s">
        <v>388</v>
      </c>
      <c r="M141" s="110" t="s">
        <v>388</v>
      </c>
      <c r="N141" s="110" t="s">
        <v>388</v>
      </c>
      <c r="O141" s="111" t="s">
        <v>388</v>
      </c>
      <c r="P141" s="111" t="s">
        <v>397</v>
      </c>
      <c r="Q141" s="111" t="s">
        <v>388</v>
      </c>
      <c r="R141" s="111" t="s">
        <v>397</v>
      </c>
      <c r="S141" s="111" t="s">
        <v>397</v>
      </c>
      <c r="T141" s="113" t="s">
        <v>763</v>
      </c>
      <c r="U141" s="111" t="s">
        <v>466</v>
      </c>
      <c r="V141" s="114" t="s">
        <v>466</v>
      </c>
      <c r="W141" s="83" t="s">
        <v>399</v>
      </c>
      <c r="X141" s="114" t="s">
        <v>390</v>
      </c>
      <c r="Y141" s="114" t="s">
        <v>441</v>
      </c>
      <c r="Z141" s="114" t="s">
        <v>392</v>
      </c>
      <c r="AA141" t="s">
        <v>401</v>
      </c>
      <c r="AB141" t="s">
        <v>374</v>
      </c>
      <c r="AC141" t="s">
        <v>442</v>
      </c>
      <c r="AE141" t="s">
        <v>342</v>
      </c>
    </row>
    <row r="142" spans="1:31" x14ac:dyDescent="0.25">
      <c r="A142" s="74">
        <v>34828</v>
      </c>
      <c r="B142" s="74" t="s">
        <v>786</v>
      </c>
      <c r="C142" s="74" t="s">
        <v>787</v>
      </c>
      <c r="D142" s="108" t="s">
        <v>397</v>
      </c>
      <c r="E142" s="108" t="s">
        <v>388</v>
      </c>
      <c r="F142" s="108" t="s">
        <v>388</v>
      </c>
      <c r="G142" s="108" t="s">
        <v>388</v>
      </c>
      <c r="H142" s="108" t="s">
        <v>397</v>
      </c>
      <c r="I142" s="109" t="s">
        <v>388</v>
      </c>
      <c r="J142" s="110" t="s">
        <v>388</v>
      </c>
      <c r="K142" s="110" t="s">
        <v>388</v>
      </c>
      <c r="L142" s="110" t="s">
        <v>388</v>
      </c>
      <c r="M142" s="110" t="s">
        <v>388</v>
      </c>
      <c r="N142" s="110" t="s">
        <v>388</v>
      </c>
      <c r="O142" s="111" t="s">
        <v>388</v>
      </c>
      <c r="P142" s="111" t="s">
        <v>397</v>
      </c>
      <c r="Q142" s="111" t="s">
        <v>397</v>
      </c>
      <c r="R142" s="111" t="s">
        <v>388</v>
      </c>
      <c r="S142" s="111" t="s">
        <v>388</v>
      </c>
      <c r="T142" s="113" t="s">
        <v>763</v>
      </c>
      <c r="U142" s="111" t="s">
        <v>466</v>
      </c>
      <c r="V142" s="114" t="s">
        <v>466</v>
      </c>
      <c r="W142" s="83" t="s">
        <v>399</v>
      </c>
      <c r="X142" s="114" t="s">
        <v>390</v>
      </c>
      <c r="Y142" s="114" t="s">
        <v>445</v>
      </c>
      <c r="Z142" s="114" t="s">
        <v>392</v>
      </c>
      <c r="AA142" t="s">
        <v>401</v>
      </c>
      <c r="AB142" t="s">
        <v>374</v>
      </c>
      <c r="AC142" t="s">
        <v>446</v>
      </c>
      <c r="AE142" t="s">
        <v>342</v>
      </c>
    </row>
    <row r="143" spans="1:31" x14ac:dyDescent="0.25">
      <c r="A143" s="74">
        <v>34829</v>
      </c>
      <c r="B143" s="74" t="s">
        <v>788</v>
      </c>
      <c r="C143" s="74" t="s">
        <v>789</v>
      </c>
      <c r="D143" s="108" t="s">
        <v>397</v>
      </c>
      <c r="E143" s="108" t="s">
        <v>388</v>
      </c>
      <c r="F143" s="108" t="s">
        <v>388</v>
      </c>
      <c r="G143" s="108" t="s">
        <v>388</v>
      </c>
      <c r="H143" s="108" t="s">
        <v>397</v>
      </c>
      <c r="I143" s="109" t="s">
        <v>388</v>
      </c>
      <c r="J143" s="110" t="s">
        <v>388</v>
      </c>
      <c r="K143" s="110" t="s">
        <v>388</v>
      </c>
      <c r="L143" s="110" t="s">
        <v>388</v>
      </c>
      <c r="M143" s="110" t="s">
        <v>388</v>
      </c>
      <c r="N143" s="110" t="s">
        <v>388</v>
      </c>
      <c r="O143" s="111" t="s">
        <v>388</v>
      </c>
      <c r="P143" s="111" t="s">
        <v>397</v>
      </c>
      <c r="Q143" s="111" t="s">
        <v>397</v>
      </c>
      <c r="R143" s="111" t="s">
        <v>388</v>
      </c>
      <c r="S143" s="111" t="s">
        <v>397</v>
      </c>
      <c r="T143" s="113" t="s">
        <v>763</v>
      </c>
      <c r="U143" s="111" t="s">
        <v>466</v>
      </c>
      <c r="V143" s="114" t="s">
        <v>466</v>
      </c>
      <c r="W143" s="83" t="s">
        <v>399</v>
      </c>
      <c r="X143" s="114" t="s">
        <v>390</v>
      </c>
      <c r="Y143" s="114" t="s">
        <v>449</v>
      </c>
      <c r="Z143" s="114" t="s">
        <v>392</v>
      </c>
      <c r="AA143" t="s">
        <v>401</v>
      </c>
      <c r="AB143" t="s">
        <v>374</v>
      </c>
      <c r="AC143" t="s">
        <v>450</v>
      </c>
      <c r="AE143" t="s">
        <v>342</v>
      </c>
    </row>
    <row r="144" spans="1:31" x14ac:dyDescent="0.25">
      <c r="A144" s="74">
        <v>34830</v>
      </c>
      <c r="B144" s="74" t="s">
        <v>790</v>
      </c>
      <c r="C144" s="74" t="s">
        <v>791</v>
      </c>
      <c r="D144" s="108" t="s">
        <v>397</v>
      </c>
      <c r="E144" s="108" t="s">
        <v>388</v>
      </c>
      <c r="F144" s="108" t="s">
        <v>388</v>
      </c>
      <c r="G144" s="108" t="s">
        <v>388</v>
      </c>
      <c r="H144" s="108" t="s">
        <v>397</v>
      </c>
      <c r="I144" s="109" t="s">
        <v>388</v>
      </c>
      <c r="J144" s="110" t="s">
        <v>388</v>
      </c>
      <c r="K144" s="110" t="s">
        <v>388</v>
      </c>
      <c r="L144" s="110" t="s">
        <v>388</v>
      </c>
      <c r="M144" s="110" t="s">
        <v>388</v>
      </c>
      <c r="N144" s="110" t="s">
        <v>388</v>
      </c>
      <c r="O144" s="111" t="s">
        <v>388</v>
      </c>
      <c r="P144" s="111" t="s">
        <v>397</v>
      </c>
      <c r="Q144" s="111" t="s">
        <v>397</v>
      </c>
      <c r="R144" s="111" t="s">
        <v>397</v>
      </c>
      <c r="S144" s="111" t="s">
        <v>388</v>
      </c>
      <c r="T144" s="113" t="s">
        <v>763</v>
      </c>
      <c r="U144" s="111" t="s">
        <v>466</v>
      </c>
      <c r="V144" s="114" t="s">
        <v>466</v>
      </c>
      <c r="W144" s="83" t="s">
        <v>399</v>
      </c>
      <c r="X144" s="114" t="s">
        <v>390</v>
      </c>
      <c r="Y144" s="114" t="s">
        <v>453</v>
      </c>
      <c r="Z144" s="114" t="s">
        <v>392</v>
      </c>
      <c r="AA144" t="s">
        <v>401</v>
      </c>
      <c r="AB144" t="s">
        <v>374</v>
      </c>
      <c r="AC144" t="s">
        <v>454</v>
      </c>
      <c r="AE144" t="s">
        <v>342</v>
      </c>
    </row>
    <row r="145" spans="1:31" x14ac:dyDescent="0.25">
      <c r="A145" s="74">
        <v>34831</v>
      </c>
      <c r="B145" s="74" t="s">
        <v>792</v>
      </c>
      <c r="C145" s="74" t="s">
        <v>793</v>
      </c>
      <c r="D145" s="108" t="s">
        <v>397</v>
      </c>
      <c r="E145" s="108" t="s">
        <v>388</v>
      </c>
      <c r="F145" s="108" t="s">
        <v>388</v>
      </c>
      <c r="G145" s="108" t="s">
        <v>388</v>
      </c>
      <c r="H145" s="108" t="s">
        <v>397</v>
      </c>
      <c r="I145" s="109" t="s">
        <v>388</v>
      </c>
      <c r="J145" s="110" t="s">
        <v>388</v>
      </c>
      <c r="K145" s="110" t="s">
        <v>388</v>
      </c>
      <c r="L145" s="110" t="s">
        <v>388</v>
      </c>
      <c r="M145" s="110" t="s">
        <v>388</v>
      </c>
      <c r="N145" s="110" t="s">
        <v>388</v>
      </c>
      <c r="O145" s="111" t="s">
        <v>388</v>
      </c>
      <c r="P145" s="111" t="s">
        <v>397</v>
      </c>
      <c r="Q145" s="111" t="s">
        <v>397</v>
      </c>
      <c r="R145" s="111" t="s">
        <v>397</v>
      </c>
      <c r="S145" s="111" t="s">
        <v>397</v>
      </c>
      <c r="T145" s="113" t="s">
        <v>763</v>
      </c>
      <c r="U145" s="111" t="s">
        <v>466</v>
      </c>
      <c r="V145" s="114" t="s">
        <v>466</v>
      </c>
      <c r="W145" s="83" t="s">
        <v>399</v>
      </c>
      <c r="X145" s="114" t="s">
        <v>390</v>
      </c>
      <c r="Y145" s="114" t="s">
        <v>457</v>
      </c>
      <c r="Z145" s="114" t="s">
        <v>392</v>
      </c>
      <c r="AA145" t="s">
        <v>401</v>
      </c>
      <c r="AB145" t="s">
        <v>374</v>
      </c>
      <c r="AC145" t="s">
        <v>458</v>
      </c>
      <c r="AE145" t="s">
        <v>342</v>
      </c>
    </row>
    <row r="146" spans="1:31" x14ac:dyDescent="0.25">
      <c r="A146" s="74">
        <v>34832</v>
      </c>
      <c r="B146" s="74" t="s">
        <v>794</v>
      </c>
      <c r="C146" s="74" t="s">
        <v>795</v>
      </c>
      <c r="D146" s="108" t="s">
        <v>397</v>
      </c>
      <c r="E146" s="108" t="s">
        <v>388</v>
      </c>
      <c r="F146" s="108" t="s">
        <v>388</v>
      </c>
      <c r="G146" s="108" t="s">
        <v>388</v>
      </c>
      <c r="H146" s="108" t="s">
        <v>397</v>
      </c>
      <c r="I146" s="109" t="s">
        <v>388</v>
      </c>
      <c r="J146" s="110" t="s">
        <v>388</v>
      </c>
      <c r="K146" s="110" t="s">
        <v>388</v>
      </c>
      <c r="L146" s="110" t="s">
        <v>388</v>
      </c>
      <c r="M146" s="110" t="s">
        <v>388</v>
      </c>
      <c r="N146" s="110" t="s">
        <v>388</v>
      </c>
      <c r="O146" s="111" t="s">
        <v>397</v>
      </c>
      <c r="P146" s="111" t="s">
        <v>388</v>
      </c>
      <c r="Q146" s="111" t="s">
        <v>388</v>
      </c>
      <c r="R146" s="111" t="s">
        <v>388</v>
      </c>
      <c r="S146" s="111" t="s">
        <v>388</v>
      </c>
      <c r="T146" s="113" t="s">
        <v>763</v>
      </c>
      <c r="U146" s="111" t="s">
        <v>466</v>
      </c>
      <c r="V146" s="114" t="s">
        <v>466</v>
      </c>
      <c r="W146" s="83" t="s">
        <v>399</v>
      </c>
      <c r="X146" s="114" t="s">
        <v>390</v>
      </c>
      <c r="Y146" s="114" t="s">
        <v>461</v>
      </c>
      <c r="Z146" s="114" t="s">
        <v>392</v>
      </c>
      <c r="AA146" t="s">
        <v>401</v>
      </c>
      <c r="AB146" t="s">
        <v>374</v>
      </c>
      <c r="AC146" t="s">
        <v>462</v>
      </c>
      <c r="AE146" t="s">
        <v>342</v>
      </c>
    </row>
    <row r="147" spans="1:31" x14ac:dyDescent="0.25">
      <c r="A147" s="74">
        <v>34833</v>
      </c>
      <c r="B147" s="74" t="s">
        <v>796</v>
      </c>
      <c r="C147" s="74" t="s">
        <v>797</v>
      </c>
      <c r="D147" s="108" t="s">
        <v>397</v>
      </c>
      <c r="E147" s="108" t="s">
        <v>388</v>
      </c>
      <c r="F147" s="108" t="s">
        <v>388</v>
      </c>
      <c r="G147" s="108" t="s">
        <v>388</v>
      </c>
      <c r="H147" s="108" t="s">
        <v>397</v>
      </c>
      <c r="I147" s="109" t="s">
        <v>388</v>
      </c>
      <c r="J147" s="110" t="s">
        <v>388</v>
      </c>
      <c r="K147" s="110" t="s">
        <v>388</v>
      </c>
      <c r="L147" s="110" t="s">
        <v>388</v>
      </c>
      <c r="M147" s="110" t="s">
        <v>388</v>
      </c>
      <c r="N147" s="110" t="s">
        <v>388</v>
      </c>
      <c r="O147" s="111" t="s">
        <v>397</v>
      </c>
      <c r="P147" s="111" t="s">
        <v>388</v>
      </c>
      <c r="Q147" s="111" t="s">
        <v>388</v>
      </c>
      <c r="R147" s="111" t="s">
        <v>388</v>
      </c>
      <c r="S147" s="111" t="s">
        <v>397</v>
      </c>
      <c r="T147" s="113" t="s">
        <v>798</v>
      </c>
      <c r="U147" s="111" t="s">
        <v>466</v>
      </c>
      <c r="V147" s="114" t="s">
        <v>466</v>
      </c>
      <c r="W147" s="83" t="s">
        <v>399</v>
      </c>
      <c r="X147" s="114" t="s">
        <v>390</v>
      </c>
      <c r="Y147" s="114" t="s">
        <v>466</v>
      </c>
      <c r="Z147" s="114" t="s">
        <v>392</v>
      </c>
      <c r="AA147" t="s">
        <v>401</v>
      </c>
      <c r="AB147" t="s">
        <v>114</v>
      </c>
      <c r="AC147" t="s">
        <v>467</v>
      </c>
      <c r="AE147" t="s">
        <v>342</v>
      </c>
    </row>
    <row r="148" spans="1:31" x14ac:dyDescent="0.25">
      <c r="A148" s="74">
        <v>34834</v>
      </c>
      <c r="B148" s="74" t="s">
        <v>799</v>
      </c>
      <c r="C148" s="74" t="s">
        <v>800</v>
      </c>
      <c r="D148" s="108" t="s">
        <v>397</v>
      </c>
      <c r="E148" s="108" t="s">
        <v>388</v>
      </c>
      <c r="F148" s="108" t="s">
        <v>388</v>
      </c>
      <c r="G148" s="108" t="s">
        <v>388</v>
      </c>
      <c r="H148" s="108" t="s">
        <v>397</v>
      </c>
      <c r="I148" s="109" t="s">
        <v>388</v>
      </c>
      <c r="J148" s="110" t="s">
        <v>388</v>
      </c>
      <c r="K148" s="110" t="s">
        <v>388</v>
      </c>
      <c r="L148" s="110" t="s">
        <v>388</v>
      </c>
      <c r="M148" s="110" t="s">
        <v>388</v>
      </c>
      <c r="N148" s="110" t="s">
        <v>388</v>
      </c>
      <c r="O148" s="111" t="s">
        <v>397</v>
      </c>
      <c r="P148" s="111" t="s">
        <v>388</v>
      </c>
      <c r="Q148" s="111" t="s">
        <v>388</v>
      </c>
      <c r="R148" s="111" t="s">
        <v>397</v>
      </c>
      <c r="S148" s="111" t="s">
        <v>388</v>
      </c>
      <c r="T148" s="113" t="s">
        <v>763</v>
      </c>
      <c r="U148" s="111" t="s">
        <v>466</v>
      </c>
      <c r="V148" s="114" t="s">
        <v>466</v>
      </c>
      <c r="W148" s="83" t="s">
        <v>399</v>
      </c>
      <c r="X148" s="114" t="s">
        <v>390</v>
      </c>
      <c r="Y148" s="114" t="s">
        <v>470</v>
      </c>
      <c r="Z148" s="114" t="s">
        <v>392</v>
      </c>
      <c r="AA148" t="s">
        <v>401</v>
      </c>
      <c r="AB148" t="s">
        <v>374</v>
      </c>
      <c r="AC148" t="s">
        <v>471</v>
      </c>
      <c r="AE148" t="s">
        <v>342</v>
      </c>
    </row>
    <row r="149" spans="1:31" x14ac:dyDescent="0.25">
      <c r="A149" s="74">
        <v>34835</v>
      </c>
      <c r="B149" s="74" t="s">
        <v>801</v>
      </c>
      <c r="C149" s="74" t="s">
        <v>802</v>
      </c>
      <c r="D149" s="108" t="s">
        <v>397</v>
      </c>
      <c r="E149" s="108" t="s">
        <v>388</v>
      </c>
      <c r="F149" s="108" t="s">
        <v>388</v>
      </c>
      <c r="G149" s="108" t="s">
        <v>388</v>
      </c>
      <c r="H149" s="108" t="s">
        <v>397</v>
      </c>
      <c r="I149" s="109" t="s">
        <v>388</v>
      </c>
      <c r="J149" s="110" t="s">
        <v>388</v>
      </c>
      <c r="K149" s="110" t="s">
        <v>388</v>
      </c>
      <c r="L149" s="110" t="s">
        <v>388</v>
      </c>
      <c r="M149" s="110" t="s">
        <v>388</v>
      </c>
      <c r="N149" s="110" t="s">
        <v>388</v>
      </c>
      <c r="O149" s="111" t="s">
        <v>397</v>
      </c>
      <c r="P149" s="111" t="s">
        <v>388</v>
      </c>
      <c r="Q149" s="111" t="s">
        <v>388</v>
      </c>
      <c r="R149" s="111" t="s">
        <v>397</v>
      </c>
      <c r="S149" s="111" t="s">
        <v>397</v>
      </c>
      <c r="T149" s="113" t="s">
        <v>763</v>
      </c>
      <c r="U149" s="111" t="s">
        <v>466</v>
      </c>
      <c r="V149" s="114" t="s">
        <v>466</v>
      </c>
      <c r="W149" s="83" t="s">
        <v>399</v>
      </c>
      <c r="X149" s="114" t="s">
        <v>390</v>
      </c>
      <c r="Y149" s="114" t="s">
        <v>474</v>
      </c>
      <c r="Z149" s="114" t="s">
        <v>392</v>
      </c>
      <c r="AA149" t="s">
        <v>401</v>
      </c>
      <c r="AB149" t="s">
        <v>374</v>
      </c>
      <c r="AC149" t="s">
        <v>475</v>
      </c>
      <c r="AE149" t="s">
        <v>342</v>
      </c>
    </row>
    <row r="150" spans="1:31" x14ac:dyDescent="0.25">
      <c r="A150" s="74">
        <v>34836</v>
      </c>
      <c r="B150" s="74" t="s">
        <v>803</v>
      </c>
      <c r="C150" s="74" t="s">
        <v>804</v>
      </c>
      <c r="D150" s="108" t="s">
        <v>397</v>
      </c>
      <c r="E150" s="108" t="s">
        <v>388</v>
      </c>
      <c r="F150" s="108" t="s">
        <v>388</v>
      </c>
      <c r="G150" s="108" t="s">
        <v>388</v>
      </c>
      <c r="H150" s="108" t="s">
        <v>397</v>
      </c>
      <c r="I150" s="109" t="s">
        <v>388</v>
      </c>
      <c r="J150" s="110" t="s">
        <v>388</v>
      </c>
      <c r="K150" s="110" t="s">
        <v>388</v>
      </c>
      <c r="L150" s="110" t="s">
        <v>388</v>
      </c>
      <c r="M150" s="110" t="s">
        <v>388</v>
      </c>
      <c r="N150" s="110" t="s">
        <v>388</v>
      </c>
      <c r="O150" s="111" t="s">
        <v>397</v>
      </c>
      <c r="P150" s="111" t="s">
        <v>388</v>
      </c>
      <c r="Q150" s="111" t="s">
        <v>397</v>
      </c>
      <c r="R150" s="111" t="s">
        <v>388</v>
      </c>
      <c r="S150" s="111" t="s">
        <v>388</v>
      </c>
      <c r="T150" s="113" t="s">
        <v>805</v>
      </c>
      <c r="U150" s="111" t="s">
        <v>466</v>
      </c>
      <c r="V150" s="114" t="s">
        <v>466</v>
      </c>
      <c r="W150" s="83" t="s">
        <v>399</v>
      </c>
      <c r="X150" s="114" t="s">
        <v>390</v>
      </c>
      <c r="Y150" s="114" t="s">
        <v>479</v>
      </c>
      <c r="Z150" s="114" t="s">
        <v>392</v>
      </c>
      <c r="AA150" t="s">
        <v>401</v>
      </c>
      <c r="AB150" t="s">
        <v>372</v>
      </c>
      <c r="AC150" t="s">
        <v>386</v>
      </c>
      <c r="AE150" t="s">
        <v>342</v>
      </c>
    </row>
    <row r="151" spans="1:31" x14ac:dyDescent="0.25">
      <c r="A151" s="74">
        <v>34837</v>
      </c>
      <c r="B151" s="74" t="s">
        <v>806</v>
      </c>
      <c r="C151" s="74" t="s">
        <v>807</v>
      </c>
      <c r="D151" s="108" t="s">
        <v>397</v>
      </c>
      <c r="E151" s="108" t="s">
        <v>388</v>
      </c>
      <c r="F151" s="108" t="s">
        <v>388</v>
      </c>
      <c r="G151" s="108" t="s">
        <v>388</v>
      </c>
      <c r="H151" s="108" t="s">
        <v>397</v>
      </c>
      <c r="I151" s="109" t="s">
        <v>388</v>
      </c>
      <c r="J151" s="110" t="s">
        <v>388</v>
      </c>
      <c r="K151" s="110" t="s">
        <v>388</v>
      </c>
      <c r="L151" s="110" t="s">
        <v>388</v>
      </c>
      <c r="M151" s="110" t="s">
        <v>388</v>
      </c>
      <c r="N151" s="110" t="s">
        <v>388</v>
      </c>
      <c r="O151" s="111" t="s">
        <v>397</v>
      </c>
      <c r="P151" s="111" t="s">
        <v>388</v>
      </c>
      <c r="Q151" s="111" t="s">
        <v>397</v>
      </c>
      <c r="R151" s="111" t="s">
        <v>388</v>
      </c>
      <c r="S151" s="111" t="s">
        <v>397</v>
      </c>
      <c r="T151" s="113" t="s">
        <v>808</v>
      </c>
      <c r="U151" s="111" t="s">
        <v>466</v>
      </c>
      <c r="V151" s="114" t="s">
        <v>466</v>
      </c>
      <c r="W151" s="83" t="s">
        <v>399</v>
      </c>
      <c r="X151" s="114" t="s">
        <v>390</v>
      </c>
      <c r="Y151" s="114" t="s">
        <v>483</v>
      </c>
      <c r="Z151" s="114" t="s">
        <v>392</v>
      </c>
      <c r="AA151" t="s">
        <v>401</v>
      </c>
      <c r="AB151" t="s">
        <v>373</v>
      </c>
      <c r="AC151" t="s">
        <v>484</v>
      </c>
      <c r="AE151" t="s">
        <v>342</v>
      </c>
    </row>
    <row r="152" spans="1:31" x14ac:dyDescent="0.25">
      <c r="A152" s="74">
        <v>34838</v>
      </c>
      <c r="B152" s="74" t="s">
        <v>809</v>
      </c>
      <c r="C152" s="74" t="s">
        <v>810</v>
      </c>
      <c r="D152" s="108" t="s">
        <v>397</v>
      </c>
      <c r="E152" s="108" t="s">
        <v>388</v>
      </c>
      <c r="F152" s="108" t="s">
        <v>388</v>
      </c>
      <c r="G152" s="108" t="s">
        <v>388</v>
      </c>
      <c r="H152" s="108" t="s">
        <v>397</v>
      </c>
      <c r="I152" s="109" t="s">
        <v>388</v>
      </c>
      <c r="J152" s="110" t="s">
        <v>388</v>
      </c>
      <c r="K152" s="110" t="s">
        <v>388</v>
      </c>
      <c r="L152" s="110" t="s">
        <v>388</v>
      </c>
      <c r="M152" s="110" t="s">
        <v>388</v>
      </c>
      <c r="N152" s="110" t="s">
        <v>388</v>
      </c>
      <c r="O152" s="111" t="s">
        <v>397</v>
      </c>
      <c r="P152" s="111" t="s">
        <v>388</v>
      </c>
      <c r="Q152" s="111" t="s">
        <v>397</v>
      </c>
      <c r="R152" s="111" t="s">
        <v>397</v>
      </c>
      <c r="S152" s="111" t="s">
        <v>388</v>
      </c>
      <c r="T152" s="113" t="s">
        <v>763</v>
      </c>
      <c r="U152" s="111" t="s">
        <v>466</v>
      </c>
      <c r="V152" s="114" t="s">
        <v>466</v>
      </c>
      <c r="W152" s="83" t="s">
        <v>399</v>
      </c>
      <c r="X152" s="114" t="s">
        <v>390</v>
      </c>
      <c r="Y152" s="114" t="s">
        <v>487</v>
      </c>
      <c r="Z152" s="114" t="s">
        <v>392</v>
      </c>
      <c r="AA152" t="s">
        <v>401</v>
      </c>
      <c r="AB152" t="s">
        <v>374</v>
      </c>
      <c r="AC152" t="s">
        <v>488</v>
      </c>
      <c r="AE152" t="s">
        <v>342</v>
      </c>
    </row>
    <row r="153" spans="1:31" x14ac:dyDescent="0.25">
      <c r="A153" s="74">
        <v>34839</v>
      </c>
      <c r="B153" s="74" t="s">
        <v>811</v>
      </c>
      <c r="C153" s="74" t="s">
        <v>812</v>
      </c>
      <c r="D153" s="108" t="s">
        <v>397</v>
      </c>
      <c r="E153" s="108" t="s">
        <v>388</v>
      </c>
      <c r="F153" s="108" t="s">
        <v>388</v>
      </c>
      <c r="G153" s="108" t="s">
        <v>388</v>
      </c>
      <c r="H153" s="108" t="s">
        <v>397</v>
      </c>
      <c r="I153" s="109" t="s">
        <v>388</v>
      </c>
      <c r="J153" s="110" t="s">
        <v>388</v>
      </c>
      <c r="K153" s="110" t="s">
        <v>388</v>
      </c>
      <c r="L153" s="110" t="s">
        <v>388</v>
      </c>
      <c r="M153" s="110" t="s">
        <v>388</v>
      </c>
      <c r="N153" s="110" t="s">
        <v>388</v>
      </c>
      <c r="O153" s="111" t="s">
        <v>397</v>
      </c>
      <c r="P153" s="111" t="s">
        <v>388</v>
      </c>
      <c r="Q153" s="111" t="s">
        <v>397</v>
      </c>
      <c r="R153" s="111" t="s">
        <v>397</v>
      </c>
      <c r="S153" s="111" t="s">
        <v>397</v>
      </c>
      <c r="T153" s="113" t="s">
        <v>763</v>
      </c>
      <c r="U153" s="111" t="s">
        <v>466</v>
      </c>
      <c r="V153" s="114" t="s">
        <v>466</v>
      </c>
      <c r="W153" s="83" t="s">
        <v>399</v>
      </c>
      <c r="X153" s="114" t="s">
        <v>390</v>
      </c>
      <c r="Y153" s="114" t="s">
        <v>491</v>
      </c>
      <c r="Z153" s="114" t="s">
        <v>392</v>
      </c>
      <c r="AA153" t="s">
        <v>401</v>
      </c>
      <c r="AB153" t="s">
        <v>374</v>
      </c>
      <c r="AC153" t="s">
        <v>492</v>
      </c>
      <c r="AE153" t="s">
        <v>342</v>
      </c>
    </row>
    <row r="154" spans="1:31" x14ac:dyDescent="0.25">
      <c r="A154" s="74">
        <v>34840</v>
      </c>
      <c r="B154" s="74" t="s">
        <v>813</v>
      </c>
      <c r="C154" s="74" t="s">
        <v>814</v>
      </c>
      <c r="D154" s="108" t="s">
        <v>397</v>
      </c>
      <c r="E154" s="108" t="s">
        <v>388</v>
      </c>
      <c r="F154" s="108" t="s">
        <v>388</v>
      </c>
      <c r="G154" s="108" t="s">
        <v>388</v>
      </c>
      <c r="H154" s="108" t="s">
        <v>397</v>
      </c>
      <c r="I154" s="109" t="s">
        <v>388</v>
      </c>
      <c r="J154" s="110" t="s">
        <v>388</v>
      </c>
      <c r="K154" s="110" t="s">
        <v>388</v>
      </c>
      <c r="L154" s="110" t="s">
        <v>388</v>
      </c>
      <c r="M154" s="110" t="s">
        <v>388</v>
      </c>
      <c r="N154" s="110" t="s">
        <v>388</v>
      </c>
      <c r="O154" s="111" t="s">
        <v>397</v>
      </c>
      <c r="P154" s="111" t="s">
        <v>397</v>
      </c>
      <c r="Q154" s="111" t="s">
        <v>388</v>
      </c>
      <c r="R154" s="111" t="s">
        <v>388</v>
      </c>
      <c r="S154" s="111" t="s">
        <v>388</v>
      </c>
      <c r="T154" s="113" t="s">
        <v>763</v>
      </c>
      <c r="U154" s="111" t="s">
        <v>466</v>
      </c>
      <c r="V154" s="114" t="s">
        <v>466</v>
      </c>
      <c r="W154" s="83" t="s">
        <v>399</v>
      </c>
      <c r="X154" s="114" t="s">
        <v>390</v>
      </c>
      <c r="Y154" s="114" t="s">
        <v>495</v>
      </c>
      <c r="Z154" s="114" t="s">
        <v>392</v>
      </c>
      <c r="AA154" t="s">
        <v>401</v>
      </c>
      <c r="AB154" t="s">
        <v>374</v>
      </c>
      <c r="AC154" t="s">
        <v>496</v>
      </c>
      <c r="AE154" t="s">
        <v>342</v>
      </c>
    </row>
    <row r="155" spans="1:31" x14ac:dyDescent="0.25">
      <c r="A155" s="74">
        <v>34841</v>
      </c>
      <c r="B155" s="74" t="s">
        <v>815</v>
      </c>
      <c r="C155" s="74" t="s">
        <v>816</v>
      </c>
      <c r="D155" s="108" t="s">
        <v>397</v>
      </c>
      <c r="E155" s="108" t="s">
        <v>388</v>
      </c>
      <c r="F155" s="108" t="s">
        <v>388</v>
      </c>
      <c r="G155" s="108" t="s">
        <v>388</v>
      </c>
      <c r="H155" s="108" t="s">
        <v>397</v>
      </c>
      <c r="I155" s="109" t="s">
        <v>388</v>
      </c>
      <c r="J155" s="110" t="s">
        <v>388</v>
      </c>
      <c r="K155" s="110" t="s">
        <v>388</v>
      </c>
      <c r="L155" s="110" t="s">
        <v>388</v>
      </c>
      <c r="M155" s="110" t="s">
        <v>388</v>
      </c>
      <c r="N155" s="110" t="s">
        <v>388</v>
      </c>
      <c r="O155" s="111" t="s">
        <v>397</v>
      </c>
      <c r="P155" s="111" t="s">
        <v>397</v>
      </c>
      <c r="Q155" s="111" t="s">
        <v>388</v>
      </c>
      <c r="R155" s="111" t="s">
        <v>388</v>
      </c>
      <c r="S155" s="111" t="s">
        <v>397</v>
      </c>
      <c r="T155" s="113" t="s">
        <v>763</v>
      </c>
      <c r="U155" s="111" t="s">
        <v>466</v>
      </c>
      <c r="V155" s="114" t="s">
        <v>466</v>
      </c>
      <c r="W155" s="83" t="s">
        <v>399</v>
      </c>
      <c r="X155" s="114" t="s">
        <v>390</v>
      </c>
      <c r="Y155" s="114" t="s">
        <v>499</v>
      </c>
      <c r="Z155" s="114" t="s">
        <v>392</v>
      </c>
      <c r="AA155" t="s">
        <v>401</v>
      </c>
      <c r="AB155" t="s">
        <v>374</v>
      </c>
      <c r="AC155" t="s">
        <v>500</v>
      </c>
      <c r="AE155" t="s">
        <v>342</v>
      </c>
    </row>
    <row r="156" spans="1:31" x14ac:dyDescent="0.25">
      <c r="A156" s="74">
        <v>34842</v>
      </c>
      <c r="B156" s="74" t="s">
        <v>817</v>
      </c>
      <c r="C156" s="74" t="s">
        <v>818</v>
      </c>
      <c r="D156" s="108" t="s">
        <v>397</v>
      </c>
      <c r="E156" s="108" t="s">
        <v>388</v>
      </c>
      <c r="F156" s="108" t="s">
        <v>388</v>
      </c>
      <c r="G156" s="108" t="s">
        <v>388</v>
      </c>
      <c r="H156" s="108" t="s">
        <v>397</v>
      </c>
      <c r="I156" s="109" t="s">
        <v>388</v>
      </c>
      <c r="J156" s="110" t="s">
        <v>388</v>
      </c>
      <c r="K156" s="110" t="s">
        <v>388</v>
      </c>
      <c r="L156" s="110" t="s">
        <v>388</v>
      </c>
      <c r="M156" s="110" t="s">
        <v>388</v>
      </c>
      <c r="N156" s="110" t="s">
        <v>388</v>
      </c>
      <c r="O156" s="111" t="s">
        <v>397</v>
      </c>
      <c r="P156" s="111" t="s">
        <v>397</v>
      </c>
      <c r="Q156" s="111" t="s">
        <v>388</v>
      </c>
      <c r="R156" s="111" t="s">
        <v>397</v>
      </c>
      <c r="S156" s="111" t="s">
        <v>388</v>
      </c>
      <c r="T156" s="113" t="s">
        <v>763</v>
      </c>
      <c r="U156" s="111" t="s">
        <v>466</v>
      </c>
      <c r="V156" s="114" t="s">
        <v>466</v>
      </c>
      <c r="W156" s="83" t="s">
        <v>399</v>
      </c>
      <c r="X156" s="114" t="s">
        <v>390</v>
      </c>
      <c r="Y156" s="114" t="s">
        <v>503</v>
      </c>
      <c r="Z156" s="114" t="s">
        <v>392</v>
      </c>
      <c r="AA156" t="s">
        <v>401</v>
      </c>
      <c r="AB156" t="s">
        <v>374</v>
      </c>
      <c r="AC156" t="s">
        <v>504</v>
      </c>
      <c r="AE156" t="s">
        <v>342</v>
      </c>
    </row>
    <row r="157" spans="1:31" x14ac:dyDescent="0.25">
      <c r="A157" s="74">
        <v>34843</v>
      </c>
      <c r="B157" s="74" t="s">
        <v>819</v>
      </c>
      <c r="C157" s="74" t="s">
        <v>820</v>
      </c>
      <c r="D157" s="108" t="s">
        <v>397</v>
      </c>
      <c r="E157" s="108" t="s">
        <v>388</v>
      </c>
      <c r="F157" s="108" t="s">
        <v>388</v>
      </c>
      <c r="G157" s="108" t="s">
        <v>388</v>
      </c>
      <c r="H157" s="108" t="s">
        <v>397</v>
      </c>
      <c r="I157" s="109" t="s">
        <v>388</v>
      </c>
      <c r="J157" s="110" t="s">
        <v>388</v>
      </c>
      <c r="K157" s="110" t="s">
        <v>388</v>
      </c>
      <c r="L157" s="110" t="s">
        <v>388</v>
      </c>
      <c r="M157" s="110" t="s">
        <v>388</v>
      </c>
      <c r="N157" s="110" t="s">
        <v>388</v>
      </c>
      <c r="O157" s="111" t="s">
        <v>397</v>
      </c>
      <c r="P157" s="111" t="s">
        <v>397</v>
      </c>
      <c r="Q157" s="111" t="s">
        <v>388</v>
      </c>
      <c r="R157" s="111" t="s">
        <v>397</v>
      </c>
      <c r="S157" s="111" t="s">
        <v>397</v>
      </c>
      <c r="T157" s="113" t="s">
        <v>763</v>
      </c>
      <c r="U157" s="111" t="s">
        <v>466</v>
      </c>
      <c r="V157" s="114" t="s">
        <v>466</v>
      </c>
      <c r="W157" s="83" t="s">
        <v>399</v>
      </c>
      <c r="X157" s="114" t="s">
        <v>390</v>
      </c>
      <c r="Y157" s="114" t="s">
        <v>507</v>
      </c>
      <c r="Z157" s="114" t="s">
        <v>392</v>
      </c>
      <c r="AA157" t="s">
        <v>401</v>
      </c>
      <c r="AB157" t="s">
        <v>374</v>
      </c>
      <c r="AC157" t="s">
        <v>508</v>
      </c>
      <c r="AE157" t="s">
        <v>342</v>
      </c>
    </row>
    <row r="158" spans="1:31" x14ac:dyDescent="0.25">
      <c r="A158" s="74">
        <v>34844</v>
      </c>
      <c r="B158" s="74" t="s">
        <v>821</v>
      </c>
      <c r="C158" s="74" t="s">
        <v>822</v>
      </c>
      <c r="D158" s="108" t="s">
        <v>397</v>
      </c>
      <c r="E158" s="108" t="s">
        <v>388</v>
      </c>
      <c r="F158" s="108" t="s">
        <v>388</v>
      </c>
      <c r="G158" s="108" t="s">
        <v>388</v>
      </c>
      <c r="H158" s="108" t="s">
        <v>397</v>
      </c>
      <c r="I158" s="109" t="s">
        <v>388</v>
      </c>
      <c r="J158" s="110" t="s">
        <v>388</v>
      </c>
      <c r="K158" s="110" t="s">
        <v>388</v>
      </c>
      <c r="L158" s="110" t="s">
        <v>388</v>
      </c>
      <c r="M158" s="110" t="s">
        <v>388</v>
      </c>
      <c r="N158" s="110" t="s">
        <v>388</v>
      </c>
      <c r="O158" s="111" t="s">
        <v>397</v>
      </c>
      <c r="P158" s="111" t="s">
        <v>397</v>
      </c>
      <c r="Q158" s="111" t="s">
        <v>397</v>
      </c>
      <c r="R158" s="111" t="s">
        <v>388</v>
      </c>
      <c r="S158" s="111" t="s">
        <v>388</v>
      </c>
      <c r="T158" s="113" t="s">
        <v>763</v>
      </c>
      <c r="U158" s="111" t="s">
        <v>466</v>
      </c>
      <c r="V158" s="114" t="s">
        <v>466</v>
      </c>
      <c r="W158" s="83" t="s">
        <v>399</v>
      </c>
      <c r="X158" s="114" t="s">
        <v>390</v>
      </c>
      <c r="Y158" s="114" t="s">
        <v>511</v>
      </c>
      <c r="Z158" s="114" t="s">
        <v>392</v>
      </c>
      <c r="AA158" t="s">
        <v>401</v>
      </c>
      <c r="AB158" t="s">
        <v>374</v>
      </c>
      <c r="AC158" t="s">
        <v>512</v>
      </c>
      <c r="AE158" t="s">
        <v>342</v>
      </c>
    </row>
    <row r="159" spans="1:31" x14ac:dyDescent="0.25">
      <c r="A159" s="74">
        <v>34845</v>
      </c>
      <c r="B159" s="74" t="s">
        <v>823</v>
      </c>
      <c r="C159" s="74" t="s">
        <v>824</v>
      </c>
      <c r="D159" s="108" t="s">
        <v>397</v>
      </c>
      <c r="E159" s="108" t="s">
        <v>388</v>
      </c>
      <c r="F159" s="108" t="s">
        <v>388</v>
      </c>
      <c r="G159" s="108" t="s">
        <v>388</v>
      </c>
      <c r="H159" s="108" t="s">
        <v>397</v>
      </c>
      <c r="I159" s="109" t="s">
        <v>388</v>
      </c>
      <c r="J159" s="110" t="s">
        <v>388</v>
      </c>
      <c r="K159" s="110" t="s">
        <v>388</v>
      </c>
      <c r="L159" s="110" t="s">
        <v>388</v>
      </c>
      <c r="M159" s="110" t="s">
        <v>388</v>
      </c>
      <c r="N159" s="110" t="s">
        <v>388</v>
      </c>
      <c r="O159" s="111" t="s">
        <v>397</v>
      </c>
      <c r="P159" s="111" t="s">
        <v>397</v>
      </c>
      <c r="Q159" s="111" t="s">
        <v>397</v>
      </c>
      <c r="R159" s="111" t="s">
        <v>388</v>
      </c>
      <c r="S159" s="111" t="s">
        <v>397</v>
      </c>
      <c r="T159" s="113" t="s">
        <v>763</v>
      </c>
      <c r="U159" s="111" t="s">
        <v>466</v>
      </c>
      <c r="V159" s="114" t="s">
        <v>466</v>
      </c>
      <c r="W159" s="83" t="s">
        <v>399</v>
      </c>
      <c r="X159" s="114" t="s">
        <v>390</v>
      </c>
      <c r="Y159" s="114" t="s">
        <v>515</v>
      </c>
      <c r="Z159" s="114" t="s">
        <v>392</v>
      </c>
      <c r="AA159" t="s">
        <v>401</v>
      </c>
      <c r="AB159" t="s">
        <v>374</v>
      </c>
      <c r="AC159" t="s">
        <v>516</v>
      </c>
      <c r="AE159" t="s">
        <v>342</v>
      </c>
    </row>
    <row r="160" spans="1:31" x14ac:dyDescent="0.25">
      <c r="A160" s="74">
        <v>34846</v>
      </c>
      <c r="B160" s="74" t="s">
        <v>825</v>
      </c>
      <c r="C160" s="74" t="s">
        <v>826</v>
      </c>
      <c r="D160" s="108" t="s">
        <v>397</v>
      </c>
      <c r="E160" s="108" t="s">
        <v>388</v>
      </c>
      <c r="F160" s="108" t="s">
        <v>388</v>
      </c>
      <c r="G160" s="108" t="s">
        <v>388</v>
      </c>
      <c r="H160" s="108" t="s">
        <v>397</v>
      </c>
      <c r="I160" s="109" t="s">
        <v>388</v>
      </c>
      <c r="J160" s="110" t="s">
        <v>388</v>
      </c>
      <c r="K160" s="110" t="s">
        <v>388</v>
      </c>
      <c r="L160" s="110" t="s">
        <v>388</v>
      </c>
      <c r="M160" s="110" t="s">
        <v>388</v>
      </c>
      <c r="N160" s="110" t="s">
        <v>388</v>
      </c>
      <c r="O160" s="111" t="s">
        <v>397</v>
      </c>
      <c r="P160" s="111" t="s">
        <v>397</v>
      </c>
      <c r="Q160" s="111" t="s">
        <v>397</v>
      </c>
      <c r="R160" s="111" t="s">
        <v>397</v>
      </c>
      <c r="S160" s="111" t="s">
        <v>388</v>
      </c>
      <c r="T160" s="113" t="s">
        <v>763</v>
      </c>
      <c r="U160" s="111" t="s">
        <v>466</v>
      </c>
      <c r="V160" s="114" t="s">
        <v>466</v>
      </c>
      <c r="W160" s="83" t="s">
        <v>399</v>
      </c>
      <c r="X160" s="114" t="s">
        <v>390</v>
      </c>
      <c r="Y160" s="114" t="s">
        <v>519</v>
      </c>
      <c r="Z160" s="114" t="s">
        <v>392</v>
      </c>
      <c r="AA160" t="s">
        <v>401</v>
      </c>
      <c r="AB160" t="s">
        <v>374</v>
      </c>
      <c r="AC160" t="s">
        <v>520</v>
      </c>
      <c r="AE160" t="s">
        <v>342</v>
      </c>
    </row>
    <row r="161" spans="1:31" x14ac:dyDescent="0.25">
      <c r="A161" s="74">
        <v>34847</v>
      </c>
      <c r="B161" s="74" t="s">
        <v>827</v>
      </c>
      <c r="C161" s="74" t="s">
        <v>828</v>
      </c>
      <c r="D161" s="108" t="s">
        <v>397</v>
      </c>
      <c r="E161" s="108" t="s">
        <v>388</v>
      </c>
      <c r="F161" s="108" t="s">
        <v>388</v>
      </c>
      <c r="G161" s="108" t="s">
        <v>388</v>
      </c>
      <c r="H161" s="108" t="s">
        <v>397</v>
      </c>
      <c r="I161" s="109" t="s">
        <v>388</v>
      </c>
      <c r="J161" s="110" t="s">
        <v>388</v>
      </c>
      <c r="K161" s="110" t="s">
        <v>388</v>
      </c>
      <c r="L161" s="110" t="s">
        <v>388</v>
      </c>
      <c r="M161" s="110" t="s">
        <v>388</v>
      </c>
      <c r="N161" s="110" t="s">
        <v>388</v>
      </c>
      <c r="O161" s="111" t="s">
        <v>397</v>
      </c>
      <c r="P161" s="111" t="s">
        <v>397</v>
      </c>
      <c r="Q161" s="111" t="s">
        <v>397</v>
      </c>
      <c r="R161" s="111" t="s">
        <v>397</v>
      </c>
      <c r="S161" s="111" t="s">
        <v>397</v>
      </c>
      <c r="T161" s="113" t="s">
        <v>763</v>
      </c>
      <c r="U161" s="111" t="s">
        <v>466</v>
      </c>
      <c r="V161" s="114" t="s">
        <v>466</v>
      </c>
      <c r="W161" s="83" t="s">
        <v>399</v>
      </c>
      <c r="X161" s="114" t="s">
        <v>390</v>
      </c>
      <c r="Y161" s="114" t="s">
        <v>523</v>
      </c>
      <c r="Z161" s="114" t="s">
        <v>392</v>
      </c>
      <c r="AA161" t="s">
        <v>401</v>
      </c>
      <c r="AB161" t="s">
        <v>374</v>
      </c>
      <c r="AC161" t="s">
        <v>524</v>
      </c>
      <c r="AE161" t="s">
        <v>342</v>
      </c>
    </row>
    <row r="162" spans="1:31" x14ac:dyDescent="0.25">
      <c r="A162" s="74">
        <v>35808</v>
      </c>
      <c r="B162" s="74" t="s">
        <v>829</v>
      </c>
      <c r="C162" s="74" t="s">
        <v>830</v>
      </c>
      <c r="D162" s="108" t="s">
        <v>397</v>
      </c>
      <c r="E162" s="108" t="s">
        <v>388</v>
      </c>
      <c r="F162" s="108" t="s">
        <v>388</v>
      </c>
      <c r="G162" s="108" t="s">
        <v>388</v>
      </c>
      <c r="H162" s="108" t="s">
        <v>397</v>
      </c>
      <c r="I162" s="109" t="s">
        <v>388</v>
      </c>
      <c r="J162" s="110" t="s">
        <v>397</v>
      </c>
      <c r="K162" s="110" t="s">
        <v>397</v>
      </c>
      <c r="L162" s="110" t="s">
        <v>397</v>
      </c>
      <c r="M162" s="110" t="s">
        <v>397</v>
      </c>
      <c r="N162" s="110" t="s">
        <v>397</v>
      </c>
      <c r="O162" s="111" t="s">
        <v>388</v>
      </c>
      <c r="P162" s="111" t="s">
        <v>388</v>
      </c>
      <c r="Q162" s="111" t="s">
        <v>388</v>
      </c>
      <c r="R162" s="111" t="s">
        <v>388</v>
      </c>
      <c r="S162" s="111" t="s">
        <v>388</v>
      </c>
      <c r="T162" s="113" t="s">
        <v>763</v>
      </c>
      <c r="U162" s="111" t="s">
        <v>466</v>
      </c>
      <c r="V162" s="114" t="s">
        <v>466</v>
      </c>
      <c r="W162" s="83" t="s">
        <v>399</v>
      </c>
      <c r="X162" s="114" t="s">
        <v>523</v>
      </c>
      <c r="Y162" s="114" t="s">
        <v>390</v>
      </c>
      <c r="Z162" s="114" t="s">
        <v>392</v>
      </c>
      <c r="AA162" t="s">
        <v>401</v>
      </c>
      <c r="AB162" t="s">
        <v>374</v>
      </c>
      <c r="AC162" t="s">
        <v>394</v>
      </c>
      <c r="AE162" t="s">
        <v>342</v>
      </c>
    </row>
    <row r="163" spans="1:31" x14ac:dyDescent="0.25">
      <c r="A163" s="74">
        <v>35809</v>
      </c>
      <c r="B163" s="74" t="s">
        <v>831</v>
      </c>
      <c r="C163" s="74" t="s">
        <v>832</v>
      </c>
      <c r="D163" s="108" t="s">
        <v>397</v>
      </c>
      <c r="E163" s="108" t="s">
        <v>388</v>
      </c>
      <c r="F163" s="108" t="s">
        <v>388</v>
      </c>
      <c r="G163" s="108" t="s">
        <v>388</v>
      </c>
      <c r="H163" s="108" t="s">
        <v>397</v>
      </c>
      <c r="I163" s="109" t="s">
        <v>388</v>
      </c>
      <c r="J163" s="110" t="s">
        <v>397</v>
      </c>
      <c r="K163" s="110" t="s">
        <v>397</v>
      </c>
      <c r="L163" s="110" t="s">
        <v>397</v>
      </c>
      <c r="M163" s="110" t="s">
        <v>397</v>
      </c>
      <c r="N163" s="110" t="s">
        <v>397</v>
      </c>
      <c r="O163" s="111" t="s">
        <v>388</v>
      </c>
      <c r="P163" s="111" t="s">
        <v>388</v>
      </c>
      <c r="Q163" s="111" t="s">
        <v>388</v>
      </c>
      <c r="R163" s="111" t="s">
        <v>388</v>
      </c>
      <c r="S163" s="111" t="s">
        <v>397</v>
      </c>
      <c r="T163" s="113" t="s">
        <v>763</v>
      </c>
      <c r="U163" s="111" t="s">
        <v>466</v>
      </c>
      <c r="V163" s="114" t="s">
        <v>466</v>
      </c>
      <c r="W163" s="83" t="s">
        <v>399</v>
      </c>
      <c r="X163" s="114" t="s">
        <v>523</v>
      </c>
      <c r="Y163" s="114" t="s">
        <v>400</v>
      </c>
      <c r="Z163" s="114" t="s">
        <v>392</v>
      </c>
      <c r="AA163" t="s">
        <v>401</v>
      </c>
      <c r="AB163" t="s">
        <v>374</v>
      </c>
      <c r="AC163" t="s">
        <v>402</v>
      </c>
      <c r="AE163" t="s">
        <v>342</v>
      </c>
    </row>
    <row r="164" spans="1:31" x14ac:dyDescent="0.25">
      <c r="A164" s="74">
        <v>35810</v>
      </c>
      <c r="B164" s="74" t="s">
        <v>833</v>
      </c>
      <c r="C164" s="74" t="s">
        <v>834</v>
      </c>
      <c r="D164" s="108" t="s">
        <v>397</v>
      </c>
      <c r="E164" s="108" t="s">
        <v>388</v>
      </c>
      <c r="F164" s="108" t="s">
        <v>388</v>
      </c>
      <c r="G164" s="108" t="s">
        <v>388</v>
      </c>
      <c r="H164" s="108" t="s">
        <v>397</v>
      </c>
      <c r="I164" s="109" t="s">
        <v>388</v>
      </c>
      <c r="J164" s="110" t="s">
        <v>397</v>
      </c>
      <c r="K164" s="110" t="s">
        <v>397</v>
      </c>
      <c r="L164" s="110" t="s">
        <v>397</v>
      </c>
      <c r="M164" s="110" t="s">
        <v>397</v>
      </c>
      <c r="N164" s="110" t="s">
        <v>397</v>
      </c>
      <c r="O164" s="111" t="s">
        <v>388</v>
      </c>
      <c r="P164" s="111" t="s">
        <v>388</v>
      </c>
      <c r="Q164" s="111" t="s">
        <v>388</v>
      </c>
      <c r="R164" s="111" t="s">
        <v>397</v>
      </c>
      <c r="S164" s="111" t="s">
        <v>388</v>
      </c>
      <c r="T164" s="113" t="s">
        <v>763</v>
      </c>
      <c r="U164" s="111" t="s">
        <v>466</v>
      </c>
      <c r="V164" s="114" t="s">
        <v>466</v>
      </c>
      <c r="W164" s="83" t="s">
        <v>399</v>
      </c>
      <c r="X164" s="114" t="s">
        <v>523</v>
      </c>
      <c r="Y164" s="114" t="s">
        <v>405</v>
      </c>
      <c r="Z164" s="114" t="s">
        <v>392</v>
      </c>
      <c r="AA164" t="s">
        <v>401</v>
      </c>
      <c r="AB164" t="s">
        <v>374</v>
      </c>
      <c r="AC164" t="s">
        <v>406</v>
      </c>
      <c r="AE164" t="s">
        <v>342</v>
      </c>
    </row>
    <row r="165" spans="1:31" x14ac:dyDescent="0.25">
      <c r="A165" s="74">
        <v>35811</v>
      </c>
      <c r="B165" s="74" t="s">
        <v>835</v>
      </c>
      <c r="C165" s="74" t="s">
        <v>836</v>
      </c>
      <c r="D165" s="108" t="s">
        <v>397</v>
      </c>
      <c r="E165" s="108" t="s">
        <v>388</v>
      </c>
      <c r="F165" s="108" t="s">
        <v>388</v>
      </c>
      <c r="G165" s="108" t="s">
        <v>388</v>
      </c>
      <c r="H165" s="108" t="s">
        <v>397</v>
      </c>
      <c r="I165" s="109" t="s">
        <v>388</v>
      </c>
      <c r="J165" s="110" t="s">
        <v>397</v>
      </c>
      <c r="K165" s="110" t="s">
        <v>397</v>
      </c>
      <c r="L165" s="110" t="s">
        <v>397</v>
      </c>
      <c r="M165" s="110" t="s">
        <v>397</v>
      </c>
      <c r="N165" s="110" t="s">
        <v>397</v>
      </c>
      <c r="O165" s="111" t="s">
        <v>388</v>
      </c>
      <c r="P165" s="111" t="s">
        <v>388</v>
      </c>
      <c r="Q165" s="111" t="s">
        <v>388</v>
      </c>
      <c r="R165" s="111" t="s">
        <v>397</v>
      </c>
      <c r="S165" s="111" t="s">
        <v>397</v>
      </c>
      <c r="T165" s="113" t="s">
        <v>763</v>
      </c>
      <c r="U165" s="111" t="s">
        <v>466</v>
      </c>
      <c r="V165" s="114" t="s">
        <v>466</v>
      </c>
      <c r="W165" s="83" t="s">
        <v>399</v>
      </c>
      <c r="X165" s="114" t="s">
        <v>523</v>
      </c>
      <c r="Y165" s="114" t="s">
        <v>409</v>
      </c>
      <c r="Z165" s="114" t="s">
        <v>392</v>
      </c>
      <c r="AA165" t="s">
        <v>401</v>
      </c>
      <c r="AB165" t="s">
        <v>374</v>
      </c>
      <c r="AC165" t="s">
        <v>410</v>
      </c>
      <c r="AE165" t="s">
        <v>342</v>
      </c>
    </row>
    <row r="166" spans="1:31" x14ac:dyDescent="0.25">
      <c r="A166" s="74">
        <v>35812</v>
      </c>
      <c r="B166" s="74" t="s">
        <v>837</v>
      </c>
      <c r="C166" s="74" t="s">
        <v>838</v>
      </c>
      <c r="D166" s="108" t="s">
        <v>397</v>
      </c>
      <c r="E166" s="108" t="s">
        <v>388</v>
      </c>
      <c r="F166" s="108" t="s">
        <v>388</v>
      </c>
      <c r="G166" s="108" t="s">
        <v>388</v>
      </c>
      <c r="H166" s="108" t="s">
        <v>397</v>
      </c>
      <c r="I166" s="109" t="s">
        <v>388</v>
      </c>
      <c r="J166" s="110" t="s">
        <v>397</v>
      </c>
      <c r="K166" s="110" t="s">
        <v>397</v>
      </c>
      <c r="L166" s="110" t="s">
        <v>397</v>
      </c>
      <c r="M166" s="110" t="s">
        <v>397</v>
      </c>
      <c r="N166" s="110" t="s">
        <v>397</v>
      </c>
      <c r="O166" s="111" t="s">
        <v>388</v>
      </c>
      <c r="P166" s="111" t="s">
        <v>388</v>
      </c>
      <c r="Q166" s="111" t="s">
        <v>397</v>
      </c>
      <c r="R166" s="111" t="s">
        <v>388</v>
      </c>
      <c r="S166" s="111" t="s">
        <v>388</v>
      </c>
      <c r="T166" s="113" t="s">
        <v>763</v>
      </c>
      <c r="U166" s="111" t="s">
        <v>466</v>
      </c>
      <c r="V166" s="114" t="s">
        <v>466</v>
      </c>
      <c r="W166" s="83" t="s">
        <v>399</v>
      </c>
      <c r="X166" s="114" t="s">
        <v>523</v>
      </c>
      <c r="Y166" s="114" t="s">
        <v>413</v>
      </c>
      <c r="Z166" s="114" t="s">
        <v>392</v>
      </c>
      <c r="AA166" t="s">
        <v>401</v>
      </c>
      <c r="AB166" t="s">
        <v>374</v>
      </c>
      <c r="AC166" t="s">
        <v>414</v>
      </c>
      <c r="AE166" t="s">
        <v>342</v>
      </c>
    </row>
    <row r="167" spans="1:31" x14ac:dyDescent="0.25">
      <c r="A167" s="74">
        <v>35813</v>
      </c>
      <c r="B167" s="74" t="s">
        <v>839</v>
      </c>
      <c r="C167" s="74" t="s">
        <v>840</v>
      </c>
      <c r="D167" s="108" t="s">
        <v>397</v>
      </c>
      <c r="E167" s="108" t="s">
        <v>388</v>
      </c>
      <c r="F167" s="108" t="s">
        <v>388</v>
      </c>
      <c r="G167" s="108" t="s">
        <v>388</v>
      </c>
      <c r="H167" s="108" t="s">
        <v>397</v>
      </c>
      <c r="I167" s="109" t="s">
        <v>388</v>
      </c>
      <c r="J167" s="110" t="s">
        <v>397</v>
      </c>
      <c r="K167" s="110" t="s">
        <v>397</v>
      </c>
      <c r="L167" s="110" t="s">
        <v>397</v>
      </c>
      <c r="M167" s="110" t="s">
        <v>397</v>
      </c>
      <c r="N167" s="110" t="s">
        <v>397</v>
      </c>
      <c r="O167" s="111" t="s">
        <v>388</v>
      </c>
      <c r="P167" s="111" t="s">
        <v>388</v>
      </c>
      <c r="Q167" s="111" t="s">
        <v>397</v>
      </c>
      <c r="R167" s="111" t="s">
        <v>388</v>
      </c>
      <c r="S167" s="111" t="s">
        <v>397</v>
      </c>
      <c r="T167" s="113" t="s">
        <v>763</v>
      </c>
      <c r="U167" s="111" t="s">
        <v>466</v>
      </c>
      <c r="V167" s="114" t="s">
        <v>466</v>
      </c>
      <c r="W167" s="83" t="s">
        <v>399</v>
      </c>
      <c r="X167" s="114" t="s">
        <v>523</v>
      </c>
      <c r="Y167" s="114" t="s">
        <v>417</v>
      </c>
      <c r="Z167" s="114" t="s">
        <v>392</v>
      </c>
      <c r="AA167" t="s">
        <v>401</v>
      </c>
      <c r="AB167" t="s">
        <v>374</v>
      </c>
      <c r="AC167" t="s">
        <v>418</v>
      </c>
      <c r="AE167" t="s">
        <v>342</v>
      </c>
    </row>
    <row r="168" spans="1:31" x14ac:dyDescent="0.25">
      <c r="A168" s="74">
        <v>35814</v>
      </c>
      <c r="B168" s="74" t="s">
        <v>841</v>
      </c>
      <c r="C168" s="74" t="s">
        <v>842</v>
      </c>
      <c r="D168" s="108" t="s">
        <v>397</v>
      </c>
      <c r="E168" s="108" t="s">
        <v>388</v>
      </c>
      <c r="F168" s="108" t="s">
        <v>388</v>
      </c>
      <c r="G168" s="108" t="s">
        <v>388</v>
      </c>
      <c r="H168" s="108" t="s">
        <v>397</v>
      </c>
      <c r="I168" s="109" t="s">
        <v>388</v>
      </c>
      <c r="J168" s="110" t="s">
        <v>397</v>
      </c>
      <c r="K168" s="110" t="s">
        <v>397</v>
      </c>
      <c r="L168" s="110" t="s">
        <v>397</v>
      </c>
      <c r="M168" s="110" t="s">
        <v>397</v>
      </c>
      <c r="N168" s="110" t="s">
        <v>397</v>
      </c>
      <c r="O168" s="111" t="s">
        <v>388</v>
      </c>
      <c r="P168" s="111" t="s">
        <v>388</v>
      </c>
      <c r="Q168" s="111" t="s">
        <v>397</v>
      </c>
      <c r="R168" s="111" t="s">
        <v>397</v>
      </c>
      <c r="S168" s="111" t="s">
        <v>388</v>
      </c>
      <c r="T168" s="113" t="s">
        <v>763</v>
      </c>
      <c r="U168" s="111" t="s">
        <v>466</v>
      </c>
      <c r="V168" s="114" t="s">
        <v>466</v>
      </c>
      <c r="W168" s="83" t="s">
        <v>399</v>
      </c>
      <c r="X168" s="114" t="s">
        <v>523</v>
      </c>
      <c r="Y168" s="114" t="s">
        <v>421</v>
      </c>
      <c r="Z168" s="114" t="s">
        <v>392</v>
      </c>
      <c r="AA168" t="s">
        <v>401</v>
      </c>
      <c r="AB168" t="s">
        <v>374</v>
      </c>
      <c r="AC168" t="s">
        <v>422</v>
      </c>
      <c r="AE168" t="s">
        <v>342</v>
      </c>
    </row>
    <row r="169" spans="1:31" x14ac:dyDescent="0.25">
      <c r="A169" s="74">
        <v>35815</v>
      </c>
      <c r="B169" s="74" t="s">
        <v>843</v>
      </c>
      <c r="C169" s="74" t="s">
        <v>844</v>
      </c>
      <c r="D169" s="108" t="s">
        <v>397</v>
      </c>
      <c r="E169" s="108" t="s">
        <v>388</v>
      </c>
      <c r="F169" s="108" t="s">
        <v>388</v>
      </c>
      <c r="G169" s="108" t="s">
        <v>388</v>
      </c>
      <c r="H169" s="108" t="s">
        <v>397</v>
      </c>
      <c r="I169" s="109" t="s">
        <v>388</v>
      </c>
      <c r="J169" s="110" t="s">
        <v>397</v>
      </c>
      <c r="K169" s="110" t="s">
        <v>397</v>
      </c>
      <c r="L169" s="110" t="s">
        <v>397</v>
      </c>
      <c r="M169" s="110" t="s">
        <v>397</v>
      </c>
      <c r="N169" s="110" t="s">
        <v>397</v>
      </c>
      <c r="O169" s="111" t="s">
        <v>388</v>
      </c>
      <c r="P169" s="111" t="s">
        <v>388</v>
      </c>
      <c r="Q169" s="111" t="s">
        <v>397</v>
      </c>
      <c r="R169" s="111" t="s">
        <v>397</v>
      </c>
      <c r="S169" s="111" t="s">
        <v>397</v>
      </c>
      <c r="T169" s="113" t="s">
        <v>763</v>
      </c>
      <c r="U169" s="111" t="s">
        <v>466</v>
      </c>
      <c r="V169" s="114" t="s">
        <v>466</v>
      </c>
      <c r="W169" s="83" t="s">
        <v>399</v>
      </c>
      <c r="X169" s="114" t="s">
        <v>523</v>
      </c>
      <c r="Y169" s="114" t="s">
        <v>425</v>
      </c>
      <c r="Z169" s="114" t="s">
        <v>392</v>
      </c>
      <c r="AA169" t="s">
        <v>401</v>
      </c>
      <c r="AB169" t="s">
        <v>374</v>
      </c>
      <c r="AC169" t="s">
        <v>426</v>
      </c>
      <c r="AE169" t="s">
        <v>342</v>
      </c>
    </row>
    <row r="170" spans="1:31" x14ac:dyDescent="0.25">
      <c r="A170" s="74">
        <v>35816</v>
      </c>
      <c r="B170" s="74" t="s">
        <v>845</v>
      </c>
      <c r="C170" s="74" t="s">
        <v>846</v>
      </c>
      <c r="D170" s="108" t="s">
        <v>397</v>
      </c>
      <c r="E170" s="108" t="s">
        <v>388</v>
      </c>
      <c r="F170" s="108" t="s">
        <v>388</v>
      </c>
      <c r="G170" s="108" t="s">
        <v>388</v>
      </c>
      <c r="H170" s="108" t="s">
        <v>397</v>
      </c>
      <c r="I170" s="109" t="s">
        <v>388</v>
      </c>
      <c r="J170" s="110" t="s">
        <v>397</v>
      </c>
      <c r="K170" s="110" t="s">
        <v>397</v>
      </c>
      <c r="L170" s="110" t="s">
        <v>397</v>
      </c>
      <c r="M170" s="110" t="s">
        <v>397</v>
      </c>
      <c r="N170" s="110" t="s">
        <v>397</v>
      </c>
      <c r="O170" s="111" t="s">
        <v>388</v>
      </c>
      <c r="P170" s="111" t="s">
        <v>397</v>
      </c>
      <c r="Q170" s="111" t="s">
        <v>388</v>
      </c>
      <c r="R170" s="111" t="s">
        <v>388</v>
      </c>
      <c r="S170" s="111" t="s">
        <v>388</v>
      </c>
      <c r="T170" s="113" t="s">
        <v>763</v>
      </c>
      <c r="U170" s="111" t="s">
        <v>466</v>
      </c>
      <c r="V170" s="114" t="s">
        <v>466</v>
      </c>
      <c r="W170" s="83" t="s">
        <v>399</v>
      </c>
      <c r="X170" s="114" t="s">
        <v>523</v>
      </c>
      <c r="Y170" s="114" t="s">
        <v>429</v>
      </c>
      <c r="Z170" s="114" t="s">
        <v>392</v>
      </c>
      <c r="AA170" t="s">
        <v>401</v>
      </c>
      <c r="AB170" t="s">
        <v>374</v>
      </c>
      <c r="AC170" t="s">
        <v>430</v>
      </c>
      <c r="AE170" t="s">
        <v>342</v>
      </c>
    </row>
    <row r="171" spans="1:31" x14ac:dyDescent="0.25">
      <c r="A171" s="74">
        <v>35817</v>
      </c>
      <c r="B171" s="74" t="s">
        <v>847</v>
      </c>
      <c r="C171" s="74" t="s">
        <v>848</v>
      </c>
      <c r="D171" s="108" t="s">
        <v>397</v>
      </c>
      <c r="E171" s="108" t="s">
        <v>388</v>
      </c>
      <c r="F171" s="108" t="s">
        <v>388</v>
      </c>
      <c r="G171" s="108" t="s">
        <v>388</v>
      </c>
      <c r="H171" s="108" t="s">
        <v>397</v>
      </c>
      <c r="I171" s="109" t="s">
        <v>388</v>
      </c>
      <c r="J171" s="110" t="s">
        <v>397</v>
      </c>
      <c r="K171" s="110" t="s">
        <v>397</v>
      </c>
      <c r="L171" s="110" t="s">
        <v>397</v>
      </c>
      <c r="M171" s="110" t="s">
        <v>397</v>
      </c>
      <c r="N171" s="110" t="s">
        <v>397</v>
      </c>
      <c r="O171" s="111" t="s">
        <v>388</v>
      </c>
      <c r="P171" s="111" t="s">
        <v>397</v>
      </c>
      <c r="Q171" s="111" t="s">
        <v>388</v>
      </c>
      <c r="R171" s="111" t="s">
        <v>388</v>
      </c>
      <c r="S171" s="111" t="s">
        <v>397</v>
      </c>
      <c r="T171" s="113" t="s">
        <v>763</v>
      </c>
      <c r="U171" s="111" t="s">
        <v>466</v>
      </c>
      <c r="V171" s="114" t="s">
        <v>466</v>
      </c>
      <c r="W171" s="83" t="s">
        <v>399</v>
      </c>
      <c r="X171" s="114" t="s">
        <v>523</v>
      </c>
      <c r="Y171" s="114" t="s">
        <v>433</v>
      </c>
      <c r="Z171" s="114" t="s">
        <v>392</v>
      </c>
      <c r="AA171" t="s">
        <v>401</v>
      </c>
      <c r="AB171" t="s">
        <v>374</v>
      </c>
      <c r="AC171" t="s">
        <v>434</v>
      </c>
      <c r="AE171" t="s">
        <v>342</v>
      </c>
    </row>
    <row r="172" spans="1:31" x14ac:dyDescent="0.25">
      <c r="A172" s="74">
        <v>35818</v>
      </c>
      <c r="B172" s="74" t="s">
        <v>849</v>
      </c>
      <c r="C172" s="74" t="s">
        <v>850</v>
      </c>
      <c r="D172" s="108" t="s">
        <v>397</v>
      </c>
      <c r="E172" s="108" t="s">
        <v>388</v>
      </c>
      <c r="F172" s="108" t="s">
        <v>388</v>
      </c>
      <c r="G172" s="108" t="s">
        <v>388</v>
      </c>
      <c r="H172" s="108" t="s">
        <v>397</v>
      </c>
      <c r="I172" s="109" t="s">
        <v>388</v>
      </c>
      <c r="J172" s="110" t="s">
        <v>397</v>
      </c>
      <c r="K172" s="110" t="s">
        <v>397</v>
      </c>
      <c r="L172" s="110" t="s">
        <v>397</v>
      </c>
      <c r="M172" s="110" t="s">
        <v>397</v>
      </c>
      <c r="N172" s="110" t="s">
        <v>397</v>
      </c>
      <c r="O172" s="111" t="s">
        <v>388</v>
      </c>
      <c r="P172" s="111" t="s">
        <v>397</v>
      </c>
      <c r="Q172" s="111" t="s">
        <v>388</v>
      </c>
      <c r="R172" s="111" t="s">
        <v>397</v>
      </c>
      <c r="S172" s="111" t="s">
        <v>388</v>
      </c>
      <c r="T172" s="113" t="s">
        <v>763</v>
      </c>
      <c r="U172" s="111" t="s">
        <v>466</v>
      </c>
      <c r="V172" s="114" t="s">
        <v>466</v>
      </c>
      <c r="W172" s="83" t="s">
        <v>399</v>
      </c>
      <c r="X172" s="114" t="s">
        <v>523</v>
      </c>
      <c r="Y172" s="114" t="s">
        <v>437</v>
      </c>
      <c r="Z172" s="114" t="s">
        <v>392</v>
      </c>
      <c r="AA172" t="s">
        <v>401</v>
      </c>
      <c r="AB172" t="s">
        <v>374</v>
      </c>
      <c r="AC172" t="s">
        <v>438</v>
      </c>
      <c r="AE172" t="s">
        <v>342</v>
      </c>
    </row>
    <row r="173" spans="1:31" x14ac:dyDescent="0.25">
      <c r="A173" s="74">
        <v>35819</v>
      </c>
      <c r="B173" s="74" t="s">
        <v>851</v>
      </c>
      <c r="C173" s="74" t="s">
        <v>852</v>
      </c>
      <c r="D173" s="108" t="s">
        <v>397</v>
      </c>
      <c r="E173" s="108" t="s">
        <v>388</v>
      </c>
      <c r="F173" s="108" t="s">
        <v>388</v>
      </c>
      <c r="G173" s="108" t="s">
        <v>388</v>
      </c>
      <c r="H173" s="108" t="s">
        <v>397</v>
      </c>
      <c r="I173" s="109" t="s">
        <v>388</v>
      </c>
      <c r="J173" s="110" t="s">
        <v>397</v>
      </c>
      <c r="K173" s="110" t="s">
        <v>397</v>
      </c>
      <c r="L173" s="110" t="s">
        <v>397</v>
      </c>
      <c r="M173" s="110" t="s">
        <v>397</v>
      </c>
      <c r="N173" s="110" t="s">
        <v>397</v>
      </c>
      <c r="O173" s="111" t="s">
        <v>388</v>
      </c>
      <c r="P173" s="111" t="s">
        <v>397</v>
      </c>
      <c r="Q173" s="111" t="s">
        <v>388</v>
      </c>
      <c r="R173" s="111" t="s">
        <v>397</v>
      </c>
      <c r="S173" s="111" t="s">
        <v>397</v>
      </c>
      <c r="T173" s="113" t="s">
        <v>763</v>
      </c>
      <c r="U173" s="111" t="s">
        <v>466</v>
      </c>
      <c r="V173" s="114" t="s">
        <v>466</v>
      </c>
      <c r="W173" s="83" t="s">
        <v>399</v>
      </c>
      <c r="X173" s="114" t="s">
        <v>523</v>
      </c>
      <c r="Y173" s="114" t="s">
        <v>441</v>
      </c>
      <c r="Z173" s="114" t="s">
        <v>392</v>
      </c>
      <c r="AA173" t="s">
        <v>401</v>
      </c>
      <c r="AB173" t="s">
        <v>374</v>
      </c>
      <c r="AC173" t="s">
        <v>442</v>
      </c>
      <c r="AE173" t="s">
        <v>342</v>
      </c>
    </row>
    <row r="174" spans="1:31" x14ac:dyDescent="0.25">
      <c r="A174" s="74">
        <v>35820</v>
      </c>
      <c r="B174" s="74" t="s">
        <v>853</v>
      </c>
      <c r="C174" s="74" t="s">
        <v>854</v>
      </c>
      <c r="D174" s="108" t="s">
        <v>397</v>
      </c>
      <c r="E174" s="108" t="s">
        <v>388</v>
      </c>
      <c r="F174" s="108" t="s">
        <v>388</v>
      </c>
      <c r="G174" s="108" t="s">
        <v>388</v>
      </c>
      <c r="H174" s="108" t="s">
        <v>397</v>
      </c>
      <c r="I174" s="109" t="s">
        <v>388</v>
      </c>
      <c r="J174" s="110" t="s">
        <v>397</v>
      </c>
      <c r="K174" s="110" t="s">
        <v>397</v>
      </c>
      <c r="L174" s="110" t="s">
        <v>397</v>
      </c>
      <c r="M174" s="110" t="s">
        <v>397</v>
      </c>
      <c r="N174" s="110" t="s">
        <v>397</v>
      </c>
      <c r="O174" s="111" t="s">
        <v>388</v>
      </c>
      <c r="P174" s="111" t="s">
        <v>397</v>
      </c>
      <c r="Q174" s="111" t="s">
        <v>397</v>
      </c>
      <c r="R174" s="111" t="s">
        <v>388</v>
      </c>
      <c r="S174" s="111" t="s">
        <v>388</v>
      </c>
      <c r="T174" s="113" t="s">
        <v>763</v>
      </c>
      <c r="U174" s="111" t="s">
        <v>466</v>
      </c>
      <c r="V174" s="114" t="s">
        <v>466</v>
      </c>
      <c r="W174" s="83" t="s">
        <v>399</v>
      </c>
      <c r="X174" s="114" t="s">
        <v>523</v>
      </c>
      <c r="Y174" s="114" t="s">
        <v>445</v>
      </c>
      <c r="Z174" s="114" t="s">
        <v>392</v>
      </c>
      <c r="AA174" t="s">
        <v>401</v>
      </c>
      <c r="AB174" t="s">
        <v>374</v>
      </c>
      <c r="AC174" t="s">
        <v>446</v>
      </c>
      <c r="AE174" t="s">
        <v>342</v>
      </c>
    </row>
    <row r="175" spans="1:31" x14ac:dyDescent="0.25">
      <c r="A175" s="74">
        <v>35821</v>
      </c>
      <c r="B175" s="74" t="s">
        <v>855</v>
      </c>
      <c r="C175" s="74" t="s">
        <v>856</v>
      </c>
      <c r="D175" s="108" t="s">
        <v>397</v>
      </c>
      <c r="E175" s="108" t="s">
        <v>388</v>
      </c>
      <c r="F175" s="108" t="s">
        <v>388</v>
      </c>
      <c r="G175" s="108" t="s">
        <v>388</v>
      </c>
      <c r="H175" s="108" t="s">
        <v>397</v>
      </c>
      <c r="I175" s="109" t="s">
        <v>388</v>
      </c>
      <c r="J175" s="110" t="s">
        <v>397</v>
      </c>
      <c r="K175" s="110" t="s">
        <v>397</v>
      </c>
      <c r="L175" s="110" t="s">
        <v>397</v>
      </c>
      <c r="M175" s="110" t="s">
        <v>397</v>
      </c>
      <c r="N175" s="110" t="s">
        <v>397</v>
      </c>
      <c r="O175" s="111" t="s">
        <v>388</v>
      </c>
      <c r="P175" s="111" t="s">
        <v>397</v>
      </c>
      <c r="Q175" s="111" t="s">
        <v>397</v>
      </c>
      <c r="R175" s="111" t="s">
        <v>388</v>
      </c>
      <c r="S175" s="111" t="s">
        <v>397</v>
      </c>
      <c r="T175" s="113" t="s">
        <v>763</v>
      </c>
      <c r="U175" s="111" t="s">
        <v>466</v>
      </c>
      <c r="V175" s="114" t="s">
        <v>466</v>
      </c>
      <c r="W175" s="83" t="s">
        <v>399</v>
      </c>
      <c r="X175" s="114" t="s">
        <v>523</v>
      </c>
      <c r="Y175" s="114" t="s">
        <v>449</v>
      </c>
      <c r="Z175" s="114" t="s">
        <v>392</v>
      </c>
      <c r="AA175" t="s">
        <v>401</v>
      </c>
      <c r="AB175" t="s">
        <v>374</v>
      </c>
      <c r="AC175" t="s">
        <v>450</v>
      </c>
      <c r="AE175" t="s">
        <v>342</v>
      </c>
    </row>
    <row r="176" spans="1:31" x14ac:dyDescent="0.25">
      <c r="A176" s="74">
        <v>35822</v>
      </c>
      <c r="B176" s="74" t="s">
        <v>857</v>
      </c>
      <c r="C176" s="74" t="s">
        <v>858</v>
      </c>
      <c r="D176" s="108" t="s">
        <v>397</v>
      </c>
      <c r="E176" s="108" t="s">
        <v>388</v>
      </c>
      <c r="F176" s="108" t="s">
        <v>388</v>
      </c>
      <c r="G176" s="108" t="s">
        <v>388</v>
      </c>
      <c r="H176" s="108" t="s">
        <v>397</v>
      </c>
      <c r="I176" s="109" t="s">
        <v>388</v>
      </c>
      <c r="J176" s="110" t="s">
        <v>397</v>
      </c>
      <c r="K176" s="110" t="s">
        <v>397</v>
      </c>
      <c r="L176" s="110" t="s">
        <v>397</v>
      </c>
      <c r="M176" s="110" t="s">
        <v>397</v>
      </c>
      <c r="N176" s="110" t="s">
        <v>397</v>
      </c>
      <c r="O176" s="111" t="s">
        <v>388</v>
      </c>
      <c r="P176" s="111" t="s">
        <v>397</v>
      </c>
      <c r="Q176" s="111" t="s">
        <v>397</v>
      </c>
      <c r="R176" s="111" t="s">
        <v>397</v>
      </c>
      <c r="S176" s="111" t="s">
        <v>388</v>
      </c>
      <c r="T176" s="113" t="s">
        <v>763</v>
      </c>
      <c r="U176" s="111" t="s">
        <v>466</v>
      </c>
      <c r="V176" s="114" t="s">
        <v>466</v>
      </c>
      <c r="W176" s="83" t="s">
        <v>399</v>
      </c>
      <c r="X176" s="114" t="s">
        <v>523</v>
      </c>
      <c r="Y176" s="114" t="s">
        <v>453</v>
      </c>
      <c r="Z176" s="114" t="s">
        <v>392</v>
      </c>
      <c r="AA176" t="s">
        <v>401</v>
      </c>
      <c r="AB176" t="s">
        <v>374</v>
      </c>
      <c r="AC176" t="s">
        <v>454</v>
      </c>
      <c r="AE176" t="s">
        <v>342</v>
      </c>
    </row>
    <row r="177" spans="1:31" x14ac:dyDescent="0.25">
      <c r="A177" s="74">
        <v>35823</v>
      </c>
      <c r="B177" s="74" t="s">
        <v>859</v>
      </c>
      <c r="C177" s="74" t="s">
        <v>860</v>
      </c>
      <c r="D177" s="108" t="s">
        <v>397</v>
      </c>
      <c r="E177" s="108" t="s">
        <v>388</v>
      </c>
      <c r="F177" s="108" t="s">
        <v>388</v>
      </c>
      <c r="G177" s="108" t="s">
        <v>388</v>
      </c>
      <c r="H177" s="108" t="s">
        <v>397</v>
      </c>
      <c r="I177" s="109" t="s">
        <v>388</v>
      </c>
      <c r="J177" s="110" t="s">
        <v>397</v>
      </c>
      <c r="K177" s="110" t="s">
        <v>397</v>
      </c>
      <c r="L177" s="110" t="s">
        <v>397</v>
      </c>
      <c r="M177" s="110" t="s">
        <v>397</v>
      </c>
      <c r="N177" s="110" t="s">
        <v>397</v>
      </c>
      <c r="O177" s="111" t="s">
        <v>388</v>
      </c>
      <c r="P177" s="111" t="s">
        <v>397</v>
      </c>
      <c r="Q177" s="111" t="s">
        <v>397</v>
      </c>
      <c r="R177" s="111" t="s">
        <v>397</v>
      </c>
      <c r="S177" s="111" t="s">
        <v>397</v>
      </c>
      <c r="T177" s="113" t="s">
        <v>763</v>
      </c>
      <c r="U177" s="111" t="s">
        <v>466</v>
      </c>
      <c r="V177" s="114" t="s">
        <v>466</v>
      </c>
      <c r="W177" s="83" t="s">
        <v>399</v>
      </c>
      <c r="X177" s="114" t="s">
        <v>523</v>
      </c>
      <c r="Y177" s="114" t="s">
        <v>457</v>
      </c>
      <c r="Z177" s="114" t="s">
        <v>392</v>
      </c>
      <c r="AA177" t="s">
        <v>401</v>
      </c>
      <c r="AB177" t="s">
        <v>374</v>
      </c>
      <c r="AC177" t="s">
        <v>458</v>
      </c>
      <c r="AE177" t="s">
        <v>342</v>
      </c>
    </row>
    <row r="178" spans="1:31" x14ac:dyDescent="0.25">
      <c r="A178" s="74">
        <v>35824</v>
      </c>
      <c r="B178" s="74" t="s">
        <v>861</v>
      </c>
      <c r="C178" s="74" t="s">
        <v>862</v>
      </c>
      <c r="D178" s="108" t="s">
        <v>397</v>
      </c>
      <c r="E178" s="108" t="s">
        <v>388</v>
      </c>
      <c r="F178" s="108" t="s">
        <v>388</v>
      </c>
      <c r="G178" s="108" t="s">
        <v>388</v>
      </c>
      <c r="H178" s="108" t="s">
        <v>397</v>
      </c>
      <c r="I178" s="109" t="s">
        <v>388</v>
      </c>
      <c r="J178" s="110" t="s">
        <v>397</v>
      </c>
      <c r="K178" s="110" t="s">
        <v>397</v>
      </c>
      <c r="L178" s="110" t="s">
        <v>397</v>
      </c>
      <c r="M178" s="110" t="s">
        <v>397</v>
      </c>
      <c r="N178" s="110" t="s">
        <v>397</v>
      </c>
      <c r="O178" s="111" t="s">
        <v>397</v>
      </c>
      <c r="P178" s="111" t="s">
        <v>388</v>
      </c>
      <c r="Q178" s="111" t="s">
        <v>388</v>
      </c>
      <c r="R178" s="111" t="s">
        <v>388</v>
      </c>
      <c r="S178" s="111" t="s">
        <v>388</v>
      </c>
      <c r="T178" s="113" t="s">
        <v>763</v>
      </c>
      <c r="U178" s="111" t="s">
        <v>466</v>
      </c>
      <c r="V178" s="114" t="s">
        <v>466</v>
      </c>
      <c r="W178" s="83" t="s">
        <v>399</v>
      </c>
      <c r="X178" s="114" t="s">
        <v>523</v>
      </c>
      <c r="Y178" s="114" t="s">
        <v>461</v>
      </c>
      <c r="Z178" s="114" t="s">
        <v>392</v>
      </c>
      <c r="AA178" t="s">
        <v>401</v>
      </c>
      <c r="AB178" t="s">
        <v>374</v>
      </c>
      <c r="AC178" t="s">
        <v>462</v>
      </c>
      <c r="AE178" t="s">
        <v>342</v>
      </c>
    </row>
    <row r="179" spans="1:31" x14ac:dyDescent="0.25">
      <c r="A179" s="74">
        <v>35825</v>
      </c>
      <c r="B179" s="74" t="s">
        <v>863</v>
      </c>
      <c r="C179" s="74" t="s">
        <v>864</v>
      </c>
      <c r="D179" s="108" t="s">
        <v>397</v>
      </c>
      <c r="E179" s="108" t="s">
        <v>388</v>
      </c>
      <c r="F179" s="108" t="s">
        <v>388</v>
      </c>
      <c r="G179" s="108" t="s">
        <v>388</v>
      </c>
      <c r="H179" s="108" t="s">
        <v>397</v>
      </c>
      <c r="I179" s="109" t="s">
        <v>388</v>
      </c>
      <c r="J179" s="110" t="s">
        <v>397</v>
      </c>
      <c r="K179" s="110" t="s">
        <v>397</v>
      </c>
      <c r="L179" s="110" t="s">
        <v>397</v>
      </c>
      <c r="M179" s="110" t="s">
        <v>397</v>
      </c>
      <c r="N179" s="110" t="s">
        <v>397</v>
      </c>
      <c r="O179" s="111" t="s">
        <v>397</v>
      </c>
      <c r="P179" s="111" t="s">
        <v>388</v>
      </c>
      <c r="Q179" s="111" t="s">
        <v>388</v>
      </c>
      <c r="R179" s="111" t="s">
        <v>388</v>
      </c>
      <c r="S179" s="111" t="s">
        <v>397</v>
      </c>
      <c r="T179" s="113" t="s">
        <v>798</v>
      </c>
      <c r="U179" s="111" t="s">
        <v>466</v>
      </c>
      <c r="V179" s="114" t="s">
        <v>466</v>
      </c>
      <c r="W179" s="83" t="s">
        <v>399</v>
      </c>
      <c r="X179" s="114" t="s">
        <v>523</v>
      </c>
      <c r="Y179" s="114" t="s">
        <v>466</v>
      </c>
      <c r="Z179" s="114" t="s">
        <v>392</v>
      </c>
      <c r="AA179" t="s">
        <v>401</v>
      </c>
      <c r="AB179" t="s">
        <v>114</v>
      </c>
      <c r="AC179" t="s">
        <v>467</v>
      </c>
      <c r="AE179" t="s">
        <v>342</v>
      </c>
    </row>
    <row r="180" spans="1:31" x14ac:dyDescent="0.25">
      <c r="A180" s="74">
        <v>35826</v>
      </c>
      <c r="B180" s="74" t="s">
        <v>865</v>
      </c>
      <c r="C180" s="74" t="s">
        <v>866</v>
      </c>
      <c r="D180" s="108" t="s">
        <v>397</v>
      </c>
      <c r="E180" s="108" t="s">
        <v>388</v>
      </c>
      <c r="F180" s="108" t="s">
        <v>388</v>
      </c>
      <c r="G180" s="108" t="s">
        <v>388</v>
      </c>
      <c r="H180" s="108" t="s">
        <v>397</v>
      </c>
      <c r="I180" s="109" t="s">
        <v>388</v>
      </c>
      <c r="J180" s="110" t="s">
        <v>397</v>
      </c>
      <c r="K180" s="110" t="s">
        <v>397</v>
      </c>
      <c r="L180" s="110" t="s">
        <v>397</v>
      </c>
      <c r="M180" s="110" t="s">
        <v>397</v>
      </c>
      <c r="N180" s="110" t="s">
        <v>397</v>
      </c>
      <c r="O180" s="111" t="s">
        <v>397</v>
      </c>
      <c r="P180" s="111" t="s">
        <v>388</v>
      </c>
      <c r="Q180" s="111" t="s">
        <v>388</v>
      </c>
      <c r="R180" s="111" t="s">
        <v>397</v>
      </c>
      <c r="S180" s="111" t="s">
        <v>388</v>
      </c>
      <c r="T180" s="113" t="s">
        <v>763</v>
      </c>
      <c r="U180" s="111" t="s">
        <v>466</v>
      </c>
      <c r="V180" s="114" t="s">
        <v>466</v>
      </c>
      <c r="W180" s="83" t="s">
        <v>399</v>
      </c>
      <c r="X180" s="114" t="s">
        <v>523</v>
      </c>
      <c r="Y180" s="114" t="s">
        <v>470</v>
      </c>
      <c r="Z180" s="114" t="s">
        <v>392</v>
      </c>
      <c r="AA180" t="s">
        <v>401</v>
      </c>
      <c r="AB180" t="s">
        <v>374</v>
      </c>
      <c r="AC180" t="s">
        <v>471</v>
      </c>
      <c r="AE180" t="s">
        <v>342</v>
      </c>
    </row>
    <row r="181" spans="1:31" x14ac:dyDescent="0.25">
      <c r="A181" s="74">
        <v>35827</v>
      </c>
      <c r="B181" s="74" t="s">
        <v>867</v>
      </c>
      <c r="C181" s="74" t="s">
        <v>868</v>
      </c>
      <c r="D181" s="108" t="s">
        <v>397</v>
      </c>
      <c r="E181" s="108" t="s">
        <v>388</v>
      </c>
      <c r="F181" s="108" t="s">
        <v>388</v>
      </c>
      <c r="G181" s="108" t="s">
        <v>388</v>
      </c>
      <c r="H181" s="108" t="s">
        <v>397</v>
      </c>
      <c r="I181" s="109" t="s">
        <v>388</v>
      </c>
      <c r="J181" s="110" t="s">
        <v>397</v>
      </c>
      <c r="K181" s="110" t="s">
        <v>397</v>
      </c>
      <c r="L181" s="110" t="s">
        <v>397</v>
      </c>
      <c r="M181" s="110" t="s">
        <v>397</v>
      </c>
      <c r="N181" s="110" t="s">
        <v>397</v>
      </c>
      <c r="O181" s="111" t="s">
        <v>397</v>
      </c>
      <c r="P181" s="111" t="s">
        <v>388</v>
      </c>
      <c r="Q181" s="111" t="s">
        <v>388</v>
      </c>
      <c r="R181" s="111" t="s">
        <v>397</v>
      </c>
      <c r="S181" s="111" t="s">
        <v>397</v>
      </c>
      <c r="T181" s="113" t="s">
        <v>763</v>
      </c>
      <c r="U181" s="111" t="s">
        <v>466</v>
      </c>
      <c r="V181" s="114" t="s">
        <v>466</v>
      </c>
      <c r="W181" s="83" t="s">
        <v>399</v>
      </c>
      <c r="X181" s="114" t="s">
        <v>523</v>
      </c>
      <c r="Y181" s="114" t="s">
        <v>474</v>
      </c>
      <c r="Z181" s="114" t="s">
        <v>392</v>
      </c>
      <c r="AA181" t="s">
        <v>401</v>
      </c>
      <c r="AB181" t="s">
        <v>374</v>
      </c>
      <c r="AC181" t="s">
        <v>475</v>
      </c>
      <c r="AE181" t="s">
        <v>342</v>
      </c>
    </row>
    <row r="182" spans="1:31" x14ac:dyDescent="0.25">
      <c r="A182" s="74">
        <v>35828</v>
      </c>
      <c r="B182" s="74" t="s">
        <v>869</v>
      </c>
      <c r="C182" s="74" t="s">
        <v>870</v>
      </c>
      <c r="D182" s="108" t="s">
        <v>397</v>
      </c>
      <c r="E182" s="108" t="s">
        <v>388</v>
      </c>
      <c r="F182" s="108" t="s">
        <v>388</v>
      </c>
      <c r="G182" s="108" t="s">
        <v>388</v>
      </c>
      <c r="H182" s="108" t="s">
        <v>397</v>
      </c>
      <c r="I182" s="109" t="s">
        <v>388</v>
      </c>
      <c r="J182" s="110" t="s">
        <v>397</v>
      </c>
      <c r="K182" s="110" t="s">
        <v>397</v>
      </c>
      <c r="L182" s="110" t="s">
        <v>397</v>
      </c>
      <c r="M182" s="110" t="s">
        <v>397</v>
      </c>
      <c r="N182" s="110" t="s">
        <v>397</v>
      </c>
      <c r="O182" s="111" t="s">
        <v>397</v>
      </c>
      <c r="P182" s="111" t="s">
        <v>388</v>
      </c>
      <c r="Q182" s="111" t="s">
        <v>397</v>
      </c>
      <c r="R182" s="111" t="s">
        <v>388</v>
      </c>
      <c r="S182" s="111" t="s">
        <v>388</v>
      </c>
      <c r="T182" s="113" t="s">
        <v>805</v>
      </c>
      <c r="U182" s="111" t="s">
        <v>466</v>
      </c>
      <c r="V182" s="114" t="s">
        <v>466</v>
      </c>
      <c r="W182" s="83" t="s">
        <v>399</v>
      </c>
      <c r="X182" s="114" t="s">
        <v>523</v>
      </c>
      <c r="Y182" s="114" t="s">
        <v>479</v>
      </c>
      <c r="Z182" s="114" t="s">
        <v>392</v>
      </c>
      <c r="AA182" t="s">
        <v>401</v>
      </c>
      <c r="AB182" t="s">
        <v>372</v>
      </c>
      <c r="AC182" t="s">
        <v>386</v>
      </c>
      <c r="AE182" t="s">
        <v>342</v>
      </c>
    </row>
    <row r="183" spans="1:31" x14ac:dyDescent="0.25">
      <c r="A183" s="74">
        <v>35829</v>
      </c>
      <c r="B183" s="74" t="s">
        <v>871</v>
      </c>
      <c r="C183" s="74" t="s">
        <v>872</v>
      </c>
      <c r="D183" s="108" t="s">
        <v>397</v>
      </c>
      <c r="E183" s="108" t="s">
        <v>388</v>
      </c>
      <c r="F183" s="108" t="s">
        <v>388</v>
      </c>
      <c r="G183" s="108" t="s">
        <v>388</v>
      </c>
      <c r="H183" s="108" t="s">
        <v>397</v>
      </c>
      <c r="I183" s="109" t="s">
        <v>388</v>
      </c>
      <c r="J183" s="110" t="s">
        <v>397</v>
      </c>
      <c r="K183" s="110" t="s">
        <v>397</v>
      </c>
      <c r="L183" s="110" t="s">
        <v>397</v>
      </c>
      <c r="M183" s="110" t="s">
        <v>397</v>
      </c>
      <c r="N183" s="110" t="s">
        <v>397</v>
      </c>
      <c r="O183" s="111" t="s">
        <v>397</v>
      </c>
      <c r="P183" s="111" t="s">
        <v>388</v>
      </c>
      <c r="Q183" s="111" t="s">
        <v>397</v>
      </c>
      <c r="R183" s="111" t="s">
        <v>388</v>
      </c>
      <c r="S183" s="111" t="s">
        <v>397</v>
      </c>
      <c r="T183" s="113" t="s">
        <v>808</v>
      </c>
      <c r="U183" s="111" t="s">
        <v>466</v>
      </c>
      <c r="V183" s="114" t="s">
        <v>466</v>
      </c>
      <c r="W183" s="83" t="s">
        <v>399</v>
      </c>
      <c r="X183" s="114" t="s">
        <v>523</v>
      </c>
      <c r="Y183" s="114" t="s">
        <v>483</v>
      </c>
      <c r="Z183" s="114" t="s">
        <v>392</v>
      </c>
      <c r="AA183" t="s">
        <v>401</v>
      </c>
      <c r="AB183" t="s">
        <v>373</v>
      </c>
      <c r="AC183" t="s">
        <v>484</v>
      </c>
      <c r="AE183" t="s">
        <v>342</v>
      </c>
    </row>
    <row r="184" spans="1:31" x14ac:dyDescent="0.25">
      <c r="A184" s="74">
        <v>35830</v>
      </c>
      <c r="B184" s="74" t="s">
        <v>873</v>
      </c>
      <c r="C184" s="74" t="s">
        <v>874</v>
      </c>
      <c r="D184" s="108" t="s">
        <v>397</v>
      </c>
      <c r="E184" s="108" t="s">
        <v>388</v>
      </c>
      <c r="F184" s="108" t="s">
        <v>388</v>
      </c>
      <c r="G184" s="108" t="s">
        <v>388</v>
      </c>
      <c r="H184" s="108" t="s">
        <v>397</v>
      </c>
      <c r="I184" s="109" t="s">
        <v>388</v>
      </c>
      <c r="J184" s="110" t="s">
        <v>397</v>
      </c>
      <c r="K184" s="110" t="s">
        <v>397</v>
      </c>
      <c r="L184" s="110" t="s">
        <v>397</v>
      </c>
      <c r="M184" s="110" t="s">
        <v>397</v>
      </c>
      <c r="N184" s="110" t="s">
        <v>397</v>
      </c>
      <c r="O184" s="111" t="s">
        <v>397</v>
      </c>
      <c r="P184" s="111" t="s">
        <v>388</v>
      </c>
      <c r="Q184" s="111" t="s">
        <v>397</v>
      </c>
      <c r="R184" s="111" t="s">
        <v>397</v>
      </c>
      <c r="S184" s="111" t="s">
        <v>388</v>
      </c>
      <c r="T184" s="113" t="s">
        <v>763</v>
      </c>
      <c r="U184" s="111" t="s">
        <v>466</v>
      </c>
      <c r="V184" s="114" t="s">
        <v>466</v>
      </c>
      <c r="W184" s="83" t="s">
        <v>399</v>
      </c>
      <c r="X184" s="114" t="s">
        <v>523</v>
      </c>
      <c r="Y184" s="114" t="s">
        <v>487</v>
      </c>
      <c r="Z184" s="114" t="s">
        <v>392</v>
      </c>
      <c r="AA184" t="s">
        <v>401</v>
      </c>
      <c r="AB184" t="s">
        <v>374</v>
      </c>
      <c r="AC184" t="s">
        <v>488</v>
      </c>
      <c r="AE184" t="s">
        <v>342</v>
      </c>
    </row>
    <row r="185" spans="1:31" x14ac:dyDescent="0.25">
      <c r="A185" s="74">
        <v>35831</v>
      </c>
      <c r="B185" s="74" t="s">
        <v>875</v>
      </c>
      <c r="C185" s="74" t="s">
        <v>876</v>
      </c>
      <c r="D185" s="108" t="s">
        <v>397</v>
      </c>
      <c r="E185" s="108" t="s">
        <v>388</v>
      </c>
      <c r="F185" s="108" t="s">
        <v>388</v>
      </c>
      <c r="G185" s="108" t="s">
        <v>388</v>
      </c>
      <c r="H185" s="108" t="s">
        <v>397</v>
      </c>
      <c r="I185" s="109" t="s">
        <v>388</v>
      </c>
      <c r="J185" s="110" t="s">
        <v>397</v>
      </c>
      <c r="K185" s="110" t="s">
        <v>397</v>
      </c>
      <c r="L185" s="110" t="s">
        <v>397</v>
      </c>
      <c r="M185" s="110" t="s">
        <v>397</v>
      </c>
      <c r="N185" s="110" t="s">
        <v>397</v>
      </c>
      <c r="O185" s="111" t="s">
        <v>397</v>
      </c>
      <c r="P185" s="111" t="s">
        <v>388</v>
      </c>
      <c r="Q185" s="111" t="s">
        <v>397</v>
      </c>
      <c r="R185" s="111" t="s">
        <v>397</v>
      </c>
      <c r="S185" s="111" t="s">
        <v>397</v>
      </c>
      <c r="T185" s="113" t="s">
        <v>763</v>
      </c>
      <c r="U185" s="111" t="s">
        <v>466</v>
      </c>
      <c r="V185" s="114" t="s">
        <v>466</v>
      </c>
      <c r="W185" s="83" t="s">
        <v>399</v>
      </c>
      <c r="X185" s="114" t="s">
        <v>523</v>
      </c>
      <c r="Y185" s="114" t="s">
        <v>491</v>
      </c>
      <c r="Z185" s="114" t="s">
        <v>392</v>
      </c>
      <c r="AA185" t="s">
        <v>401</v>
      </c>
      <c r="AB185" t="s">
        <v>374</v>
      </c>
      <c r="AC185" t="s">
        <v>492</v>
      </c>
      <c r="AE185" t="s">
        <v>342</v>
      </c>
    </row>
    <row r="186" spans="1:31" x14ac:dyDescent="0.25">
      <c r="A186" s="74">
        <v>35832</v>
      </c>
      <c r="B186" s="74" t="s">
        <v>877</v>
      </c>
      <c r="C186" s="74" t="s">
        <v>878</v>
      </c>
      <c r="D186" s="108" t="s">
        <v>397</v>
      </c>
      <c r="E186" s="108" t="s">
        <v>388</v>
      </c>
      <c r="F186" s="108" t="s">
        <v>388</v>
      </c>
      <c r="G186" s="108" t="s">
        <v>388</v>
      </c>
      <c r="H186" s="108" t="s">
        <v>397</v>
      </c>
      <c r="I186" s="109" t="s">
        <v>388</v>
      </c>
      <c r="J186" s="110" t="s">
        <v>397</v>
      </c>
      <c r="K186" s="110" t="s">
        <v>397</v>
      </c>
      <c r="L186" s="110" t="s">
        <v>397</v>
      </c>
      <c r="M186" s="110" t="s">
        <v>397</v>
      </c>
      <c r="N186" s="110" t="s">
        <v>397</v>
      </c>
      <c r="O186" s="111" t="s">
        <v>397</v>
      </c>
      <c r="P186" s="111" t="s">
        <v>397</v>
      </c>
      <c r="Q186" s="111" t="s">
        <v>388</v>
      </c>
      <c r="R186" s="111" t="s">
        <v>388</v>
      </c>
      <c r="S186" s="111" t="s">
        <v>388</v>
      </c>
      <c r="T186" s="113" t="s">
        <v>763</v>
      </c>
      <c r="U186" s="111" t="s">
        <v>466</v>
      </c>
      <c r="V186" s="114" t="s">
        <v>466</v>
      </c>
      <c r="W186" s="83" t="s">
        <v>399</v>
      </c>
      <c r="X186" s="114" t="s">
        <v>523</v>
      </c>
      <c r="Y186" s="114" t="s">
        <v>495</v>
      </c>
      <c r="Z186" s="114" t="s">
        <v>392</v>
      </c>
      <c r="AA186" t="s">
        <v>401</v>
      </c>
      <c r="AB186" t="s">
        <v>374</v>
      </c>
      <c r="AC186" t="s">
        <v>496</v>
      </c>
      <c r="AE186" t="s">
        <v>342</v>
      </c>
    </row>
    <row r="187" spans="1:31" x14ac:dyDescent="0.25">
      <c r="A187" s="74">
        <v>35833</v>
      </c>
      <c r="B187" s="74" t="s">
        <v>879</v>
      </c>
      <c r="C187" s="74" t="s">
        <v>880</v>
      </c>
      <c r="D187" s="108" t="s">
        <v>397</v>
      </c>
      <c r="E187" s="108" t="s">
        <v>388</v>
      </c>
      <c r="F187" s="108" t="s">
        <v>388</v>
      </c>
      <c r="G187" s="108" t="s">
        <v>388</v>
      </c>
      <c r="H187" s="108" t="s">
        <v>397</v>
      </c>
      <c r="I187" s="109" t="s">
        <v>388</v>
      </c>
      <c r="J187" s="110" t="s">
        <v>397</v>
      </c>
      <c r="K187" s="110" t="s">
        <v>397</v>
      </c>
      <c r="L187" s="110" t="s">
        <v>397</v>
      </c>
      <c r="M187" s="110" t="s">
        <v>397</v>
      </c>
      <c r="N187" s="110" t="s">
        <v>397</v>
      </c>
      <c r="O187" s="111" t="s">
        <v>397</v>
      </c>
      <c r="P187" s="111" t="s">
        <v>397</v>
      </c>
      <c r="Q187" s="111" t="s">
        <v>388</v>
      </c>
      <c r="R187" s="111" t="s">
        <v>388</v>
      </c>
      <c r="S187" s="111" t="s">
        <v>397</v>
      </c>
      <c r="T187" s="113" t="s">
        <v>763</v>
      </c>
      <c r="U187" s="111" t="s">
        <v>466</v>
      </c>
      <c r="V187" s="114" t="s">
        <v>466</v>
      </c>
      <c r="W187" s="83" t="s">
        <v>399</v>
      </c>
      <c r="X187" s="114" t="s">
        <v>523</v>
      </c>
      <c r="Y187" s="114" t="s">
        <v>499</v>
      </c>
      <c r="Z187" s="114" t="s">
        <v>392</v>
      </c>
      <c r="AA187" t="s">
        <v>401</v>
      </c>
      <c r="AB187" t="s">
        <v>374</v>
      </c>
      <c r="AC187" t="s">
        <v>500</v>
      </c>
      <c r="AE187" t="s">
        <v>342</v>
      </c>
    </row>
    <row r="188" spans="1:31" x14ac:dyDescent="0.25">
      <c r="A188" s="74">
        <v>35834</v>
      </c>
      <c r="B188" s="74" t="s">
        <v>881</v>
      </c>
      <c r="C188" s="74" t="s">
        <v>882</v>
      </c>
      <c r="D188" s="108" t="s">
        <v>397</v>
      </c>
      <c r="E188" s="108" t="s">
        <v>388</v>
      </c>
      <c r="F188" s="108" t="s">
        <v>388</v>
      </c>
      <c r="G188" s="108" t="s">
        <v>388</v>
      </c>
      <c r="H188" s="108" t="s">
        <v>397</v>
      </c>
      <c r="I188" s="109" t="s">
        <v>388</v>
      </c>
      <c r="J188" s="110" t="s">
        <v>397</v>
      </c>
      <c r="K188" s="110" t="s">
        <v>397</v>
      </c>
      <c r="L188" s="110" t="s">
        <v>397</v>
      </c>
      <c r="M188" s="110" t="s">
        <v>397</v>
      </c>
      <c r="N188" s="110" t="s">
        <v>397</v>
      </c>
      <c r="O188" s="111" t="s">
        <v>397</v>
      </c>
      <c r="P188" s="111" t="s">
        <v>397</v>
      </c>
      <c r="Q188" s="111" t="s">
        <v>388</v>
      </c>
      <c r="R188" s="111" t="s">
        <v>397</v>
      </c>
      <c r="S188" s="111" t="s">
        <v>388</v>
      </c>
      <c r="T188" s="113" t="s">
        <v>763</v>
      </c>
      <c r="U188" s="111" t="s">
        <v>466</v>
      </c>
      <c r="V188" s="114" t="s">
        <v>466</v>
      </c>
      <c r="W188" s="83" t="s">
        <v>399</v>
      </c>
      <c r="X188" s="114" t="s">
        <v>523</v>
      </c>
      <c r="Y188" s="114" t="s">
        <v>503</v>
      </c>
      <c r="Z188" s="114" t="s">
        <v>392</v>
      </c>
      <c r="AA188" t="s">
        <v>401</v>
      </c>
      <c r="AB188" t="s">
        <v>374</v>
      </c>
      <c r="AC188" t="s">
        <v>504</v>
      </c>
      <c r="AE188" t="s">
        <v>342</v>
      </c>
    </row>
    <row r="189" spans="1:31" x14ac:dyDescent="0.25">
      <c r="A189" s="74">
        <v>35835</v>
      </c>
      <c r="B189" s="74" t="s">
        <v>883</v>
      </c>
      <c r="C189" s="74" t="s">
        <v>884</v>
      </c>
      <c r="D189" s="108" t="s">
        <v>397</v>
      </c>
      <c r="E189" s="108" t="s">
        <v>388</v>
      </c>
      <c r="F189" s="108" t="s">
        <v>388</v>
      </c>
      <c r="G189" s="108" t="s">
        <v>388</v>
      </c>
      <c r="H189" s="108" t="s">
        <v>397</v>
      </c>
      <c r="I189" s="109" t="s">
        <v>388</v>
      </c>
      <c r="J189" s="110" t="s">
        <v>397</v>
      </c>
      <c r="K189" s="110" t="s">
        <v>397</v>
      </c>
      <c r="L189" s="110" t="s">
        <v>397</v>
      </c>
      <c r="M189" s="110" t="s">
        <v>397</v>
      </c>
      <c r="N189" s="110" t="s">
        <v>397</v>
      </c>
      <c r="O189" s="111" t="s">
        <v>397</v>
      </c>
      <c r="P189" s="111" t="s">
        <v>397</v>
      </c>
      <c r="Q189" s="111" t="s">
        <v>388</v>
      </c>
      <c r="R189" s="111" t="s">
        <v>397</v>
      </c>
      <c r="S189" s="111" t="s">
        <v>397</v>
      </c>
      <c r="T189" s="113" t="s">
        <v>763</v>
      </c>
      <c r="U189" s="111" t="s">
        <v>466</v>
      </c>
      <c r="V189" s="114" t="s">
        <v>466</v>
      </c>
      <c r="W189" s="83" t="s">
        <v>399</v>
      </c>
      <c r="X189" s="114" t="s">
        <v>523</v>
      </c>
      <c r="Y189" s="114" t="s">
        <v>507</v>
      </c>
      <c r="Z189" s="114" t="s">
        <v>392</v>
      </c>
      <c r="AA189" t="s">
        <v>401</v>
      </c>
      <c r="AB189" t="s">
        <v>374</v>
      </c>
      <c r="AC189" t="s">
        <v>508</v>
      </c>
      <c r="AE189" t="s">
        <v>342</v>
      </c>
    </row>
    <row r="190" spans="1:31" x14ac:dyDescent="0.25">
      <c r="A190" s="74">
        <v>35836</v>
      </c>
      <c r="B190" s="74" t="s">
        <v>885</v>
      </c>
      <c r="C190" s="74" t="s">
        <v>886</v>
      </c>
      <c r="D190" s="108" t="s">
        <v>397</v>
      </c>
      <c r="E190" s="108" t="s">
        <v>388</v>
      </c>
      <c r="F190" s="108" t="s">
        <v>388</v>
      </c>
      <c r="G190" s="108" t="s">
        <v>388</v>
      </c>
      <c r="H190" s="108" t="s">
        <v>397</v>
      </c>
      <c r="I190" s="109" t="s">
        <v>388</v>
      </c>
      <c r="J190" s="110" t="s">
        <v>397</v>
      </c>
      <c r="K190" s="110" t="s">
        <v>397</v>
      </c>
      <c r="L190" s="110" t="s">
        <v>397</v>
      </c>
      <c r="M190" s="110" t="s">
        <v>397</v>
      </c>
      <c r="N190" s="110" t="s">
        <v>397</v>
      </c>
      <c r="O190" s="111" t="s">
        <v>397</v>
      </c>
      <c r="P190" s="111" t="s">
        <v>397</v>
      </c>
      <c r="Q190" s="111" t="s">
        <v>397</v>
      </c>
      <c r="R190" s="111" t="s">
        <v>388</v>
      </c>
      <c r="S190" s="111" t="s">
        <v>388</v>
      </c>
      <c r="T190" s="113" t="s">
        <v>763</v>
      </c>
      <c r="U190" s="111" t="s">
        <v>466</v>
      </c>
      <c r="V190" s="114" t="s">
        <v>466</v>
      </c>
      <c r="W190" s="83" t="s">
        <v>399</v>
      </c>
      <c r="X190" s="114" t="s">
        <v>523</v>
      </c>
      <c r="Y190" s="114" t="s">
        <v>511</v>
      </c>
      <c r="Z190" s="114" t="s">
        <v>392</v>
      </c>
      <c r="AA190" t="s">
        <v>401</v>
      </c>
      <c r="AB190" t="s">
        <v>374</v>
      </c>
      <c r="AC190" t="s">
        <v>512</v>
      </c>
      <c r="AE190" t="s">
        <v>342</v>
      </c>
    </row>
    <row r="191" spans="1:31" x14ac:dyDescent="0.25">
      <c r="A191" s="74">
        <v>35837</v>
      </c>
      <c r="B191" s="74" t="s">
        <v>887</v>
      </c>
      <c r="C191" s="74" t="s">
        <v>888</v>
      </c>
      <c r="D191" s="108" t="s">
        <v>397</v>
      </c>
      <c r="E191" s="108" t="s">
        <v>388</v>
      </c>
      <c r="F191" s="108" t="s">
        <v>388</v>
      </c>
      <c r="G191" s="108" t="s">
        <v>388</v>
      </c>
      <c r="H191" s="108" t="s">
        <v>397</v>
      </c>
      <c r="I191" s="109" t="s">
        <v>388</v>
      </c>
      <c r="J191" s="110" t="s">
        <v>397</v>
      </c>
      <c r="K191" s="110" t="s">
        <v>397</v>
      </c>
      <c r="L191" s="110" t="s">
        <v>397</v>
      </c>
      <c r="M191" s="110" t="s">
        <v>397</v>
      </c>
      <c r="N191" s="110" t="s">
        <v>397</v>
      </c>
      <c r="O191" s="111" t="s">
        <v>397</v>
      </c>
      <c r="P191" s="111" t="s">
        <v>397</v>
      </c>
      <c r="Q191" s="111" t="s">
        <v>397</v>
      </c>
      <c r="R191" s="111" t="s">
        <v>388</v>
      </c>
      <c r="S191" s="111" t="s">
        <v>397</v>
      </c>
      <c r="T191" s="113" t="s">
        <v>763</v>
      </c>
      <c r="U191" s="111" t="s">
        <v>466</v>
      </c>
      <c r="V191" s="114" t="s">
        <v>466</v>
      </c>
      <c r="W191" s="83" t="s">
        <v>399</v>
      </c>
      <c r="X191" s="114" t="s">
        <v>523</v>
      </c>
      <c r="Y191" s="114" t="s">
        <v>515</v>
      </c>
      <c r="Z191" s="114" t="s">
        <v>392</v>
      </c>
      <c r="AA191" t="s">
        <v>401</v>
      </c>
      <c r="AB191" t="s">
        <v>374</v>
      </c>
      <c r="AC191" t="s">
        <v>516</v>
      </c>
      <c r="AE191" t="s">
        <v>342</v>
      </c>
    </row>
    <row r="192" spans="1:31" x14ac:dyDescent="0.25">
      <c r="A192" s="74">
        <v>35838</v>
      </c>
      <c r="B192" s="74" t="s">
        <v>889</v>
      </c>
      <c r="C192" s="74" t="s">
        <v>890</v>
      </c>
      <c r="D192" s="108" t="s">
        <v>397</v>
      </c>
      <c r="E192" s="108" t="s">
        <v>388</v>
      </c>
      <c r="F192" s="108" t="s">
        <v>388</v>
      </c>
      <c r="G192" s="108" t="s">
        <v>388</v>
      </c>
      <c r="H192" s="108" t="s">
        <v>397</v>
      </c>
      <c r="I192" s="109" t="s">
        <v>388</v>
      </c>
      <c r="J192" s="110" t="s">
        <v>397</v>
      </c>
      <c r="K192" s="110" t="s">
        <v>397</v>
      </c>
      <c r="L192" s="110" t="s">
        <v>397</v>
      </c>
      <c r="M192" s="110" t="s">
        <v>397</v>
      </c>
      <c r="N192" s="110" t="s">
        <v>397</v>
      </c>
      <c r="O192" s="111" t="s">
        <v>397</v>
      </c>
      <c r="P192" s="111" t="s">
        <v>397</v>
      </c>
      <c r="Q192" s="111" t="s">
        <v>397</v>
      </c>
      <c r="R192" s="111" t="s">
        <v>397</v>
      </c>
      <c r="S192" s="111" t="s">
        <v>388</v>
      </c>
      <c r="T192" s="113" t="s">
        <v>763</v>
      </c>
      <c r="U192" s="111" t="s">
        <v>466</v>
      </c>
      <c r="V192" s="114" t="s">
        <v>466</v>
      </c>
      <c r="W192" s="83" t="s">
        <v>399</v>
      </c>
      <c r="X192" s="114" t="s">
        <v>523</v>
      </c>
      <c r="Y192" s="114" t="s">
        <v>519</v>
      </c>
      <c r="Z192" s="114" t="s">
        <v>392</v>
      </c>
      <c r="AA192" t="s">
        <v>401</v>
      </c>
      <c r="AB192" t="s">
        <v>374</v>
      </c>
      <c r="AC192" t="s">
        <v>520</v>
      </c>
      <c r="AE192" t="s">
        <v>342</v>
      </c>
    </row>
    <row r="193" spans="1:31" x14ac:dyDescent="0.25">
      <c r="A193" s="74">
        <v>35839</v>
      </c>
      <c r="B193" s="74" t="s">
        <v>891</v>
      </c>
      <c r="C193" s="74" t="s">
        <v>892</v>
      </c>
      <c r="D193" s="108" t="s">
        <v>397</v>
      </c>
      <c r="E193" s="108" t="s">
        <v>388</v>
      </c>
      <c r="F193" s="108" t="s">
        <v>388</v>
      </c>
      <c r="G193" s="108" t="s">
        <v>388</v>
      </c>
      <c r="H193" s="108" t="s">
        <v>397</v>
      </c>
      <c r="I193" s="109" t="s">
        <v>388</v>
      </c>
      <c r="J193" s="110" t="s">
        <v>397</v>
      </c>
      <c r="K193" s="110" t="s">
        <v>397</v>
      </c>
      <c r="L193" s="110" t="s">
        <v>397</v>
      </c>
      <c r="M193" s="110" t="s">
        <v>397</v>
      </c>
      <c r="N193" s="110" t="s">
        <v>397</v>
      </c>
      <c r="O193" s="111" t="s">
        <v>397</v>
      </c>
      <c r="P193" s="111" t="s">
        <v>397</v>
      </c>
      <c r="Q193" s="111" t="s">
        <v>397</v>
      </c>
      <c r="R193" s="111" t="s">
        <v>397</v>
      </c>
      <c r="S193" s="111" t="s">
        <v>397</v>
      </c>
      <c r="T193" s="113" t="s">
        <v>763</v>
      </c>
      <c r="U193" s="111" t="s">
        <v>466</v>
      </c>
      <c r="V193" s="114" t="s">
        <v>466</v>
      </c>
      <c r="W193" s="83" t="s">
        <v>399</v>
      </c>
      <c r="X193" s="114" t="s">
        <v>523</v>
      </c>
      <c r="Y193" s="114" t="s">
        <v>523</v>
      </c>
      <c r="Z193" s="114" t="s">
        <v>392</v>
      </c>
      <c r="AA193" t="s">
        <v>401</v>
      </c>
      <c r="AB193" t="s">
        <v>374</v>
      </c>
      <c r="AC193" t="s">
        <v>524</v>
      </c>
      <c r="AE193" t="s">
        <v>342</v>
      </c>
    </row>
    <row r="194" spans="1:31" x14ac:dyDescent="0.25">
      <c r="A194" s="74">
        <v>35840</v>
      </c>
      <c r="B194" s="74" t="s">
        <v>893</v>
      </c>
      <c r="C194" s="74" t="s">
        <v>894</v>
      </c>
      <c r="D194" s="108" t="s">
        <v>397</v>
      </c>
      <c r="E194" s="108" t="s">
        <v>388</v>
      </c>
      <c r="F194" s="108" t="s">
        <v>388</v>
      </c>
      <c r="G194" s="108" t="s">
        <v>388</v>
      </c>
      <c r="H194" s="108" t="s">
        <v>397</v>
      </c>
      <c r="I194" s="109" t="s">
        <v>397</v>
      </c>
      <c r="J194" s="110" t="s">
        <v>388</v>
      </c>
      <c r="K194" s="110" t="s">
        <v>388</v>
      </c>
      <c r="L194" s="110" t="s">
        <v>388</v>
      </c>
      <c r="M194" s="110" t="s">
        <v>388</v>
      </c>
      <c r="N194" s="110" t="s">
        <v>388</v>
      </c>
      <c r="O194" s="111" t="s">
        <v>388</v>
      </c>
      <c r="P194" s="111" t="s">
        <v>388</v>
      </c>
      <c r="Q194" s="111" t="s">
        <v>388</v>
      </c>
      <c r="R194" s="111" t="s">
        <v>388</v>
      </c>
      <c r="S194" s="111" t="s">
        <v>388</v>
      </c>
      <c r="T194" s="113" t="s">
        <v>895</v>
      </c>
      <c r="U194" s="111" t="s">
        <v>466</v>
      </c>
      <c r="V194" s="114" t="s">
        <v>466</v>
      </c>
      <c r="W194" s="83" t="s">
        <v>399</v>
      </c>
      <c r="X194" s="114" t="s">
        <v>390</v>
      </c>
      <c r="Y194" s="114" t="s">
        <v>390</v>
      </c>
      <c r="Z194" s="114" t="s">
        <v>392</v>
      </c>
      <c r="AA194" t="s">
        <v>401</v>
      </c>
      <c r="AB194" t="s">
        <v>348</v>
      </c>
      <c r="AC194" t="s">
        <v>592</v>
      </c>
      <c r="AE194" t="s">
        <v>342</v>
      </c>
    </row>
    <row r="195" spans="1:31" x14ac:dyDescent="0.25">
      <c r="A195" s="74">
        <v>35841</v>
      </c>
      <c r="B195" s="74" t="s">
        <v>896</v>
      </c>
      <c r="C195" s="74" t="s">
        <v>897</v>
      </c>
      <c r="D195" s="108" t="s">
        <v>397</v>
      </c>
      <c r="E195" s="108" t="s">
        <v>388</v>
      </c>
      <c r="F195" s="108" t="s">
        <v>388</v>
      </c>
      <c r="G195" s="108" t="s">
        <v>388</v>
      </c>
      <c r="H195" s="108" t="s">
        <v>397</v>
      </c>
      <c r="I195" s="109" t="s">
        <v>397</v>
      </c>
      <c r="J195" s="110" t="s">
        <v>388</v>
      </c>
      <c r="K195" s="110" t="s">
        <v>388</v>
      </c>
      <c r="L195" s="110" t="s">
        <v>388</v>
      </c>
      <c r="M195" s="110" t="s">
        <v>388</v>
      </c>
      <c r="N195" s="110" t="s">
        <v>388</v>
      </c>
      <c r="O195" s="111" t="s">
        <v>388</v>
      </c>
      <c r="P195" s="111" t="s">
        <v>388</v>
      </c>
      <c r="Q195" s="111" t="s">
        <v>388</v>
      </c>
      <c r="R195" s="111" t="s">
        <v>388</v>
      </c>
      <c r="S195" s="111" t="s">
        <v>397</v>
      </c>
      <c r="T195" s="113" t="s">
        <v>898</v>
      </c>
      <c r="U195" s="111" t="s">
        <v>466</v>
      </c>
      <c r="V195" s="114" t="s">
        <v>466</v>
      </c>
      <c r="W195" s="83" t="s">
        <v>399</v>
      </c>
      <c r="X195" s="114" t="s">
        <v>390</v>
      </c>
      <c r="Y195" s="114" t="s">
        <v>400</v>
      </c>
      <c r="Z195" s="114" t="s">
        <v>392</v>
      </c>
      <c r="AA195" t="s">
        <v>401</v>
      </c>
      <c r="AB195" t="s">
        <v>204</v>
      </c>
      <c r="AC195" t="s">
        <v>596</v>
      </c>
      <c r="AE195" t="s">
        <v>342</v>
      </c>
    </row>
    <row r="196" spans="1:31" x14ac:dyDescent="0.25">
      <c r="A196" s="74">
        <v>35842</v>
      </c>
      <c r="B196" s="74" t="s">
        <v>899</v>
      </c>
      <c r="C196" s="74" t="s">
        <v>900</v>
      </c>
      <c r="D196" s="108" t="s">
        <v>397</v>
      </c>
      <c r="E196" s="108" t="s">
        <v>388</v>
      </c>
      <c r="F196" s="108" t="s">
        <v>388</v>
      </c>
      <c r="G196" s="108" t="s">
        <v>388</v>
      </c>
      <c r="H196" s="108" t="s">
        <v>397</v>
      </c>
      <c r="I196" s="109" t="s">
        <v>397</v>
      </c>
      <c r="J196" s="110" t="s">
        <v>388</v>
      </c>
      <c r="K196" s="110" t="s">
        <v>388</v>
      </c>
      <c r="L196" s="110" t="s">
        <v>388</v>
      </c>
      <c r="M196" s="110" t="s">
        <v>388</v>
      </c>
      <c r="N196" s="110" t="s">
        <v>388</v>
      </c>
      <c r="O196" s="111" t="s">
        <v>388</v>
      </c>
      <c r="P196" s="111" t="s">
        <v>388</v>
      </c>
      <c r="Q196" s="111" t="s">
        <v>388</v>
      </c>
      <c r="R196" s="111" t="s">
        <v>397</v>
      </c>
      <c r="S196" s="111" t="s">
        <v>388</v>
      </c>
      <c r="T196" s="113" t="s">
        <v>901</v>
      </c>
      <c r="U196" s="111" t="s">
        <v>466</v>
      </c>
      <c r="V196" s="114" t="s">
        <v>466</v>
      </c>
      <c r="W196" s="83" t="s">
        <v>399</v>
      </c>
      <c r="X196" s="114" t="s">
        <v>390</v>
      </c>
      <c r="Y196" s="114" t="s">
        <v>405</v>
      </c>
      <c r="Z196" s="114" t="s">
        <v>392</v>
      </c>
      <c r="AA196" t="s">
        <v>401</v>
      </c>
      <c r="AB196" t="s">
        <v>375</v>
      </c>
      <c r="AC196" t="s">
        <v>600</v>
      </c>
      <c r="AE196" t="s">
        <v>342</v>
      </c>
    </row>
    <row r="197" spans="1:31" x14ac:dyDescent="0.25">
      <c r="A197" s="74">
        <v>35843</v>
      </c>
      <c r="B197" s="74" t="s">
        <v>902</v>
      </c>
      <c r="C197" s="74" t="s">
        <v>903</v>
      </c>
      <c r="D197" s="108" t="s">
        <v>397</v>
      </c>
      <c r="E197" s="108" t="s">
        <v>388</v>
      </c>
      <c r="F197" s="108" t="s">
        <v>388</v>
      </c>
      <c r="G197" s="108" t="s">
        <v>388</v>
      </c>
      <c r="H197" s="108" t="s">
        <v>397</v>
      </c>
      <c r="I197" s="109" t="s">
        <v>397</v>
      </c>
      <c r="J197" s="110" t="s">
        <v>388</v>
      </c>
      <c r="K197" s="110" t="s">
        <v>388</v>
      </c>
      <c r="L197" s="110" t="s">
        <v>388</v>
      </c>
      <c r="M197" s="110" t="s">
        <v>388</v>
      </c>
      <c r="N197" s="110" t="s">
        <v>388</v>
      </c>
      <c r="O197" s="111" t="s">
        <v>388</v>
      </c>
      <c r="P197" s="111" t="s">
        <v>388</v>
      </c>
      <c r="Q197" s="111" t="s">
        <v>388</v>
      </c>
      <c r="R197" s="111" t="s">
        <v>397</v>
      </c>
      <c r="S197" s="111" t="s">
        <v>397</v>
      </c>
      <c r="T197" s="113" t="s">
        <v>904</v>
      </c>
      <c r="U197" s="111" t="s">
        <v>466</v>
      </c>
      <c r="V197" s="114" t="s">
        <v>466</v>
      </c>
      <c r="W197" s="83" t="s">
        <v>399</v>
      </c>
      <c r="X197" s="114" t="s">
        <v>390</v>
      </c>
      <c r="Y197" s="114" t="s">
        <v>409</v>
      </c>
      <c r="Z197" s="114" t="s">
        <v>392</v>
      </c>
      <c r="AA197" t="s">
        <v>401</v>
      </c>
      <c r="AB197" t="s">
        <v>376</v>
      </c>
      <c r="AC197" t="s">
        <v>604</v>
      </c>
      <c r="AE197" t="s">
        <v>342</v>
      </c>
    </row>
    <row r="198" spans="1:31" x14ac:dyDescent="0.25">
      <c r="A198" s="74">
        <v>35844</v>
      </c>
      <c r="B198" s="74" t="s">
        <v>905</v>
      </c>
      <c r="C198" s="74" t="s">
        <v>906</v>
      </c>
      <c r="D198" s="108" t="s">
        <v>397</v>
      </c>
      <c r="E198" s="108" t="s">
        <v>388</v>
      </c>
      <c r="F198" s="108" t="s">
        <v>388</v>
      </c>
      <c r="G198" s="108" t="s">
        <v>388</v>
      </c>
      <c r="H198" s="108" t="s">
        <v>397</v>
      </c>
      <c r="I198" s="109" t="s">
        <v>397</v>
      </c>
      <c r="J198" s="110" t="s">
        <v>388</v>
      </c>
      <c r="K198" s="110" t="s">
        <v>388</v>
      </c>
      <c r="L198" s="110" t="s">
        <v>388</v>
      </c>
      <c r="M198" s="110" t="s">
        <v>388</v>
      </c>
      <c r="N198" s="110" t="s">
        <v>388</v>
      </c>
      <c r="O198" s="111" t="s">
        <v>388</v>
      </c>
      <c r="P198" s="111" t="s">
        <v>388</v>
      </c>
      <c r="Q198" s="111" t="s">
        <v>397</v>
      </c>
      <c r="R198" s="111" t="s">
        <v>388</v>
      </c>
      <c r="S198" s="111" t="s">
        <v>388</v>
      </c>
      <c r="T198" s="113" t="s">
        <v>907</v>
      </c>
      <c r="U198" s="111" t="s">
        <v>466</v>
      </c>
      <c r="V198" s="114" t="s">
        <v>466</v>
      </c>
      <c r="W198" s="83" t="s">
        <v>399</v>
      </c>
      <c r="X198" s="114" t="s">
        <v>390</v>
      </c>
      <c r="Y198" s="114" t="s">
        <v>413</v>
      </c>
      <c r="Z198" s="114" t="s">
        <v>392</v>
      </c>
      <c r="AA198" t="s">
        <v>401</v>
      </c>
      <c r="AB198" t="s">
        <v>377</v>
      </c>
      <c r="AC198" t="s">
        <v>608</v>
      </c>
      <c r="AE198" t="s">
        <v>342</v>
      </c>
    </row>
    <row r="199" spans="1:31" x14ac:dyDescent="0.25">
      <c r="A199" s="74">
        <v>35845</v>
      </c>
      <c r="B199" s="74" t="s">
        <v>908</v>
      </c>
      <c r="C199" s="74" t="s">
        <v>909</v>
      </c>
      <c r="D199" s="108" t="s">
        <v>397</v>
      </c>
      <c r="E199" s="108" t="s">
        <v>388</v>
      </c>
      <c r="F199" s="108" t="s">
        <v>388</v>
      </c>
      <c r="G199" s="108" t="s">
        <v>388</v>
      </c>
      <c r="H199" s="108" t="s">
        <v>397</v>
      </c>
      <c r="I199" s="109" t="s">
        <v>397</v>
      </c>
      <c r="J199" s="110" t="s">
        <v>388</v>
      </c>
      <c r="K199" s="110" t="s">
        <v>388</v>
      </c>
      <c r="L199" s="110" t="s">
        <v>388</v>
      </c>
      <c r="M199" s="110" t="s">
        <v>388</v>
      </c>
      <c r="N199" s="110" t="s">
        <v>388</v>
      </c>
      <c r="O199" s="111" t="s">
        <v>388</v>
      </c>
      <c r="P199" s="111" t="s">
        <v>388</v>
      </c>
      <c r="Q199" s="111" t="s">
        <v>397</v>
      </c>
      <c r="R199" s="111" t="s">
        <v>388</v>
      </c>
      <c r="S199" s="111" t="s">
        <v>397</v>
      </c>
      <c r="T199" s="113" t="s">
        <v>910</v>
      </c>
      <c r="U199" s="111" t="s">
        <v>466</v>
      </c>
      <c r="V199" s="114" t="s">
        <v>466</v>
      </c>
      <c r="W199" s="83" t="s">
        <v>399</v>
      </c>
      <c r="X199" s="114" t="s">
        <v>390</v>
      </c>
      <c r="Y199" s="114" t="s">
        <v>417</v>
      </c>
      <c r="Z199" s="114" t="s">
        <v>392</v>
      </c>
      <c r="AA199" t="s">
        <v>401</v>
      </c>
      <c r="AB199" t="s">
        <v>378</v>
      </c>
      <c r="AC199" t="s">
        <v>612</v>
      </c>
      <c r="AE199" t="s">
        <v>342</v>
      </c>
    </row>
    <row r="200" spans="1:31" x14ac:dyDescent="0.25">
      <c r="A200" s="74">
        <v>35846</v>
      </c>
      <c r="B200" s="74" t="s">
        <v>911</v>
      </c>
      <c r="C200" s="74" t="s">
        <v>912</v>
      </c>
      <c r="D200" s="108" t="s">
        <v>397</v>
      </c>
      <c r="E200" s="108" t="s">
        <v>388</v>
      </c>
      <c r="F200" s="108" t="s">
        <v>388</v>
      </c>
      <c r="G200" s="108" t="s">
        <v>388</v>
      </c>
      <c r="H200" s="108" t="s">
        <v>397</v>
      </c>
      <c r="I200" s="109" t="s">
        <v>397</v>
      </c>
      <c r="J200" s="110" t="s">
        <v>388</v>
      </c>
      <c r="K200" s="110" t="s">
        <v>388</v>
      </c>
      <c r="L200" s="110" t="s">
        <v>388</v>
      </c>
      <c r="M200" s="110" t="s">
        <v>388</v>
      </c>
      <c r="N200" s="110" t="s">
        <v>388</v>
      </c>
      <c r="O200" s="111" t="s">
        <v>388</v>
      </c>
      <c r="P200" s="111" t="s">
        <v>388</v>
      </c>
      <c r="Q200" s="111" t="s">
        <v>397</v>
      </c>
      <c r="R200" s="111" t="s">
        <v>397</v>
      </c>
      <c r="S200" s="111" t="s">
        <v>388</v>
      </c>
      <c r="T200" s="113" t="s">
        <v>913</v>
      </c>
      <c r="U200" s="111" t="s">
        <v>466</v>
      </c>
      <c r="V200" s="114" t="s">
        <v>466</v>
      </c>
      <c r="W200" s="83" t="s">
        <v>399</v>
      </c>
      <c r="X200" s="114" t="s">
        <v>390</v>
      </c>
      <c r="Y200" s="114" t="s">
        <v>421</v>
      </c>
      <c r="Z200" s="114" t="s">
        <v>392</v>
      </c>
      <c r="AA200" t="s">
        <v>401</v>
      </c>
      <c r="AB200" t="s">
        <v>379</v>
      </c>
      <c r="AC200" t="s">
        <v>616</v>
      </c>
      <c r="AE200" t="s">
        <v>342</v>
      </c>
    </row>
    <row r="201" spans="1:31" x14ac:dyDescent="0.25">
      <c r="A201" s="74">
        <v>35847</v>
      </c>
      <c r="B201" s="74" t="s">
        <v>914</v>
      </c>
      <c r="C201" s="74" t="s">
        <v>915</v>
      </c>
      <c r="D201" s="108" t="s">
        <v>397</v>
      </c>
      <c r="E201" s="108" t="s">
        <v>388</v>
      </c>
      <c r="F201" s="108" t="s">
        <v>388</v>
      </c>
      <c r="G201" s="108" t="s">
        <v>388</v>
      </c>
      <c r="H201" s="108" t="s">
        <v>397</v>
      </c>
      <c r="I201" s="109" t="s">
        <v>397</v>
      </c>
      <c r="J201" s="110" t="s">
        <v>388</v>
      </c>
      <c r="K201" s="110" t="s">
        <v>388</v>
      </c>
      <c r="L201" s="110" t="s">
        <v>388</v>
      </c>
      <c r="M201" s="110" t="s">
        <v>388</v>
      </c>
      <c r="N201" s="110" t="s">
        <v>388</v>
      </c>
      <c r="O201" s="111" t="s">
        <v>388</v>
      </c>
      <c r="P201" s="111" t="s">
        <v>388</v>
      </c>
      <c r="Q201" s="111" t="s">
        <v>397</v>
      </c>
      <c r="R201" s="111" t="s">
        <v>397</v>
      </c>
      <c r="S201" s="111" t="s">
        <v>397</v>
      </c>
      <c r="T201" s="113" t="s">
        <v>916</v>
      </c>
      <c r="U201" s="111" t="s">
        <v>466</v>
      </c>
      <c r="V201" s="114" t="s">
        <v>466</v>
      </c>
      <c r="W201" s="83" t="s">
        <v>399</v>
      </c>
      <c r="X201" s="114" t="s">
        <v>390</v>
      </c>
      <c r="Y201" s="114" t="s">
        <v>425</v>
      </c>
      <c r="Z201" s="114" t="s">
        <v>392</v>
      </c>
      <c r="AA201" t="s">
        <v>401</v>
      </c>
      <c r="AB201" t="s">
        <v>380</v>
      </c>
      <c r="AC201" t="s">
        <v>620</v>
      </c>
      <c r="AE201" t="s">
        <v>342</v>
      </c>
    </row>
    <row r="202" spans="1:31" x14ac:dyDescent="0.25">
      <c r="A202" s="74">
        <v>35848</v>
      </c>
      <c r="B202" s="74" t="s">
        <v>917</v>
      </c>
      <c r="C202" s="74" t="s">
        <v>918</v>
      </c>
      <c r="D202" s="108" t="s">
        <v>397</v>
      </c>
      <c r="E202" s="108" t="s">
        <v>388</v>
      </c>
      <c r="F202" s="108" t="s">
        <v>388</v>
      </c>
      <c r="G202" s="108" t="s">
        <v>388</v>
      </c>
      <c r="H202" s="108" t="s">
        <v>397</v>
      </c>
      <c r="I202" s="109" t="s">
        <v>397</v>
      </c>
      <c r="J202" s="110" t="s">
        <v>388</v>
      </c>
      <c r="K202" s="110" t="s">
        <v>388</v>
      </c>
      <c r="L202" s="110" t="s">
        <v>388</v>
      </c>
      <c r="M202" s="110" t="s">
        <v>388</v>
      </c>
      <c r="N202" s="110" t="s">
        <v>388</v>
      </c>
      <c r="O202" s="111" t="s">
        <v>388</v>
      </c>
      <c r="P202" s="111" t="s">
        <v>397</v>
      </c>
      <c r="Q202" s="111" t="s">
        <v>388</v>
      </c>
      <c r="R202" s="111" t="s">
        <v>388</v>
      </c>
      <c r="S202" s="111" t="s">
        <v>388</v>
      </c>
      <c r="T202" s="113" t="s">
        <v>919</v>
      </c>
      <c r="U202" s="111" t="s">
        <v>466</v>
      </c>
      <c r="V202" s="114" t="s">
        <v>466</v>
      </c>
      <c r="W202" s="83" t="s">
        <v>399</v>
      </c>
      <c r="X202" s="114" t="s">
        <v>390</v>
      </c>
      <c r="Y202" s="114" t="s">
        <v>429</v>
      </c>
      <c r="Z202" s="114" t="s">
        <v>392</v>
      </c>
      <c r="AA202" t="s">
        <v>401</v>
      </c>
      <c r="AB202" t="s">
        <v>355</v>
      </c>
      <c r="AC202" t="s">
        <v>624</v>
      </c>
      <c r="AE202" t="s">
        <v>342</v>
      </c>
    </row>
    <row r="203" spans="1:31" x14ac:dyDescent="0.25">
      <c r="A203" s="74">
        <v>35849</v>
      </c>
      <c r="B203" s="74" t="s">
        <v>920</v>
      </c>
      <c r="C203" s="74" t="s">
        <v>921</v>
      </c>
      <c r="D203" s="108" t="s">
        <v>397</v>
      </c>
      <c r="E203" s="108" t="s">
        <v>388</v>
      </c>
      <c r="F203" s="108" t="s">
        <v>388</v>
      </c>
      <c r="G203" s="108" t="s">
        <v>388</v>
      </c>
      <c r="H203" s="108" t="s">
        <v>397</v>
      </c>
      <c r="I203" s="109" t="s">
        <v>397</v>
      </c>
      <c r="J203" s="110" t="s">
        <v>388</v>
      </c>
      <c r="K203" s="110" t="s">
        <v>388</v>
      </c>
      <c r="L203" s="110" t="s">
        <v>388</v>
      </c>
      <c r="M203" s="110" t="s">
        <v>388</v>
      </c>
      <c r="N203" s="110" t="s">
        <v>388</v>
      </c>
      <c r="O203" s="111" t="s">
        <v>388</v>
      </c>
      <c r="P203" s="111" t="s">
        <v>397</v>
      </c>
      <c r="Q203" s="111" t="s">
        <v>388</v>
      </c>
      <c r="R203" s="111" t="s">
        <v>388</v>
      </c>
      <c r="S203" s="111" t="s">
        <v>397</v>
      </c>
      <c r="T203" s="113" t="s">
        <v>763</v>
      </c>
      <c r="U203" s="111" t="s">
        <v>466</v>
      </c>
      <c r="V203" s="114" t="s">
        <v>466</v>
      </c>
      <c r="W203" s="83" t="s">
        <v>399</v>
      </c>
      <c r="X203" s="114" t="s">
        <v>390</v>
      </c>
      <c r="Y203" s="114" t="s">
        <v>433</v>
      </c>
      <c r="Z203" s="114" t="s">
        <v>392</v>
      </c>
      <c r="AA203" t="s">
        <v>401</v>
      </c>
      <c r="AB203" t="s">
        <v>374</v>
      </c>
      <c r="AC203" t="s">
        <v>627</v>
      </c>
      <c r="AE203" t="s">
        <v>342</v>
      </c>
    </row>
    <row r="204" spans="1:31" x14ac:dyDescent="0.25">
      <c r="A204" s="74">
        <v>35850</v>
      </c>
      <c r="B204" s="74" t="s">
        <v>922</v>
      </c>
      <c r="C204" s="74" t="s">
        <v>923</v>
      </c>
      <c r="D204" s="108" t="s">
        <v>397</v>
      </c>
      <c r="E204" s="108" t="s">
        <v>388</v>
      </c>
      <c r="F204" s="108" t="s">
        <v>388</v>
      </c>
      <c r="G204" s="108" t="s">
        <v>388</v>
      </c>
      <c r="H204" s="108" t="s">
        <v>397</v>
      </c>
      <c r="I204" s="109" t="s">
        <v>397</v>
      </c>
      <c r="J204" s="110" t="s">
        <v>388</v>
      </c>
      <c r="K204" s="110" t="s">
        <v>388</v>
      </c>
      <c r="L204" s="110" t="s">
        <v>388</v>
      </c>
      <c r="M204" s="110" t="s">
        <v>388</v>
      </c>
      <c r="N204" s="110" t="s">
        <v>388</v>
      </c>
      <c r="O204" s="111" t="s">
        <v>388</v>
      </c>
      <c r="P204" s="111" t="s">
        <v>397</v>
      </c>
      <c r="Q204" s="111" t="s">
        <v>388</v>
      </c>
      <c r="R204" s="111" t="s">
        <v>397</v>
      </c>
      <c r="S204" s="111" t="s">
        <v>388</v>
      </c>
      <c r="T204" s="113" t="s">
        <v>763</v>
      </c>
      <c r="U204" s="111" t="s">
        <v>466</v>
      </c>
      <c r="V204" s="114" t="s">
        <v>466</v>
      </c>
      <c r="W204" s="83" t="s">
        <v>399</v>
      </c>
      <c r="X204" s="114" t="s">
        <v>390</v>
      </c>
      <c r="Y204" s="114" t="s">
        <v>437</v>
      </c>
      <c r="Z204" s="114" t="s">
        <v>392</v>
      </c>
      <c r="AA204" t="s">
        <v>401</v>
      </c>
      <c r="AB204" t="s">
        <v>374</v>
      </c>
      <c r="AC204" t="s">
        <v>630</v>
      </c>
      <c r="AE204" t="s">
        <v>342</v>
      </c>
    </row>
    <row r="205" spans="1:31" x14ac:dyDescent="0.25">
      <c r="A205" s="74">
        <v>35851</v>
      </c>
      <c r="B205" s="74" t="s">
        <v>924</v>
      </c>
      <c r="C205" s="74" t="s">
        <v>925</v>
      </c>
      <c r="D205" s="108" t="s">
        <v>397</v>
      </c>
      <c r="E205" s="108" t="s">
        <v>388</v>
      </c>
      <c r="F205" s="108" t="s">
        <v>388</v>
      </c>
      <c r="G205" s="108" t="s">
        <v>388</v>
      </c>
      <c r="H205" s="108" t="s">
        <v>397</v>
      </c>
      <c r="I205" s="109" t="s">
        <v>397</v>
      </c>
      <c r="J205" s="110" t="s">
        <v>388</v>
      </c>
      <c r="K205" s="110" t="s">
        <v>388</v>
      </c>
      <c r="L205" s="110" t="s">
        <v>388</v>
      </c>
      <c r="M205" s="110" t="s">
        <v>388</v>
      </c>
      <c r="N205" s="110" t="s">
        <v>388</v>
      </c>
      <c r="O205" s="111" t="s">
        <v>388</v>
      </c>
      <c r="P205" s="111" t="s">
        <v>397</v>
      </c>
      <c r="Q205" s="111" t="s">
        <v>388</v>
      </c>
      <c r="R205" s="111" t="s">
        <v>397</v>
      </c>
      <c r="S205" s="111" t="s">
        <v>397</v>
      </c>
      <c r="T205" s="113" t="s">
        <v>763</v>
      </c>
      <c r="U205" s="111" t="s">
        <v>466</v>
      </c>
      <c r="V205" s="114" t="s">
        <v>466</v>
      </c>
      <c r="W205" s="83" t="s">
        <v>399</v>
      </c>
      <c r="X205" s="114" t="s">
        <v>390</v>
      </c>
      <c r="Y205" s="114" t="s">
        <v>441</v>
      </c>
      <c r="Z205" s="114" t="s">
        <v>392</v>
      </c>
      <c r="AA205" t="s">
        <v>401</v>
      </c>
      <c r="AB205" t="s">
        <v>374</v>
      </c>
      <c r="AC205" t="s">
        <v>633</v>
      </c>
      <c r="AE205" t="s">
        <v>342</v>
      </c>
    </row>
    <row r="206" spans="1:31" x14ac:dyDescent="0.25">
      <c r="A206" s="74">
        <v>35852</v>
      </c>
      <c r="B206" s="74" t="s">
        <v>926</v>
      </c>
      <c r="C206" s="74" t="s">
        <v>927</v>
      </c>
      <c r="D206" s="108" t="s">
        <v>397</v>
      </c>
      <c r="E206" s="108" t="s">
        <v>388</v>
      </c>
      <c r="F206" s="108" t="s">
        <v>388</v>
      </c>
      <c r="G206" s="108" t="s">
        <v>388</v>
      </c>
      <c r="H206" s="108" t="s">
        <v>397</v>
      </c>
      <c r="I206" s="109" t="s">
        <v>397</v>
      </c>
      <c r="J206" s="110" t="s">
        <v>388</v>
      </c>
      <c r="K206" s="110" t="s">
        <v>388</v>
      </c>
      <c r="L206" s="110" t="s">
        <v>388</v>
      </c>
      <c r="M206" s="110" t="s">
        <v>388</v>
      </c>
      <c r="N206" s="110" t="s">
        <v>388</v>
      </c>
      <c r="O206" s="111" t="s">
        <v>388</v>
      </c>
      <c r="P206" s="111" t="s">
        <v>397</v>
      </c>
      <c r="Q206" s="111" t="s">
        <v>397</v>
      </c>
      <c r="R206" s="111" t="s">
        <v>388</v>
      </c>
      <c r="S206" s="111" t="s">
        <v>388</v>
      </c>
      <c r="T206" s="113" t="s">
        <v>763</v>
      </c>
      <c r="U206" s="111" t="s">
        <v>466</v>
      </c>
      <c r="V206" s="114" t="s">
        <v>466</v>
      </c>
      <c r="W206" s="83" t="s">
        <v>399</v>
      </c>
      <c r="X206" s="114" t="s">
        <v>390</v>
      </c>
      <c r="Y206" s="114" t="s">
        <v>445</v>
      </c>
      <c r="Z206" s="114" t="s">
        <v>392</v>
      </c>
      <c r="AA206" t="s">
        <v>401</v>
      </c>
      <c r="AB206" t="s">
        <v>374</v>
      </c>
      <c r="AC206" t="s">
        <v>636</v>
      </c>
      <c r="AE206" t="s">
        <v>342</v>
      </c>
    </row>
    <row r="207" spans="1:31" x14ac:dyDescent="0.25">
      <c r="A207" s="74">
        <v>35853</v>
      </c>
      <c r="B207" s="74" t="s">
        <v>928</v>
      </c>
      <c r="C207" s="74" t="s">
        <v>929</v>
      </c>
      <c r="D207" s="108" t="s">
        <v>397</v>
      </c>
      <c r="E207" s="108" t="s">
        <v>388</v>
      </c>
      <c r="F207" s="108" t="s">
        <v>388</v>
      </c>
      <c r="G207" s="108" t="s">
        <v>388</v>
      </c>
      <c r="H207" s="108" t="s">
        <v>397</v>
      </c>
      <c r="I207" s="109" t="s">
        <v>397</v>
      </c>
      <c r="J207" s="110" t="s">
        <v>388</v>
      </c>
      <c r="K207" s="110" t="s">
        <v>388</v>
      </c>
      <c r="L207" s="110" t="s">
        <v>388</v>
      </c>
      <c r="M207" s="110" t="s">
        <v>388</v>
      </c>
      <c r="N207" s="110" t="s">
        <v>388</v>
      </c>
      <c r="O207" s="111" t="s">
        <v>388</v>
      </c>
      <c r="P207" s="111" t="s">
        <v>397</v>
      </c>
      <c r="Q207" s="111" t="s">
        <v>397</v>
      </c>
      <c r="R207" s="111" t="s">
        <v>388</v>
      </c>
      <c r="S207" s="111" t="s">
        <v>397</v>
      </c>
      <c r="T207" s="113" t="s">
        <v>763</v>
      </c>
      <c r="U207" s="111" t="s">
        <v>466</v>
      </c>
      <c r="V207" s="114" t="s">
        <v>466</v>
      </c>
      <c r="W207" s="83" t="s">
        <v>399</v>
      </c>
      <c r="X207" s="114" t="s">
        <v>390</v>
      </c>
      <c r="Y207" s="114" t="s">
        <v>449</v>
      </c>
      <c r="Z207" s="114" t="s">
        <v>392</v>
      </c>
      <c r="AA207" t="s">
        <v>401</v>
      </c>
      <c r="AB207" t="s">
        <v>374</v>
      </c>
      <c r="AC207" t="s">
        <v>639</v>
      </c>
      <c r="AE207" t="s">
        <v>342</v>
      </c>
    </row>
    <row r="208" spans="1:31" x14ac:dyDescent="0.25">
      <c r="A208" s="74">
        <v>35854</v>
      </c>
      <c r="B208" s="74" t="s">
        <v>930</v>
      </c>
      <c r="C208" s="74" t="s">
        <v>931</v>
      </c>
      <c r="D208" s="108" t="s">
        <v>397</v>
      </c>
      <c r="E208" s="108" t="s">
        <v>388</v>
      </c>
      <c r="F208" s="108" t="s">
        <v>388</v>
      </c>
      <c r="G208" s="108" t="s">
        <v>388</v>
      </c>
      <c r="H208" s="108" t="s">
        <v>397</v>
      </c>
      <c r="I208" s="109" t="s">
        <v>397</v>
      </c>
      <c r="J208" s="110" t="s">
        <v>388</v>
      </c>
      <c r="K208" s="110" t="s">
        <v>388</v>
      </c>
      <c r="L208" s="110" t="s">
        <v>388</v>
      </c>
      <c r="M208" s="110" t="s">
        <v>388</v>
      </c>
      <c r="N208" s="110" t="s">
        <v>388</v>
      </c>
      <c r="O208" s="111" t="s">
        <v>388</v>
      </c>
      <c r="P208" s="111" t="s">
        <v>397</v>
      </c>
      <c r="Q208" s="111" t="s">
        <v>397</v>
      </c>
      <c r="R208" s="111" t="s">
        <v>397</v>
      </c>
      <c r="S208" s="111" t="s">
        <v>388</v>
      </c>
      <c r="T208" s="113" t="s">
        <v>763</v>
      </c>
      <c r="U208" s="111" t="s">
        <v>466</v>
      </c>
      <c r="V208" s="114" t="s">
        <v>466</v>
      </c>
      <c r="W208" s="83" t="s">
        <v>399</v>
      </c>
      <c r="X208" s="114" t="s">
        <v>390</v>
      </c>
      <c r="Y208" s="114" t="s">
        <v>453</v>
      </c>
      <c r="Z208" s="114" t="s">
        <v>392</v>
      </c>
      <c r="AA208" t="s">
        <v>401</v>
      </c>
      <c r="AB208" t="s">
        <v>374</v>
      </c>
      <c r="AC208" t="s">
        <v>642</v>
      </c>
      <c r="AE208" t="s">
        <v>342</v>
      </c>
    </row>
    <row r="209" spans="1:31" x14ac:dyDescent="0.25">
      <c r="A209" s="74">
        <v>35855</v>
      </c>
      <c r="B209" s="74" t="s">
        <v>932</v>
      </c>
      <c r="C209" s="74" t="s">
        <v>933</v>
      </c>
      <c r="D209" s="108" t="s">
        <v>397</v>
      </c>
      <c r="E209" s="108" t="s">
        <v>388</v>
      </c>
      <c r="F209" s="108" t="s">
        <v>388</v>
      </c>
      <c r="G209" s="108" t="s">
        <v>388</v>
      </c>
      <c r="H209" s="108" t="s">
        <v>397</v>
      </c>
      <c r="I209" s="109" t="s">
        <v>397</v>
      </c>
      <c r="J209" s="110" t="s">
        <v>388</v>
      </c>
      <c r="K209" s="110" t="s">
        <v>388</v>
      </c>
      <c r="L209" s="110" t="s">
        <v>388</v>
      </c>
      <c r="M209" s="110" t="s">
        <v>388</v>
      </c>
      <c r="N209" s="110" t="s">
        <v>388</v>
      </c>
      <c r="O209" s="111" t="s">
        <v>388</v>
      </c>
      <c r="P209" s="111" t="s">
        <v>397</v>
      </c>
      <c r="Q209" s="111" t="s">
        <v>397</v>
      </c>
      <c r="R209" s="111" t="s">
        <v>397</v>
      </c>
      <c r="S209" s="111" t="s">
        <v>397</v>
      </c>
      <c r="T209" s="113" t="s">
        <v>763</v>
      </c>
      <c r="U209" s="111" t="s">
        <v>466</v>
      </c>
      <c r="V209" s="114" t="s">
        <v>466</v>
      </c>
      <c r="W209" s="83" t="s">
        <v>399</v>
      </c>
      <c r="X209" s="114" t="s">
        <v>390</v>
      </c>
      <c r="Y209" s="114" t="s">
        <v>457</v>
      </c>
      <c r="Z209" s="114" t="s">
        <v>392</v>
      </c>
      <c r="AA209" t="s">
        <v>401</v>
      </c>
      <c r="AB209" t="s">
        <v>374</v>
      </c>
      <c r="AC209" t="s">
        <v>645</v>
      </c>
      <c r="AE209" t="s">
        <v>342</v>
      </c>
    </row>
    <row r="210" spans="1:31" x14ac:dyDescent="0.25">
      <c r="A210" s="74">
        <v>35856</v>
      </c>
      <c r="B210" s="74" t="s">
        <v>934</v>
      </c>
      <c r="C210" s="74" t="s">
        <v>935</v>
      </c>
      <c r="D210" s="108" t="s">
        <v>397</v>
      </c>
      <c r="E210" s="108" t="s">
        <v>388</v>
      </c>
      <c r="F210" s="108" t="s">
        <v>388</v>
      </c>
      <c r="G210" s="108" t="s">
        <v>388</v>
      </c>
      <c r="H210" s="108" t="s">
        <v>397</v>
      </c>
      <c r="I210" s="109" t="s">
        <v>397</v>
      </c>
      <c r="J210" s="110" t="s">
        <v>388</v>
      </c>
      <c r="K210" s="110" t="s">
        <v>388</v>
      </c>
      <c r="L210" s="110" t="s">
        <v>388</v>
      </c>
      <c r="M210" s="110" t="s">
        <v>388</v>
      </c>
      <c r="N210" s="110" t="s">
        <v>388</v>
      </c>
      <c r="O210" s="111" t="s">
        <v>397</v>
      </c>
      <c r="P210" s="111" t="s">
        <v>388</v>
      </c>
      <c r="Q210" s="111" t="s">
        <v>388</v>
      </c>
      <c r="R210" s="111" t="s">
        <v>388</v>
      </c>
      <c r="S210" s="111" t="s">
        <v>388</v>
      </c>
      <c r="T210" s="113" t="s">
        <v>936</v>
      </c>
      <c r="U210" s="111" t="s">
        <v>466</v>
      </c>
      <c r="V210" s="114" t="s">
        <v>466</v>
      </c>
      <c r="W210" s="83" t="s">
        <v>399</v>
      </c>
      <c r="X210" s="114" t="s">
        <v>390</v>
      </c>
      <c r="Y210" s="114" t="s">
        <v>461</v>
      </c>
      <c r="Z210" s="114" t="s">
        <v>392</v>
      </c>
      <c r="AA210" t="s">
        <v>401</v>
      </c>
      <c r="AB210" t="s">
        <v>116</v>
      </c>
      <c r="AC210" t="s">
        <v>649</v>
      </c>
      <c r="AE210" t="s">
        <v>342</v>
      </c>
    </row>
    <row r="211" spans="1:31" x14ac:dyDescent="0.25">
      <c r="A211" s="74">
        <v>35857</v>
      </c>
      <c r="B211" s="74" t="s">
        <v>937</v>
      </c>
      <c r="C211" s="74" t="s">
        <v>938</v>
      </c>
      <c r="D211" s="108" t="s">
        <v>397</v>
      </c>
      <c r="E211" s="108" t="s">
        <v>388</v>
      </c>
      <c r="F211" s="108" t="s">
        <v>388</v>
      </c>
      <c r="G211" s="108" t="s">
        <v>388</v>
      </c>
      <c r="H211" s="108" t="s">
        <v>397</v>
      </c>
      <c r="I211" s="109" t="s">
        <v>397</v>
      </c>
      <c r="J211" s="110" t="s">
        <v>388</v>
      </c>
      <c r="K211" s="110" t="s">
        <v>388</v>
      </c>
      <c r="L211" s="110" t="s">
        <v>388</v>
      </c>
      <c r="M211" s="110" t="s">
        <v>388</v>
      </c>
      <c r="N211" s="110" t="s">
        <v>388</v>
      </c>
      <c r="O211" s="111" t="s">
        <v>397</v>
      </c>
      <c r="P211" s="111" t="s">
        <v>388</v>
      </c>
      <c r="Q211" s="111" t="s">
        <v>388</v>
      </c>
      <c r="R211" s="111" t="s">
        <v>388</v>
      </c>
      <c r="S211" s="111" t="s">
        <v>397</v>
      </c>
      <c r="T211" s="113" t="s">
        <v>763</v>
      </c>
      <c r="U211" s="111" t="s">
        <v>466</v>
      </c>
      <c r="V211" s="114" t="s">
        <v>466</v>
      </c>
      <c r="W211" s="83" t="s">
        <v>399</v>
      </c>
      <c r="X211" s="114" t="s">
        <v>390</v>
      </c>
      <c r="Y211" s="114" t="s">
        <v>466</v>
      </c>
      <c r="Z211" s="114" t="s">
        <v>392</v>
      </c>
      <c r="AA211" t="s">
        <v>401</v>
      </c>
      <c r="AB211" t="s">
        <v>374</v>
      </c>
      <c r="AC211" t="s">
        <v>652</v>
      </c>
      <c r="AE211" t="s">
        <v>342</v>
      </c>
    </row>
    <row r="212" spans="1:31" x14ac:dyDescent="0.25">
      <c r="A212" s="74">
        <v>35858</v>
      </c>
      <c r="B212" s="74" t="s">
        <v>939</v>
      </c>
      <c r="C212" s="74" t="s">
        <v>940</v>
      </c>
      <c r="D212" s="108" t="s">
        <v>397</v>
      </c>
      <c r="E212" s="108" t="s">
        <v>388</v>
      </c>
      <c r="F212" s="108" t="s">
        <v>388</v>
      </c>
      <c r="G212" s="108" t="s">
        <v>388</v>
      </c>
      <c r="H212" s="108" t="s">
        <v>397</v>
      </c>
      <c r="I212" s="109" t="s">
        <v>397</v>
      </c>
      <c r="J212" s="110" t="s">
        <v>388</v>
      </c>
      <c r="K212" s="110" t="s">
        <v>388</v>
      </c>
      <c r="L212" s="110" t="s">
        <v>388</v>
      </c>
      <c r="M212" s="110" t="s">
        <v>388</v>
      </c>
      <c r="N212" s="110" t="s">
        <v>388</v>
      </c>
      <c r="O212" s="111" t="s">
        <v>397</v>
      </c>
      <c r="P212" s="111" t="s">
        <v>388</v>
      </c>
      <c r="Q212" s="111" t="s">
        <v>388</v>
      </c>
      <c r="R212" s="111" t="s">
        <v>397</v>
      </c>
      <c r="S212" s="111" t="s">
        <v>388</v>
      </c>
      <c r="T212" s="113" t="s">
        <v>941</v>
      </c>
      <c r="U212" s="111" t="s">
        <v>466</v>
      </c>
      <c r="V212" s="114" t="s">
        <v>466</v>
      </c>
      <c r="W212" s="83" t="s">
        <v>399</v>
      </c>
      <c r="X212" s="114" t="s">
        <v>390</v>
      </c>
      <c r="Y212" s="114" t="s">
        <v>470</v>
      </c>
      <c r="Z212" s="114" t="s">
        <v>392</v>
      </c>
      <c r="AA212" t="s">
        <v>401</v>
      </c>
      <c r="AB212" t="s">
        <v>381</v>
      </c>
      <c r="AC212" t="s">
        <v>656</v>
      </c>
      <c r="AE212" t="s">
        <v>342</v>
      </c>
    </row>
    <row r="213" spans="1:31" x14ac:dyDescent="0.25">
      <c r="A213" s="74">
        <v>35859</v>
      </c>
      <c r="B213" s="74" t="s">
        <v>942</v>
      </c>
      <c r="C213" s="74" t="s">
        <v>943</v>
      </c>
      <c r="D213" s="108" t="s">
        <v>397</v>
      </c>
      <c r="E213" s="108" t="s">
        <v>388</v>
      </c>
      <c r="F213" s="108" t="s">
        <v>388</v>
      </c>
      <c r="G213" s="108" t="s">
        <v>388</v>
      </c>
      <c r="H213" s="108" t="s">
        <v>397</v>
      </c>
      <c r="I213" s="109" t="s">
        <v>397</v>
      </c>
      <c r="J213" s="110" t="s">
        <v>388</v>
      </c>
      <c r="K213" s="110" t="s">
        <v>388</v>
      </c>
      <c r="L213" s="110" t="s">
        <v>388</v>
      </c>
      <c r="M213" s="110" t="s">
        <v>388</v>
      </c>
      <c r="N213" s="110" t="s">
        <v>388</v>
      </c>
      <c r="O213" s="111" t="s">
        <v>397</v>
      </c>
      <c r="P213" s="111" t="s">
        <v>388</v>
      </c>
      <c r="Q213" s="111" t="s">
        <v>388</v>
      </c>
      <c r="R213" s="111" t="s">
        <v>397</v>
      </c>
      <c r="S213" s="111" t="s">
        <v>397</v>
      </c>
      <c r="T213" s="113" t="s">
        <v>944</v>
      </c>
      <c r="U213" s="111" t="s">
        <v>466</v>
      </c>
      <c r="V213" s="114" t="s">
        <v>466</v>
      </c>
      <c r="W213" s="83" t="s">
        <v>399</v>
      </c>
      <c r="X213" s="114" t="s">
        <v>390</v>
      </c>
      <c r="Y213" s="114" t="s">
        <v>474</v>
      </c>
      <c r="Z213" s="114" t="s">
        <v>392</v>
      </c>
      <c r="AA213" t="s">
        <v>401</v>
      </c>
      <c r="AB213" t="s">
        <v>382</v>
      </c>
      <c r="AC213" t="s">
        <v>660</v>
      </c>
      <c r="AE213" t="s">
        <v>342</v>
      </c>
    </row>
    <row r="214" spans="1:31" x14ac:dyDescent="0.25">
      <c r="A214" s="74">
        <v>35860</v>
      </c>
      <c r="B214" s="74" t="s">
        <v>945</v>
      </c>
      <c r="C214" s="74" t="s">
        <v>946</v>
      </c>
      <c r="D214" s="108" t="s">
        <v>397</v>
      </c>
      <c r="E214" s="108" t="s">
        <v>388</v>
      </c>
      <c r="F214" s="108" t="s">
        <v>388</v>
      </c>
      <c r="G214" s="108" t="s">
        <v>388</v>
      </c>
      <c r="H214" s="108" t="s">
        <v>397</v>
      </c>
      <c r="I214" s="109" t="s">
        <v>397</v>
      </c>
      <c r="J214" s="110" t="s">
        <v>388</v>
      </c>
      <c r="K214" s="110" t="s">
        <v>388</v>
      </c>
      <c r="L214" s="110" t="s">
        <v>388</v>
      </c>
      <c r="M214" s="110" t="s">
        <v>388</v>
      </c>
      <c r="N214" s="110" t="s">
        <v>388</v>
      </c>
      <c r="O214" s="111" t="s">
        <v>397</v>
      </c>
      <c r="P214" s="111" t="s">
        <v>388</v>
      </c>
      <c r="Q214" s="111" t="s">
        <v>397</v>
      </c>
      <c r="R214" s="111" t="s">
        <v>388</v>
      </c>
      <c r="S214" s="111" t="s">
        <v>388</v>
      </c>
      <c r="T214" s="113" t="s">
        <v>763</v>
      </c>
      <c r="U214" s="111" t="s">
        <v>466</v>
      </c>
      <c r="V214" s="114" t="s">
        <v>466</v>
      </c>
      <c r="W214" s="83" t="s">
        <v>399</v>
      </c>
      <c r="X214" s="114" t="s">
        <v>390</v>
      </c>
      <c r="Y214" s="114" t="s">
        <v>479</v>
      </c>
      <c r="Z214" s="114" t="s">
        <v>392</v>
      </c>
      <c r="AA214" t="s">
        <v>401</v>
      </c>
      <c r="AB214" t="s">
        <v>374</v>
      </c>
      <c r="AC214" t="s">
        <v>663</v>
      </c>
      <c r="AE214" t="s">
        <v>342</v>
      </c>
    </row>
    <row r="215" spans="1:31" x14ac:dyDescent="0.25">
      <c r="A215" s="74">
        <v>35861</v>
      </c>
      <c r="B215" s="74" t="s">
        <v>947</v>
      </c>
      <c r="C215" s="74" t="s">
        <v>948</v>
      </c>
      <c r="D215" s="108" t="s">
        <v>397</v>
      </c>
      <c r="E215" s="108" t="s">
        <v>388</v>
      </c>
      <c r="F215" s="108" t="s">
        <v>388</v>
      </c>
      <c r="G215" s="108" t="s">
        <v>388</v>
      </c>
      <c r="H215" s="108" t="s">
        <v>397</v>
      </c>
      <c r="I215" s="109" t="s">
        <v>397</v>
      </c>
      <c r="J215" s="110" t="s">
        <v>388</v>
      </c>
      <c r="K215" s="110" t="s">
        <v>388</v>
      </c>
      <c r="L215" s="110" t="s">
        <v>388</v>
      </c>
      <c r="M215" s="110" t="s">
        <v>388</v>
      </c>
      <c r="N215" s="110" t="s">
        <v>388</v>
      </c>
      <c r="O215" s="111" t="s">
        <v>397</v>
      </c>
      <c r="P215" s="111" t="s">
        <v>388</v>
      </c>
      <c r="Q215" s="111" t="s">
        <v>397</v>
      </c>
      <c r="R215" s="111" t="s">
        <v>388</v>
      </c>
      <c r="S215" s="111" t="s">
        <v>397</v>
      </c>
      <c r="T215" s="113" t="s">
        <v>763</v>
      </c>
      <c r="U215" s="111" t="s">
        <v>466</v>
      </c>
      <c r="V215" s="114" t="s">
        <v>466</v>
      </c>
      <c r="W215" s="83" t="s">
        <v>399</v>
      </c>
      <c r="X215" s="114" t="s">
        <v>390</v>
      </c>
      <c r="Y215" s="114" t="s">
        <v>483</v>
      </c>
      <c r="Z215" s="114" t="s">
        <v>392</v>
      </c>
      <c r="AA215" t="s">
        <v>401</v>
      </c>
      <c r="AB215" t="s">
        <v>374</v>
      </c>
      <c r="AC215" t="s">
        <v>666</v>
      </c>
      <c r="AE215" t="s">
        <v>342</v>
      </c>
    </row>
    <row r="216" spans="1:31" x14ac:dyDescent="0.25">
      <c r="A216" s="74">
        <v>35862</v>
      </c>
      <c r="B216" s="74" t="s">
        <v>949</v>
      </c>
      <c r="C216" s="74" t="s">
        <v>950</v>
      </c>
      <c r="D216" s="108" t="s">
        <v>397</v>
      </c>
      <c r="E216" s="108" t="s">
        <v>388</v>
      </c>
      <c r="F216" s="108" t="s">
        <v>388</v>
      </c>
      <c r="G216" s="108" t="s">
        <v>388</v>
      </c>
      <c r="H216" s="108" t="s">
        <v>397</v>
      </c>
      <c r="I216" s="109" t="s">
        <v>397</v>
      </c>
      <c r="J216" s="110" t="s">
        <v>388</v>
      </c>
      <c r="K216" s="110" t="s">
        <v>388</v>
      </c>
      <c r="L216" s="110" t="s">
        <v>388</v>
      </c>
      <c r="M216" s="110" t="s">
        <v>388</v>
      </c>
      <c r="N216" s="110" t="s">
        <v>388</v>
      </c>
      <c r="O216" s="111" t="s">
        <v>397</v>
      </c>
      <c r="P216" s="111" t="s">
        <v>388</v>
      </c>
      <c r="Q216" s="111" t="s">
        <v>397</v>
      </c>
      <c r="R216" s="111" t="s">
        <v>397</v>
      </c>
      <c r="S216" s="111" t="s">
        <v>388</v>
      </c>
      <c r="T216" s="113" t="s">
        <v>763</v>
      </c>
      <c r="U216" s="111" t="s">
        <v>466</v>
      </c>
      <c r="V216" s="114" t="s">
        <v>466</v>
      </c>
      <c r="W216" s="83" t="s">
        <v>399</v>
      </c>
      <c r="X216" s="114" t="s">
        <v>390</v>
      </c>
      <c r="Y216" s="114" t="s">
        <v>487</v>
      </c>
      <c r="Z216" s="114" t="s">
        <v>392</v>
      </c>
      <c r="AA216" t="s">
        <v>401</v>
      </c>
      <c r="AB216" t="s">
        <v>374</v>
      </c>
      <c r="AC216" t="s">
        <v>669</v>
      </c>
      <c r="AE216" t="s">
        <v>342</v>
      </c>
    </row>
    <row r="217" spans="1:31" x14ac:dyDescent="0.25">
      <c r="A217" s="74">
        <v>35863</v>
      </c>
      <c r="B217" s="74" t="s">
        <v>951</v>
      </c>
      <c r="C217" s="74" t="s">
        <v>952</v>
      </c>
      <c r="D217" s="108" t="s">
        <v>397</v>
      </c>
      <c r="E217" s="108" t="s">
        <v>388</v>
      </c>
      <c r="F217" s="108" t="s">
        <v>388</v>
      </c>
      <c r="G217" s="108" t="s">
        <v>388</v>
      </c>
      <c r="H217" s="108" t="s">
        <v>397</v>
      </c>
      <c r="I217" s="109" t="s">
        <v>397</v>
      </c>
      <c r="J217" s="110" t="s">
        <v>388</v>
      </c>
      <c r="K217" s="110" t="s">
        <v>388</v>
      </c>
      <c r="L217" s="110" t="s">
        <v>388</v>
      </c>
      <c r="M217" s="110" t="s">
        <v>388</v>
      </c>
      <c r="N217" s="110" t="s">
        <v>388</v>
      </c>
      <c r="O217" s="111" t="s">
        <v>397</v>
      </c>
      <c r="P217" s="111" t="s">
        <v>388</v>
      </c>
      <c r="Q217" s="111" t="s">
        <v>397</v>
      </c>
      <c r="R217" s="111" t="s">
        <v>397</v>
      </c>
      <c r="S217" s="111" t="s">
        <v>397</v>
      </c>
      <c r="T217" s="113" t="s">
        <v>763</v>
      </c>
      <c r="U217" s="111" t="s">
        <v>466</v>
      </c>
      <c r="V217" s="114" t="s">
        <v>466</v>
      </c>
      <c r="W217" s="83" t="s">
        <v>399</v>
      </c>
      <c r="X217" s="114" t="s">
        <v>390</v>
      </c>
      <c r="Y217" s="114" t="s">
        <v>491</v>
      </c>
      <c r="Z217" s="114" t="s">
        <v>392</v>
      </c>
      <c r="AA217" t="s">
        <v>401</v>
      </c>
      <c r="AB217" t="s">
        <v>374</v>
      </c>
      <c r="AC217" t="s">
        <v>672</v>
      </c>
      <c r="AE217" t="s">
        <v>342</v>
      </c>
    </row>
    <row r="218" spans="1:31" x14ac:dyDescent="0.25">
      <c r="A218" s="74">
        <v>35864</v>
      </c>
      <c r="B218" s="74" t="s">
        <v>953</v>
      </c>
      <c r="C218" s="74" t="s">
        <v>954</v>
      </c>
      <c r="D218" s="108" t="s">
        <v>397</v>
      </c>
      <c r="E218" s="108" t="s">
        <v>388</v>
      </c>
      <c r="F218" s="108" t="s">
        <v>388</v>
      </c>
      <c r="G218" s="108" t="s">
        <v>388</v>
      </c>
      <c r="H218" s="108" t="s">
        <v>397</v>
      </c>
      <c r="I218" s="109" t="s">
        <v>397</v>
      </c>
      <c r="J218" s="110" t="s">
        <v>388</v>
      </c>
      <c r="K218" s="110" t="s">
        <v>388</v>
      </c>
      <c r="L218" s="110" t="s">
        <v>388</v>
      </c>
      <c r="M218" s="110" t="s">
        <v>388</v>
      </c>
      <c r="N218" s="110" t="s">
        <v>388</v>
      </c>
      <c r="O218" s="111" t="s">
        <v>397</v>
      </c>
      <c r="P218" s="111" t="s">
        <v>397</v>
      </c>
      <c r="Q218" s="111" t="s">
        <v>388</v>
      </c>
      <c r="R218" s="111" t="s">
        <v>388</v>
      </c>
      <c r="S218" s="111" t="s">
        <v>388</v>
      </c>
      <c r="T218" s="113" t="s">
        <v>763</v>
      </c>
      <c r="U218" s="111" t="s">
        <v>466</v>
      </c>
      <c r="V218" s="114" t="s">
        <v>466</v>
      </c>
      <c r="W218" s="83" t="s">
        <v>399</v>
      </c>
      <c r="X218" s="114" t="s">
        <v>390</v>
      </c>
      <c r="Y218" s="114" t="s">
        <v>495</v>
      </c>
      <c r="Z218" s="114" t="s">
        <v>392</v>
      </c>
      <c r="AA218" t="s">
        <v>401</v>
      </c>
      <c r="AB218" t="s">
        <v>374</v>
      </c>
      <c r="AC218" t="s">
        <v>675</v>
      </c>
      <c r="AE218" t="s">
        <v>342</v>
      </c>
    </row>
    <row r="219" spans="1:31" x14ac:dyDescent="0.25">
      <c r="A219" s="74">
        <v>35865</v>
      </c>
      <c r="B219" s="74" t="s">
        <v>955</v>
      </c>
      <c r="C219" s="74" t="s">
        <v>956</v>
      </c>
      <c r="D219" s="108" t="s">
        <v>397</v>
      </c>
      <c r="E219" s="108" t="s">
        <v>388</v>
      </c>
      <c r="F219" s="108" t="s">
        <v>388</v>
      </c>
      <c r="G219" s="108" t="s">
        <v>388</v>
      </c>
      <c r="H219" s="108" t="s">
        <v>397</v>
      </c>
      <c r="I219" s="109" t="s">
        <v>397</v>
      </c>
      <c r="J219" s="110" t="s">
        <v>388</v>
      </c>
      <c r="K219" s="110" t="s">
        <v>388</v>
      </c>
      <c r="L219" s="110" t="s">
        <v>388</v>
      </c>
      <c r="M219" s="110" t="s">
        <v>388</v>
      </c>
      <c r="N219" s="110" t="s">
        <v>388</v>
      </c>
      <c r="O219" s="111" t="s">
        <v>397</v>
      </c>
      <c r="P219" s="111" t="s">
        <v>397</v>
      </c>
      <c r="Q219" s="111" t="s">
        <v>388</v>
      </c>
      <c r="R219" s="111" t="s">
        <v>388</v>
      </c>
      <c r="S219" s="111" t="s">
        <v>397</v>
      </c>
      <c r="T219" s="113" t="s">
        <v>763</v>
      </c>
      <c r="U219" s="111" t="s">
        <v>466</v>
      </c>
      <c r="V219" s="114" t="s">
        <v>466</v>
      </c>
      <c r="W219" s="83" t="s">
        <v>399</v>
      </c>
      <c r="X219" s="114" t="s">
        <v>390</v>
      </c>
      <c r="Y219" s="114" t="s">
        <v>499</v>
      </c>
      <c r="Z219" s="114" t="s">
        <v>392</v>
      </c>
      <c r="AA219" t="s">
        <v>401</v>
      </c>
      <c r="AB219" t="s">
        <v>374</v>
      </c>
      <c r="AC219" t="s">
        <v>678</v>
      </c>
      <c r="AE219" t="s">
        <v>342</v>
      </c>
    </row>
    <row r="220" spans="1:31" x14ac:dyDescent="0.25">
      <c r="A220" s="74">
        <v>35866</v>
      </c>
      <c r="B220" s="74" t="s">
        <v>957</v>
      </c>
      <c r="C220" s="74" t="s">
        <v>958</v>
      </c>
      <c r="D220" s="108" t="s">
        <v>397</v>
      </c>
      <c r="E220" s="108" t="s">
        <v>388</v>
      </c>
      <c r="F220" s="108" t="s">
        <v>388</v>
      </c>
      <c r="G220" s="108" t="s">
        <v>388</v>
      </c>
      <c r="H220" s="108" t="s">
        <v>397</v>
      </c>
      <c r="I220" s="109" t="s">
        <v>397</v>
      </c>
      <c r="J220" s="110" t="s">
        <v>388</v>
      </c>
      <c r="K220" s="110" t="s">
        <v>388</v>
      </c>
      <c r="L220" s="110" t="s">
        <v>388</v>
      </c>
      <c r="M220" s="110" t="s">
        <v>388</v>
      </c>
      <c r="N220" s="110" t="s">
        <v>388</v>
      </c>
      <c r="O220" s="111" t="s">
        <v>397</v>
      </c>
      <c r="P220" s="111" t="s">
        <v>397</v>
      </c>
      <c r="Q220" s="111" t="s">
        <v>388</v>
      </c>
      <c r="R220" s="111" t="s">
        <v>397</v>
      </c>
      <c r="S220" s="111" t="s">
        <v>388</v>
      </c>
      <c r="T220" s="113" t="s">
        <v>763</v>
      </c>
      <c r="U220" s="111" t="s">
        <v>466</v>
      </c>
      <c r="V220" s="114" t="s">
        <v>466</v>
      </c>
      <c r="W220" s="83" t="s">
        <v>399</v>
      </c>
      <c r="X220" s="114" t="s">
        <v>390</v>
      </c>
      <c r="Y220" s="114" t="s">
        <v>503</v>
      </c>
      <c r="Z220" s="114" t="s">
        <v>392</v>
      </c>
      <c r="AA220" t="s">
        <v>401</v>
      </c>
      <c r="AB220" t="s">
        <v>374</v>
      </c>
      <c r="AC220" t="s">
        <v>681</v>
      </c>
      <c r="AE220" t="s">
        <v>342</v>
      </c>
    </row>
    <row r="221" spans="1:31" x14ac:dyDescent="0.25">
      <c r="A221" s="74">
        <v>35867</v>
      </c>
      <c r="B221" s="74" t="s">
        <v>959</v>
      </c>
      <c r="C221" s="74" t="s">
        <v>960</v>
      </c>
      <c r="D221" s="108" t="s">
        <v>397</v>
      </c>
      <c r="E221" s="108" t="s">
        <v>388</v>
      </c>
      <c r="F221" s="108" t="s">
        <v>388</v>
      </c>
      <c r="G221" s="108" t="s">
        <v>388</v>
      </c>
      <c r="H221" s="108" t="s">
        <v>397</v>
      </c>
      <c r="I221" s="109" t="s">
        <v>397</v>
      </c>
      <c r="J221" s="110" t="s">
        <v>388</v>
      </c>
      <c r="K221" s="110" t="s">
        <v>388</v>
      </c>
      <c r="L221" s="110" t="s">
        <v>388</v>
      </c>
      <c r="M221" s="110" t="s">
        <v>388</v>
      </c>
      <c r="N221" s="110" t="s">
        <v>388</v>
      </c>
      <c r="O221" s="111" t="s">
        <v>397</v>
      </c>
      <c r="P221" s="111" t="s">
        <v>397</v>
      </c>
      <c r="Q221" s="111" t="s">
        <v>388</v>
      </c>
      <c r="R221" s="111" t="s">
        <v>397</v>
      </c>
      <c r="S221" s="111" t="s">
        <v>397</v>
      </c>
      <c r="T221" s="113" t="s">
        <v>763</v>
      </c>
      <c r="U221" s="111" t="s">
        <v>466</v>
      </c>
      <c r="V221" s="114" t="s">
        <v>466</v>
      </c>
      <c r="W221" s="83" t="s">
        <v>399</v>
      </c>
      <c r="X221" s="114" t="s">
        <v>390</v>
      </c>
      <c r="Y221" s="114" t="s">
        <v>507</v>
      </c>
      <c r="Z221" s="114" t="s">
        <v>392</v>
      </c>
      <c r="AA221" t="s">
        <v>401</v>
      </c>
      <c r="AB221" t="s">
        <v>374</v>
      </c>
      <c r="AC221" t="s">
        <v>684</v>
      </c>
      <c r="AE221" t="s">
        <v>342</v>
      </c>
    </row>
    <row r="222" spans="1:31" x14ac:dyDescent="0.25">
      <c r="A222" s="74">
        <v>35868</v>
      </c>
      <c r="B222" s="74" t="s">
        <v>961</v>
      </c>
      <c r="C222" s="74" t="s">
        <v>962</v>
      </c>
      <c r="D222" s="108" t="s">
        <v>397</v>
      </c>
      <c r="E222" s="108" t="s">
        <v>388</v>
      </c>
      <c r="F222" s="108" t="s">
        <v>388</v>
      </c>
      <c r="G222" s="108" t="s">
        <v>388</v>
      </c>
      <c r="H222" s="108" t="s">
        <v>397</v>
      </c>
      <c r="I222" s="109" t="s">
        <v>397</v>
      </c>
      <c r="J222" s="110" t="s">
        <v>388</v>
      </c>
      <c r="K222" s="110" t="s">
        <v>388</v>
      </c>
      <c r="L222" s="110" t="s">
        <v>388</v>
      </c>
      <c r="M222" s="110" t="s">
        <v>388</v>
      </c>
      <c r="N222" s="110" t="s">
        <v>388</v>
      </c>
      <c r="O222" s="111" t="s">
        <v>397</v>
      </c>
      <c r="P222" s="111" t="s">
        <v>397</v>
      </c>
      <c r="Q222" s="111" t="s">
        <v>397</v>
      </c>
      <c r="R222" s="111" t="s">
        <v>388</v>
      </c>
      <c r="S222" s="111" t="s">
        <v>388</v>
      </c>
      <c r="T222" s="113" t="s">
        <v>763</v>
      </c>
      <c r="U222" s="111" t="s">
        <v>466</v>
      </c>
      <c r="V222" s="114" t="s">
        <v>466</v>
      </c>
      <c r="W222" s="83" t="s">
        <v>399</v>
      </c>
      <c r="X222" s="114" t="s">
        <v>390</v>
      </c>
      <c r="Y222" s="114" t="s">
        <v>511</v>
      </c>
      <c r="Z222" s="114" t="s">
        <v>392</v>
      </c>
      <c r="AA222" t="s">
        <v>401</v>
      </c>
      <c r="AB222" t="s">
        <v>374</v>
      </c>
      <c r="AC222" t="s">
        <v>687</v>
      </c>
      <c r="AE222" t="s">
        <v>342</v>
      </c>
    </row>
    <row r="223" spans="1:31" x14ac:dyDescent="0.25">
      <c r="A223" s="74">
        <v>35869</v>
      </c>
      <c r="B223" s="74" t="s">
        <v>963</v>
      </c>
      <c r="C223" s="74" t="s">
        <v>964</v>
      </c>
      <c r="D223" s="108" t="s">
        <v>397</v>
      </c>
      <c r="E223" s="108" t="s">
        <v>388</v>
      </c>
      <c r="F223" s="108" t="s">
        <v>388</v>
      </c>
      <c r="G223" s="108" t="s">
        <v>388</v>
      </c>
      <c r="H223" s="108" t="s">
        <v>397</v>
      </c>
      <c r="I223" s="109" t="s">
        <v>397</v>
      </c>
      <c r="J223" s="110" t="s">
        <v>388</v>
      </c>
      <c r="K223" s="110" t="s">
        <v>388</v>
      </c>
      <c r="L223" s="110" t="s">
        <v>388</v>
      </c>
      <c r="M223" s="110" t="s">
        <v>388</v>
      </c>
      <c r="N223" s="110" t="s">
        <v>388</v>
      </c>
      <c r="O223" s="111" t="s">
        <v>397</v>
      </c>
      <c r="P223" s="111" t="s">
        <v>397</v>
      </c>
      <c r="Q223" s="111" t="s">
        <v>397</v>
      </c>
      <c r="R223" s="111" t="s">
        <v>388</v>
      </c>
      <c r="S223" s="111" t="s">
        <v>397</v>
      </c>
      <c r="T223" s="113" t="s">
        <v>763</v>
      </c>
      <c r="U223" s="111" t="s">
        <v>466</v>
      </c>
      <c r="V223" s="114" t="s">
        <v>466</v>
      </c>
      <c r="W223" s="83" t="s">
        <v>399</v>
      </c>
      <c r="X223" s="114" t="s">
        <v>390</v>
      </c>
      <c r="Y223" s="114" t="s">
        <v>515</v>
      </c>
      <c r="Z223" s="114" t="s">
        <v>392</v>
      </c>
      <c r="AA223" t="s">
        <v>401</v>
      </c>
      <c r="AB223" t="s">
        <v>374</v>
      </c>
      <c r="AC223" t="s">
        <v>690</v>
      </c>
      <c r="AE223" t="s">
        <v>342</v>
      </c>
    </row>
    <row r="224" spans="1:31" x14ac:dyDescent="0.25">
      <c r="A224" s="74">
        <v>35870</v>
      </c>
      <c r="B224" s="74" t="s">
        <v>965</v>
      </c>
      <c r="C224" s="74" t="s">
        <v>966</v>
      </c>
      <c r="D224" s="108" t="s">
        <v>397</v>
      </c>
      <c r="E224" s="108" t="s">
        <v>388</v>
      </c>
      <c r="F224" s="108" t="s">
        <v>388</v>
      </c>
      <c r="G224" s="108" t="s">
        <v>388</v>
      </c>
      <c r="H224" s="108" t="s">
        <v>397</v>
      </c>
      <c r="I224" s="109" t="s">
        <v>397</v>
      </c>
      <c r="J224" s="110" t="s">
        <v>388</v>
      </c>
      <c r="K224" s="110" t="s">
        <v>388</v>
      </c>
      <c r="L224" s="110" t="s">
        <v>388</v>
      </c>
      <c r="M224" s="110" t="s">
        <v>388</v>
      </c>
      <c r="N224" s="110" t="s">
        <v>388</v>
      </c>
      <c r="O224" s="111" t="s">
        <v>397</v>
      </c>
      <c r="P224" s="111" t="s">
        <v>397</v>
      </c>
      <c r="Q224" s="111" t="s">
        <v>397</v>
      </c>
      <c r="R224" s="111" t="s">
        <v>397</v>
      </c>
      <c r="S224" s="111" t="s">
        <v>388</v>
      </c>
      <c r="T224" s="113" t="s">
        <v>763</v>
      </c>
      <c r="U224" s="111" t="s">
        <v>466</v>
      </c>
      <c r="V224" s="114" t="s">
        <v>466</v>
      </c>
      <c r="W224" s="83" t="s">
        <v>399</v>
      </c>
      <c r="X224" s="114" t="s">
        <v>390</v>
      </c>
      <c r="Y224" s="114" t="s">
        <v>519</v>
      </c>
      <c r="Z224" s="114" t="s">
        <v>392</v>
      </c>
      <c r="AA224" t="s">
        <v>401</v>
      </c>
      <c r="AB224" t="s">
        <v>374</v>
      </c>
      <c r="AC224" t="s">
        <v>693</v>
      </c>
      <c r="AE224" t="s">
        <v>342</v>
      </c>
    </row>
    <row r="225" spans="1:31" x14ac:dyDescent="0.25">
      <c r="A225" s="74">
        <v>35871</v>
      </c>
      <c r="B225" s="74" t="s">
        <v>967</v>
      </c>
      <c r="C225" s="74" t="s">
        <v>968</v>
      </c>
      <c r="D225" s="108" t="s">
        <v>397</v>
      </c>
      <c r="E225" s="108" t="s">
        <v>388</v>
      </c>
      <c r="F225" s="108" t="s">
        <v>388</v>
      </c>
      <c r="G225" s="108" t="s">
        <v>388</v>
      </c>
      <c r="H225" s="108" t="s">
        <v>397</v>
      </c>
      <c r="I225" s="109" t="s">
        <v>397</v>
      </c>
      <c r="J225" s="110" t="s">
        <v>388</v>
      </c>
      <c r="K225" s="110" t="s">
        <v>388</v>
      </c>
      <c r="L225" s="110" t="s">
        <v>388</v>
      </c>
      <c r="M225" s="110" t="s">
        <v>388</v>
      </c>
      <c r="N225" s="110" t="s">
        <v>388</v>
      </c>
      <c r="O225" s="111" t="s">
        <v>397</v>
      </c>
      <c r="P225" s="111" t="s">
        <v>397</v>
      </c>
      <c r="Q225" s="111" t="s">
        <v>397</v>
      </c>
      <c r="R225" s="111" t="s">
        <v>397</v>
      </c>
      <c r="S225" s="111" t="s">
        <v>397</v>
      </c>
      <c r="T225" s="113" t="s">
        <v>763</v>
      </c>
      <c r="U225" s="111" t="s">
        <v>466</v>
      </c>
      <c r="V225" s="114" t="s">
        <v>466</v>
      </c>
      <c r="W225" s="83" t="s">
        <v>399</v>
      </c>
      <c r="X225" s="114" t="s">
        <v>390</v>
      </c>
      <c r="Y225" s="114" t="s">
        <v>523</v>
      </c>
      <c r="Z225" s="114" t="s">
        <v>392</v>
      </c>
      <c r="AA225" t="s">
        <v>401</v>
      </c>
      <c r="AB225" t="s">
        <v>374</v>
      </c>
      <c r="AC225" t="s">
        <v>696</v>
      </c>
      <c r="AE225" t="s">
        <v>342</v>
      </c>
    </row>
    <row r="226" spans="1:31" x14ac:dyDescent="0.25">
      <c r="A226" s="74">
        <v>36832</v>
      </c>
      <c r="B226" s="74" t="s">
        <v>969</v>
      </c>
      <c r="C226" s="74" t="s">
        <v>970</v>
      </c>
      <c r="D226" s="108" t="s">
        <v>397</v>
      </c>
      <c r="E226" s="108" t="s">
        <v>388</v>
      </c>
      <c r="F226" s="108" t="s">
        <v>388</v>
      </c>
      <c r="G226" s="108" t="s">
        <v>388</v>
      </c>
      <c r="H226" s="108" t="s">
        <v>397</v>
      </c>
      <c r="I226" s="109" t="s">
        <v>397</v>
      </c>
      <c r="J226" s="110" t="s">
        <v>397</v>
      </c>
      <c r="K226" s="110" t="s">
        <v>397</v>
      </c>
      <c r="L226" s="110" t="s">
        <v>397</v>
      </c>
      <c r="M226" s="110" t="s">
        <v>397</v>
      </c>
      <c r="N226" s="110" t="s">
        <v>397</v>
      </c>
      <c r="O226" s="111" t="s">
        <v>388</v>
      </c>
      <c r="P226" s="111" t="s">
        <v>388</v>
      </c>
      <c r="Q226" s="111" t="s">
        <v>388</v>
      </c>
      <c r="R226" s="111" t="s">
        <v>388</v>
      </c>
      <c r="S226" s="111" t="s">
        <v>388</v>
      </c>
      <c r="T226" s="113" t="s">
        <v>895</v>
      </c>
      <c r="U226" s="111" t="s">
        <v>466</v>
      </c>
      <c r="V226" s="114" t="s">
        <v>466</v>
      </c>
      <c r="W226" s="83" t="s">
        <v>399</v>
      </c>
      <c r="X226" s="114" t="s">
        <v>523</v>
      </c>
      <c r="Y226" s="114" t="s">
        <v>390</v>
      </c>
      <c r="Z226" s="114" t="s">
        <v>392</v>
      </c>
      <c r="AA226" t="s">
        <v>401</v>
      </c>
      <c r="AB226" t="s">
        <v>348</v>
      </c>
      <c r="AC226" t="s">
        <v>592</v>
      </c>
      <c r="AE226" t="s">
        <v>342</v>
      </c>
    </row>
    <row r="227" spans="1:31" x14ac:dyDescent="0.25">
      <c r="A227" s="74">
        <v>36833</v>
      </c>
      <c r="B227" s="74" t="s">
        <v>971</v>
      </c>
      <c r="C227" s="74" t="s">
        <v>972</v>
      </c>
      <c r="D227" s="108" t="s">
        <v>397</v>
      </c>
      <c r="E227" s="108" t="s">
        <v>388</v>
      </c>
      <c r="F227" s="108" t="s">
        <v>388</v>
      </c>
      <c r="G227" s="108" t="s">
        <v>388</v>
      </c>
      <c r="H227" s="108" t="s">
        <v>397</v>
      </c>
      <c r="I227" s="109" t="s">
        <v>397</v>
      </c>
      <c r="J227" s="110" t="s">
        <v>397</v>
      </c>
      <c r="K227" s="110" t="s">
        <v>397</v>
      </c>
      <c r="L227" s="110" t="s">
        <v>397</v>
      </c>
      <c r="M227" s="110" t="s">
        <v>397</v>
      </c>
      <c r="N227" s="110" t="s">
        <v>397</v>
      </c>
      <c r="O227" s="111" t="s">
        <v>388</v>
      </c>
      <c r="P227" s="111" t="s">
        <v>388</v>
      </c>
      <c r="Q227" s="111" t="s">
        <v>388</v>
      </c>
      <c r="R227" s="111" t="s">
        <v>388</v>
      </c>
      <c r="S227" s="111" t="s">
        <v>397</v>
      </c>
      <c r="T227" s="113" t="s">
        <v>898</v>
      </c>
      <c r="U227" s="111" t="s">
        <v>466</v>
      </c>
      <c r="V227" s="114" t="s">
        <v>466</v>
      </c>
      <c r="W227" s="83" t="s">
        <v>399</v>
      </c>
      <c r="X227" s="114" t="s">
        <v>523</v>
      </c>
      <c r="Y227" s="114" t="s">
        <v>400</v>
      </c>
      <c r="Z227" s="114" t="s">
        <v>392</v>
      </c>
      <c r="AA227" t="s">
        <v>401</v>
      </c>
      <c r="AB227" t="s">
        <v>204</v>
      </c>
      <c r="AC227" t="s">
        <v>596</v>
      </c>
      <c r="AE227" t="s">
        <v>342</v>
      </c>
    </row>
    <row r="228" spans="1:31" x14ac:dyDescent="0.25">
      <c r="A228" s="74">
        <v>36834</v>
      </c>
      <c r="B228" s="74" t="s">
        <v>973</v>
      </c>
      <c r="C228" s="74" t="s">
        <v>974</v>
      </c>
      <c r="D228" s="108" t="s">
        <v>397</v>
      </c>
      <c r="E228" s="108" t="s">
        <v>388</v>
      </c>
      <c r="F228" s="108" t="s">
        <v>388</v>
      </c>
      <c r="G228" s="108" t="s">
        <v>388</v>
      </c>
      <c r="H228" s="108" t="s">
        <v>397</v>
      </c>
      <c r="I228" s="109" t="s">
        <v>397</v>
      </c>
      <c r="J228" s="110" t="s">
        <v>397</v>
      </c>
      <c r="K228" s="110" t="s">
        <v>397</v>
      </c>
      <c r="L228" s="110" t="s">
        <v>397</v>
      </c>
      <c r="M228" s="110" t="s">
        <v>397</v>
      </c>
      <c r="N228" s="110" t="s">
        <v>397</v>
      </c>
      <c r="O228" s="111" t="s">
        <v>388</v>
      </c>
      <c r="P228" s="111" t="s">
        <v>388</v>
      </c>
      <c r="Q228" s="111" t="s">
        <v>388</v>
      </c>
      <c r="R228" s="111" t="s">
        <v>397</v>
      </c>
      <c r="S228" s="111" t="s">
        <v>388</v>
      </c>
      <c r="T228" s="113" t="s">
        <v>901</v>
      </c>
      <c r="U228" s="111" t="s">
        <v>466</v>
      </c>
      <c r="V228" s="114" t="s">
        <v>466</v>
      </c>
      <c r="W228" s="83" t="s">
        <v>399</v>
      </c>
      <c r="X228" s="114" t="s">
        <v>523</v>
      </c>
      <c r="Y228" s="114" t="s">
        <v>405</v>
      </c>
      <c r="Z228" s="114" t="s">
        <v>392</v>
      </c>
      <c r="AA228" t="s">
        <v>401</v>
      </c>
      <c r="AB228" t="s">
        <v>375</v>
      </c>
      <c r="AC228" t="s">
        <v>600</v>
      </c>
      <c r="AE228" t="s">
        <v>342</v>
      </c>
    </row>
    <row r="229" spans="1:31" x14ac:dyDescent="0.25">
      <c r="A229" s="74">
        <v>36835</v>
      </c>
      <c r="B229" s="74" t="s">
        <v>975</v>
      </c>
      <c r="C229" s="74" t="s">
        <v>976</v>
      </c>
      <c r="D229" s="108" t="s">
        <v>397</v>
      </c>
      <c r="E229" s="108" t="s">
        <v>388</v>
      </c>
      <c r="F229" s="108" t="s">
        <v>388</v>
      </c>
      <c r="G229" s="108" t="s">
        <v>388</v>
      </c>
      <c r="H229" s="108" t="s">
        <v>397</v>
      </c>
      <c r="I229" s="109" t="s">
        <v>397</v>
      </c>
      <c r="J229" s="110" t="s">
        <v>397</v>
      </c>
      <c r="K229" s="110" t="s">
        <v>397</v>
      </c>
      <c r="L229" s="110" t="s">
        <v>397</v>
      </c>
      <c r="M229" s="110" t="s">
        <v>397</v>
      </c>
      <c r="N229" s="110" t="s">
        <v>397</v>
      </c>
      <c r="O229" s="111" t="s">
        <v>388</v>
      </c>
      <c r="P229" s="111" t="s">
        <v>388</v>
      </c>
      <c r="Q229" s="111" t="s">
        <v>388</v>
      </c>
      <c r="R229" s="111" t="s">
        <v>397</v>
      </c>
      <c r="S229" s="111" t="s">
        <v>397</v>
      </c>
      <c r="T229" s="113" t="s">
        <v>904</v>
      </c>
      <c r="U229" s="111" t="s">
        <v>466</v>
      </c>
      <c r="V229" s="114" t="s">
        <v>466</v>
      </c>
      <c r="W229" s="83" t="s">
        <v>399</v>
      </c>
      <c r="X229" s="114" t="s">
        <v>523</v>
      </c>
      <c r="Y229" s="114" t="s">
        <v>409</v>
      </c>
      <c r="Z229" s="114" t="s">
        <v>392</v>
      </c>
      <c r="AA229" t="s">
        <v>401</v>
      </c>
      <c r="AB229" t="s">
        <v>376</v>
      </c>
      <c r="AC229" t="s">
        <v>604</v>
      </c>
      <c r="AE229" t="s">
        <v>342</v>
      </c>
    </row>
    <row r="230" spans="1:31" x14ac:dyDescent="0.25">
      <c r="A230" s="74">
        <v>36836</v>
      </c>
      <c r="B230" s="74" t="s">
        <v>977</v>
      </c>
      <c r="C230" s="74" t="s">
        <v>978</v>
      </c>
      <c r="D230" s="108" t="s">
        <v>397</v>
      </c>
      <c r="E230" s="108" t="s">
        <v>388</v>
      </c>
      <c r="F230" s="108" t="s">
        <v>388</v>
      </c>
      <c r="G230" s="108" t="s">
        <v>388</v>
      </c>
      <c r="H230" s="108" t="s">
        <v>397</v>
      </c>
      <c r="I230" s="109" t="s">
        <v>397</v>
      </c>
      <c r="J230" s="110" t="s">
        <v>397</v>
      </c>
      <c r="K230" s="110" t="s">
        <v>397</v>
      </c>
      <c r="L230" s="110" t="s">
        <v>397</v>
      </c>
      <c r="M230" s="110" t="s">
        <v>397</v>
      </c>
      <c r="N230" s="110" t="s">
        <v>397</v>
      </c>
      <c r="O230" s="111" t="s">
        <v>388</v>
      </c>
      <c r="P230" s="111" t="s">
        <v>388</v>
      </c>
      <c r="Q230" s="111" t="s">
        <v>397</v>
      </c>
      <c r="R230" s="111" t="s">
        <v>388</v>
      </c>
      <c r="S230" s="111" t="s">
        <v>388</v>
      </c>
      <c r="T230" s="113" t="s">
        <v>907</v>
      </c>
      <c r="U230" s="111" t="s">
        <v>466</v>
      </c>
      <c r="V230" s="114" t="s">
        <v>466</v>
      </c>
      <c r="W230" s="83" t="s">
        <v>399</v>
      </c>
      <c r="X230" s="114" t="s">
        <v>523</v>
      </c>
      <c r="Y230" s="114" t="s">
        <v>413</v>
      </c>
      <c r="Z230" s="114" t="s">
        <v>392</v>
      </c>
      <c r="AA230" t="s">
        <v>401</v>
      </c>
      <c r="AB230" t="s">
        <v>377</v>
      </c>
      <c r="AC230" t="s">
        <v>608</v>
      </c>
      <c r="AE230" t="s">
        <v>342</v>
      </c>
    </row>
    <row r="231" spans="1:31" x14ac:dyDescent="0.25">
      <c r="A231" s="74">
        <v>36837</v>
      </c>
      <c r="B231" s="74" t="s">
        <v>979</v>
      </c>
      <c r="C231" s="74" t="s">
        <v>980</v>
      </c>
      <c r="D231" s="108" t="s">
        <v>397</v>
      </c>
      <c r="E231" s="108" t="s">
        <v>388</v>
      </c>
      <c r="F231" s="108" t="s">
        <v>388</v>
      </c>
      <c r="G231" s="108" t="s">
        <v>388</v>
      </c>
      <c r="H231" s="108" t="s">
        <v>397</v>
      </c>
      <c r="I231" s="109" t="s">
        <v>397</v>
      </c>
      <c r="J231" s="110" t="s">
        <v>397</v>
      </c>
      <c r="K231" s="110" t="s">
        <v>397</v>
      </c>
      <c r="L231" s="110" t="s">
        <v>397</v>
      </c>
      <c r="M231" s="110" t="s">
        <v>397</v>
      </c>
      <c r="N231" s="110" t="s">
        <v>397</v>
      </c>
      <c r="O231" s="111" t="s">
        <v>388</v>
      </c>
      <c r="P231" s="111" t="s">
        <v>388</v>
      </c>
      <c r="Q231" s="111" t="s">
        <v>397</v>
      </c>
      <c r="R231" s="111" t="s">
        <v>388</v>
      </c>
      <c r="S231" s="111" t="s">
        <v>397</v>
      </c>
      <c r="T231" s="113" t="s">
        <v>910</v>
      </c>
      <c r="U231" s="111" t="s">
        <v>466</v>
      </c>
      <c r="V231" s="114" t="s">
        <v>466</v>
      </c>
      <c r="W231" s="83" t="s">
        <v>399</v>
      </c>
      <c r="X231" s="114" t="s">
        <v>523</v>
      </c>
      <c r="Y231" s="114" t="s">
        <v>417</v>
      </c>
      <c r="Z231" s="114" t="s">
        <v>392</v>
      </c>
      <c r="AA231" t="s">
        <v>401</v>
      </c>
      <c r="AB231" t="s">
        <v>378</v>
      </c>
      <c r="AC231" t="s">
        <v>612</v>
      </c>
      <c r="AE231" t="s">
        <v>342</v>
      </c>
    </row>
    <row r="232" spans="1:31" x14ac:dyDescent="0.25">
      <c r="A232" s="74">
        <v>36838</v>
      </c>
      <c r="B232" s="74" t="s">
        <v>981</v>
      </c>
      <c r="C232" s="74" t="s">
        <v>982</v>
      </c>
      <c r="D232" s="108" t="s">
        <v>397</v>
      </c>
      <c r="E232" s="108" t="s">
        <v>388</v>
      </c>
      <c r="F232" s="108" t="s">
        <v>388</v>
      </c>
      <c r="G232" s="108" t="s">
        <v>388</v>
      </c>
      <c r="H232" s="108" t="s">
        <v>397</v>
      </c>
      <c r="I232" s="109" t="s">
        <v>397</v>
      </c>
      <c r="J232" s="110" t="s">
        <v>397</v>
      </c>
      <c r="K232" s="110" t="s">
        <v>397</v>
      </c>
      <c r="L232" s="110" t="s">
        <v>397</v>
      </c>
      <c r="M232" s="110" t="s">
        <v>397</v>
      </c>
      <c r="N232" s="110" t="s">
        <v>397</v>
      </c>
      <c r="O232" s="111" t="s">
        <v>388</v>
      </c>
      <c r="P232" s="111" t="s">
        <v>388</v>
      </c>
      <c r="Q232" s="111" t="s">
        <v>397</v>
      </c>
      <c r="R232" s="111" t="s">
        <v>397</v>
      </c>
      <c r="S232" s="111" t="s">
        <v>388</v>
      </c>
      <c r="T232" s="113" t="s">
        <v>913</v>
      </c>
      <c r="U232" s="111" t="s">
        <v>466</v>
      </c>
      <c r="V232" s="114" t="s">
        <v>466</v>
      </c>
      <c r="W232" s="83" t="s">
        <v>399</v>
      </c>
      <c r="X232" s="114" t="s">
        <v>523</v>
      </c>
      <c r="Y232" s="114" t="s">
        <v>421</v>
      </c>
      <c r="Z232" s="114" t="s">
        <v>392</v>
      </c>
      <c r="AA232" t="s">
        <v>401</v>
      </c>
      <c r="AB232" t="s">
        <v>379</v>
      </c>
      <c r="AC232" t="s">
        <v>616</v>
      </c>
      <c r="AE232" t="s">
        <v>342</v>
      </c>
    </row>
    <row r="233" spans="1:31" x14ac:dyDescent="0.25">
      <c r="A233" s="74">
        <v>36839</v>
      </c>
      <c r="B233" s="74" t="s">
        <v>983</v>
      </c>
      <c r="C233" s="74" t="s">
        <v>984</v>
      </c>
      <c r="D233" s="108" t="s">
        <v>397</v>
      </c>
      <c r="E233" s="108" t="s">
        <v>388</v>
      </c>
      <c r="F233" s="108" t="s">
        <v>388</v>
      </c>
      <c r="G233" s="108" t="s">
        <v>388</v>
      </c>
      <c r="H233" s="108" t="s">
        <v>397</v>
      </c>
      <c r="I233" s="109" t="s">
        <v>397</v>
      </c>
      <c r="J233" s="110" t="s">
        <v>397</v>
      </c>
      <c r="K233" s="110" t="s">
        <v>397</v>
      </c>
      <c r="L233" s="110" t="s">
        <v>397</v>
      </c>
      <c r="M233" s="110" t="s">
        <v>397</v>
      </c>
      <c r="N233" s="110" t="s">
        <v>397</v>
      </c>
      <c r="O233" s="111" t="s">
        <v>388</v>
      </c>
      <c r="P233" s="111" t="s">
        <v>388</v>
      </c>
      <c r="Q233" s="111" t="s">
        <v>397</v>
      </c>
      <c r="R233" s="111" t="s">
        <v>397</v>
      </c>
      <c r="S233" s="111" t="s">
        <v>397</v>
      </c>
      <c r="T233" s="113" t="s">
        <v>916</v>
      </c>
      <c r="U233" s="111" t="s">
        <v>466</v>
      </c>
      <c r="V233" s="114" t="s">
        <v>466</v>
      </c>
      <c r="W233" s="83" t="s">
        <v>399</v>
      </c>
      <c r="X233" s="114" t="s">
        <v>523</v>
      </c>
      <c r="Y233" s="114" t="s">
        <v>425</v>
      </c>
      <c r="Z233" s="114" t="s">
        <v>392</v>
      </c>
      <c r="AA233" t="s">
        <v>401</v>
      </c>
      <c r="AB233" t="s">
        <v>380</v>
      </c>
      <c r="AC233" t="s">
        <v>620</v>
      </c>
      <c r="AE233" t="s">
        <v>342</v>
      </c>
    </row>
    <row r="234" spans="1:31" x14ac:dyDescent="0.25">
      <c r="A234" s="74">
        <v>36840</v>
      </c>
      <c r="B234" s="74" t="s">
        <v>985</v>
      </c>
      <c r="C234" s="74" t="s">
        <v>986</v>
      </c>
      <c r="D234" s="108" t="s">
        <v>397</v>
      </c>
      <c r="E234" s="108" t="s">
        <v>388</v>
      </c>
      <c r="F234" s="108" t="s">
        <v>388</v>
      </c>
      <c r="G234" s="108" t="s">
        <v>388</v>
      </c>
      <c r="H234" s="108" t="s">
        <v>397</v>
      </c>
      <c r="I234" s="109" t="s">
        <v>397</v>
      </c>
      <c r="J234" s="110" t="s">
        <v>397</v>
      </c>
      <c r="K234" s="110" t="s">
        <v>397</v>
      </c>
      <c r="L234" s="110" t="s">
        <v>397</v>
      </c>
      <c r="M234" s="110" t="s">
        <v>397</v>
      </c>
      <c r="N234" s="110" t="s">
        <v>397</v>
      </c>
      <c r="O234" s="111" t="s">
        <v>388</v>
      </c>
      <c r="P234" s="111" t="s">
        <v>397</v>
      </c>
      <c r="Q234" s="111" t="s">
        <v>388</v>
      </c>
      <c r="R234" s="111" t="s">
        <v>388</v>
      </c>
      <c r="S234" s="111" t="s">
        <v>388</v>
      </c>
      <c r="T234" s="113" t="s">
        <v>919</v>
      </c>
      <c r="U234" s="111" t="s">
        <v>466</v>
      </c>
      <c r="V234" s="114" t="s">
        <v>466</v>
      </c>
      <c r="W234" s="83" t="s">
        <v>399</v>
      </c>
      <c r="X234" s="114" t="s">
        <v>523</v>
      </c>
      <c r="Y234" s="114" t="s">
        <v>429</v>
      </c>
      <c r="Z234" s="114" t="s">
        <v>392</v>
      </c>
      <c r="AA234" t="s">
        <v>401</v>
      </c>
      <c r="AB234" t="s">
        <v>355</v>
      </c>
      <c r="AC234" t="s">
        <v>624</v>
      </c>
      <c r="AE234" t="s">
        <v>342</v>
      </c>
    </row>
    <row r="235" spans="1:31" x14ac:dyDescent="0.25">
      <c r="A235" s="74">
        <v>36841</v>
      </c>
      <c r="B235" s="74" t="s">
        <v>987</v>
      </c>
      <c r="C235" s="74" t="s">
        <v>988</v>
      </c>
      <c r="D235" s="108" t="s">
        <v>397</v>
      </c>
      <c r="E235" s="108" t="s">
        <v>388</v>
      </c>
      <c r="F235" s="108" t="s">
        <v>388</v>
      </c>
      <c r="G235" s="108" t="s">
        <v>388</v>
      </c>
      <c r="H235" s="108" t="s">
        <v>397</v>
      </c>
      <c r="I235" s="109" t="s">
        <v>397</v>
      </c>
      <c r="J235" s="110" t="s">
        <v>397</v>
      </c>
      <c r="K235" s="110" t="s">
        <v>397</v>
      </c>
      <c r="L235" s="110" t="s">
        <v>397</v>
      </c>
      <c r="M235" s="110" t="s">
        <v>397</v>
      </c>
      <c r="N235" s="110" t="s">
        <v>397</v>
      </c>
      <c r="O235" s="111" t="s">
        <v>388</v>
      </c>
      <c r="P235" s="111" t="s">
        <v>397</v>
      </c>
      <c r="Q235" s="111" t="s">
        <v>388</v>
      </c>
      <c r="R235" s="111" t="s">
        <v>388</v>
      </c>
      <c r="S235" s="111" t="s">
        <v>397</v>
      </c>
      <c r="T235" s="113" t="s">
        <v>763</v>
      </c>
      <c r="U235" s="111" t="s">
        <v>466</v>
      </c>
      <c r="V235" s="114" t="s">
        <v>466</v>
      </c>
      <c r="W235" s="83" t="s">
        <v>399</v>
      </c>
      <c r="X235" s="114" t="s">
        <v>523</v>
      </c>
      <c r="Y235" s="114" t="s">
        <v>433</v>
      </c>
      <c r="Z235" s="114" t="s">
        <v>392</v>
      </c>
      <c r="AA235" t="s">
        <v>401</v>
      </c>
      <c r="AB235" t="s">
        <v>374</v>
      </c>
      <c r="AC235" t="s">
        <v>627</v>
      </c>
      <c r="AE235" t="s">
        <v>342</v>
      </c>
    </row>
    <row r="236" spans="1:31" x14ac:dyDescent="0.25">
      <c r="A236" s="74">
        <v>36842</v>
      </c>
      <c r="B236" s="74" t="s">
        <v>989</v>
      </c>
      <c r="C236" s="74" t="s">
        <v>990</v>
      </c>
      <c r="D236" s="108" t="s">
        <v>397</v>
      </c>
      <c r="E236" s="108" t="s">
        <v>388</v>
      </c>
      <c r="F236" s="108" t="s">
        <v>388</v>
      </c>
      <c r="G236" s="108" t="s">
        <v>388</v>
      </c>
      <c r="H236" s="108" t="s">
        <v>397</v>
      </c>
      <c r="I236" s="109" t="s">
        <v>397</v>
      </c>
      <c r="J236" s="110" t="s">
        <v>397</v>
      </c>
      <c r="K236" s="110" t="s">
        <v>397</v>
      </c>
      <c r="L236" s="110" t="s">
        <v>397</v>
      </c>
      <c r="M236" s="110" t="s">
        <v>397</v>
      </c>
      <c r="N236" s="110" t="s">
        <v>397</v>
      </c>
      <c r="O236" s="111" t="s">
        <v>388</v>
      </c>
      <c r="P236" s="111" t="s">
        <v>397</v>
      </c>
      <c r="Q236" s="111" t="s">
        <v>388</v>
      </c>
      <c r="R236" s="111" t="s">
        <v>397</v>
      </c>
      <c r="S236" s="111" t="s">
        <v>388</v>
      </c>
      <c r="T236" s="113" t="s">
        <v>763</v>
      </c>
      <c r="U236" s="111" t="s">
        <v>466</v>
      </c>
      <c r="V236" s="114" t="s">
        <v>466</v>
      </c>
      <c r="W236" s="83" t="s">
        <v>399</v>
      </c>
      <c r="X236" s="114" t="s">
        <v>523</v>
      </c>
      <c r="Y236" s="114" t="s">
        <v>437</v>
      </c>
      <c r="Z236" s="114" t="s">
        <v>392</v>
      </c>
      <c r="AA236" t="s">
        <v>401</v>
      </c>
      <c r="AB236" t="s">
        <v>374</v>
      </c>
      <c r="AC236" t="s">
        <v>630</v>
      </c>
      <c r="AE236" t="s">
        <v>342</v>
      </c>
    </row>
    <row r="237" spans="1:31" x14ac:dyDescent="0.25">
      <c r="A237" s="74">
        <v>36843</v>
      </c>
      <c r="B237" s="74" t="s">
        <v>991</v>
      </c>
      <c r="C237" s="74" t="s">
        <v>992</v>
      </c>
      <c r="D237" s="108" t="s">
        <v>397</v>
      </c>
      <c r="E237" s="108" t="s">
        <v>388</v>
      </c>
      <c r="F237" s="108" t="s">
        <v>388</v>
      </c>
      <c r="G237" s="108" t="s">
        <v>388</v>
      </c>
      <c r="H237" s="108" t="s">
        <v>397</v>
      </c>
      <c r="I237" s="109" t="s">
        <v>397</v>
      </c>
      <c r="J237" s="110" t="s">
        <v>397</v>
      </c>
      <c r="K237" s="110" t="s">
        <v>397</v>
      </c>
      <c r="L237" s="110" t="s">
        <v>397</v>
      </c>
      <c r="M237" s="110" t="s">
        <v>397</v>
      </c>
      <c r="N237" s="110" t="s">
        <v>397</v>
      </c>
      <c r="O237" s="111" t="s">
        <v>388</v>
      </c>
      <c r="P237" s="111" t="s">
        <v>397</v>
      </c>
      <c r="Q237" s="111" t="s">
        <v>388</v>
      </c>
      <c r="R237" s="111" t="s">
        <v>397</v>
      </c>
      <c r="S237" s="111" t="s">
        <v>397</v>
      </c>
      <c r="T237" s="113" t="s">
        <v>763</v>
      </c>
      <c r="U237" s="111" t="s">
        <v>466</v>
      </c>
      <c r="V237" s="114" t="s">
        <v>466</v>
      </c>
      <c r="W237" s="83" t="s">
        <v>399</v>
      </c>
      <c r="X237" s="114" t="s">
        <v>523</v>
      </c>
      <c r="Y237" s="114" t="s">
        <v>441</v>
      </c>
      <c r="Z237" s="114" t="s">
        <v>392</v>
      </c>
      <c r="AA237" t="s">
        <v>401</v>
      </c>
      <c r="AB237" t="s">
        <v>374</v>
      </c>
      <c r="AC237" t="s">
        <v>633</v>
      </c>
      <c r="AE237" t="s">
        <v>342</v>
      </c>
    </row>
    <row r="238" spans="1:31" x14ac:dyDescent="0.25">
      <c r="A238" s="74">
        <v>36844</v>
      </c>
      <c r="B238" s="74" t="s">
        <v>993</v>
      </c>
      <c r="C238" s="74" t="s">
        <v>994</v>
      </c>
      <c r="D238" s="108" t="s">
        <v>397</v>
      </c>
      <c r="E238" s="108" t="s">
        <v>388</v>
      </c>
      <c r="F238" s="108" t="s">
        <v>388</v>
      </c>
      <c r="G238" s="108" t="s">
        <v>388</v>
      </c>
      <c r="H238" s="108" t="s">
        <v>397</v>
      </c>
      <c r="I238" s="109" t="s">
        <v>397</v>
      </c>
      <c r="J238" s="110" t="s">
        <v>397</v>
      </c>
      <c r="K238" s="110" t="s">
        <v>397</v>
      </c>
      <c r="L238" s="110" t="s">
        <v>397</v>
      </c>
      <c r="M238" s="110" t="s">
        <v>397</v>
      </c>
      <c r="N238" s="110" t="s">
        <v>397</v>
      </c>
      <c r="O238" s="111" t="s">
        <v>388</v>
      </c>
      <c r="P238" s="111" t="s">
        <v>397</v>
      </c>
      <c r="Q238" s="111" t="s">
        <v>397</v>
      </c>
      <c r="R238" s="111" t="s">
        <v>388</v>
      </c>
      <c r="S238" s="111" t="s">
        <v>388</v>
      </c>
      <c r="T238" s="113" t="s">
        <v>763</v>
      </c>
      <c r="U238" s="111" t="s">
        <v>466</v>
      </c>
      <c r="V238" s="114" t="s">
        <v>466</v>
      </c>
      <c r="W238" s="83" t="s">
        <v>399</v>
      </c>
      <c r="X238" s="114" t="s">
        <v>523</v>
      </c>
      <c r="Y238" s="114" t="s">
        <v>445</v>
      </c>
      <c r="Z238" s="114" t="s">
        <v>392</v>
      </c>
      <c r="AA238" t="s">
        <v>401</v>
      </c>
      <c r="AB238" t="s">
        <v>374</v>
      </c>
      <c r="AC238" t="s">
        <v>636</v>
      </c>
      <c r="AE238" t="s">
        <v>342</v>
      </c>
    </row>
    <row r="239" spans="1:31" x14ac:dyDescent="0.25">
      <c r="A239" s="74">
        <v>36845</v>
      </c>
      <c r="B239" s="74" t="s">
        <v>995</v>
      </c>
      <c r="C239" s="74" t="s">
        <v>996</v>
      </c>
      <c r="D239" s="108" t="s">
        <v>397</v>
      </c>
      <c r="E239" s="108" t="s">
        <v>388</v>
      </c>
      <c r="F239" s="108" t="s">
        <v>388</v>
      </c>
      <c r="G239" s="108" t="s">
        <v>388</v>
      </c>
      <c r="H239" s="108" t="s">
        <v>397</v>
      </c>
      <c r="I239" s="109" t="s">
        <v>397</v>
      </c>
      <c r="J239" s="110" t="s">
        <v>397</v>
      </c>
      <c r="K239" s="110" t="s">
        <v>397</v>
      </c>
      <c r="L239" s="110" t="s">
        <v>397</v>
      </c>
      <c r="M239" s="110" t="s">
        <v>397</v>
      </c>
      <c r="N239" s="110" t="s">
        <v>397</v>
      </c>
      <c r="O239" s="111" t="s">
        <v>388</v>
      </c>
      <c r="P239" s="111" t="s">
        <v>397</v>
      </c>
      <c r="Q239" s="111" t="s">
        <v>397</v>
      </c>
      <c r="R239" s="111" t="s">
        <v>388</v>
      </c>
      <c r="S239" s="111" t="s">
        <v>397</v>
      </c>
      <c r="T239" s="113" t="s">
        <v>763</v>
      </c>
      <c r="U239" s="111" t="s">
        <v>466</v>
      </c>
      <c r="V239" s="114" t="s">
        <v>466</v>
      </c>
      <c r="W239" s="83" t="s">
        <v>399</v>
      </c>
      <c r="X239" s="114" t="s">
        <v>523</v>
      </c>
      <c r="Y239" s="114" t="s">
        <v>449</v>
      </c>
      <c r="Z239" s="114" t="s">
        <v>392</v>
      </c>
      <c r="AA239" t="s">
        <v>401</v>
      </c>
      <c r="AB239" t="s">
        <v>374</v>
      </c>
      <c r="AC239" t="s">
        <v>639</v>
      </c>
      <c r="AE239" t="s">
        <v>342</v>
      </c>
    </row>
    <row r="240" spans="1:31" x14ac:dyDescent="0.25">
      <c r="A240" s="74">
        <v>36846</v>
      </c>
      <c r="B240" s="74" t="s">
        <v>997</v>
      </c>
      <c r="C240" s="74" t="s">
        <v>998</v>
      </c>
      <c r="D240" s="108" t="s">
        <v>397</v>
      </c>
      <c r="E240" s="108" t="s">
        <v>388</v>
      </c>
      <c r="F240" s="108" t="s">
        <v>388</v>
      </c>
      <c r="G240" s="108" t="s">
        <v>388</v>
      </c>
      <c r="H240" s="108" t="s">
        <v>397</v>
      </c>
      <c r="I240" s="109" t="s">
        <v>397</v>
      </c>
      <c r="J240" s="110" t="s">
        <v>397</v>
      </c>
      <c r="K240" s="110" t="s">
        <v>397</v>
      </c>
      <c r="L240" s="110" t="s">
        <v>397</v>
      </c>
      <c r="M240" s="110" t="s">
        <v>397</v>
      </c>
      <c r="N240" s="110" t="s">
        <v>397</v>
      </c>
      <c r="O240" s="111" t="s">
        <v>388</v>
      </c>
      <c r="P240" s="111" t="s">
        <v>397</v>
      </c>
      <c r="Q240" s="111" t="s">
        <v>397</v>
      </c>
      <c r="R240" s="111" t="s">
        <v>397</v>
      </c>
      <c r="S240" s="111" t="s">
        <v>388</v>
      </c>
      <c r="T240" s="113" t="s">
        <v>763</v>
      </c>
      <c r="U240" s="111" t="s">
        <v>466</v>
      </c>
      <c r="V240" s="114" t="s">
        <v>466</v>
      </c>
      <c r="W240" s="83" t="s">
        <v>399</v>
      </c>
      <c r="X240" s="114" t="s">
        <v>523</v>
      </c>
      <c r="Y240" s="114" t="s">
        <v>453</v>
      </c>
      <c r="Z240" s="114" t="s">
        <v>392</v>
      </c>
      <c r="AA240" t="s">
        <v>401</v>
      </c>
      <c r="AB240" t="s">
        <v>374</v>
      </c>
      <c r="AC240" t="s">
        <v>642</v>
      </c>
      <c r="AE240" t="s">
        <v>342</v>
      </c>
    </row>
    <row r="241" spans="1:31" x14ac:dyDescent="0.25">
      <c r="A241" s="74">
        <v>36847</v>
      </c>
      <c r="B241" s="74" t="s">
        <v>999</v>
      </c>
      <c r="C241" s="74" t="s">
        <v>1000</v>
      </c>
      <c r="D241" s="108" t="s">
        <v>397</v>
      </c>
      <c r="E241" s="108" t="s">
        <v>388</v>
      </c>
      <c r="F241" s="108" t="s">
        <v>388</v>
      </c>
      <c r="G241" s="108" t="s">
        <v>388</v>
      </c>
      <c r="H241" s="108" t="s">
        <v>397</v>
      </c>
      <c r="I241" s="109" t="s">
        <v>397</v>
      </c>
      <c r="J241" s="110" t="s">
        <v>397</v>
      </c>
      <c r="K241" s="110" t="s">
        <v>397</v>
      </c>
      <c r="L241" s="110" t="s">
        <v>397</v>
      </c>
      <c r="M241" s="110" t="s">
        <v>397</v>
      </c>
      <c r="N241" s="110" t="s">
        <v>397</v>
      </c>
      <c r="O241" s="111" t="s">
        <v>388</v>
      </c>
      <c r="P241" s="111" t="s">
        <v>397</v>
      </c>
      <c r="Q241" s="111" t="s">
        <v>397</v>
      </c>
      <c r="R241" s="111" t="s">
        <v>397</v>
      </c>
      <c r="S241" s="111" t="s">
        <v>397</v>
      </c>
      <c r="T241" s="113" t="s">
        <v>763</v>
      </c>
      <c r="U241" s="111" t="s">
        <v>466</v>
      </c>
      <c r="V241" s="114" t="s">
        <v>466</v>
      </c>
      <c r="W241" s="83" t="s">
        <v>399</v>
      </c>
      <c r="X241" s="114" t="s">
        <v>523</v>
      </c>
      <c r="Y241" s="114" t="s">
        <v>457</v>
      </c>
      <c r="Z241" s="114" t="s">
        <v>392</v>
      </c>
      <c r="AA241" t="s">
        <v>401</v>
      </c>
      <c r="AB241" t="s">
        <v>374</v>
      </c>
      <c r="AC241" t="s">
        <v>645</v>
      </c>
      <c r="AE241" t="s">
        <v>342</v>
      </c>
    </row>
    <row r="242" spans="1:31" x14ac:dyDescent="0.25">
      <c r="A242" s="74">
        <v>36848</v>
      </c>
      <c r="B242" s="74" t="s">
        <v>1001</v>
      </c>
      <c r="C242" s="74" t="s">
        <v>1002</v>
      </c>
      <c r="D242" s="108" t="s">
        <v>397</v>
      </c>
      <c r="E242" s="108" t="s">
        <v>388</v>
      </c>
      <c r="F242" s="108" t="s">
        <v>388</v>
      </c>
      <c r="G242" s="108" t="s">
        <v>388</v>
      </c>
      <c r="H242" s="108" t="s">
        <v>397</v>
      </c>
      <c r="I242" s="109" t="s">
        <v>397</v>
      </c>
      <c r="J242" s="110" t="s">
        <v>397</v>
      </c>
      <c r="K242" s="110" t="s">
        <v>397</v>
      </c>
      <c r="L242" s="110" t="s">
        <v>397</v>
      </c>
      <c r="M242" s="110" t="s">
        <v>397</v>
      </c>
      <c r="N242" s="110" t="s">
        <v>397</v>
      </c>
      <c r="O242" s="111" t="s">
        <v>397</v>
      </c>
      <c r="P242" s="111" t="s">
        <v>388</v>
      </c>
      <c r="Q242" s="111" t="s">
        <v>388</v>
      </c>
      <c r="R242" s="111" t="s">
        <v>388</v>
      </c>
      <c r="S242" s="111" t="s">
        <v>388</v>
      </c>
      <c r="T242" s="113" t="s">
        <v>936</v>
      </c>
      <c r="U242" s="111" t="s">
        <v>466</v>
      </c>
      <c r="V242" s="114" t="s">
        <v>466</v>
      </c>
      <c r="W242" s="83" t="s">
        <v>399</v>
      </c>
      <c r="X242" s="114" t="s">
        <v>523</v>
      </c>
      <c r="Y242" s="114" t="s">
        <v>461</v>
      </c>
      <c r="Z242" s="114" t="s">
        <v>392</v>
      </c>
      <c r="AA242" t="s">
        <v>401</v>
      </c>
      <c r="AB242" t="s">
        <v>116</v>
      </c>
      <c r="AC242" t="s">
        <v>649</v>
      </c>
      <c r="AE242" t="s">
        <v>342</v>
      </c>
    </row>
    <row r="243" spans="1:31" x14ac:dyDescent="0.25">
      <c r="A243" s="74">
        <v>36849</v>
      </c>
      <c r="B243" s="74" t="s">
        <v>1003</v>
      </c>
      <c r="C243" s="74" t="s">
        <v>1004</v>
      </c>
      <c r="D243" s="108" t="s">
        <v>397</v>
      </c>
      <c r="E243" s="108" t="s">
        <v>388</v>
      </c>
      <c r="F243" s="108" t="s">
        <v>388</v>
      </c>
      <c r="G243" s="108" t="s">
        <v>388</v>
      </c>
      <c r="H243" s="108" t="s">
        <v>397</v>
      </c>
      <c r="I243" s="109" t="s">
        <v>397</v>
      </c>
      <c r="J243" s="110" t="s">
        <v>397</v>
      </c>
      <c r="K243" s="110" t="s">
        <v>397</v>
      </c>
      <c r="L243" s="110" t="s">
        <v>397</v>
      </c>
      <c r="M243" s="110" t="s">
        <v>397</v>
      </c>
      <c r="N243" s="110" t="s">
        <v>397</v>
      </c>
      <c r="O243" s="111" t="s">
        <v>397</v>
      </c>
      <c r="P243" s="111" t="s">
        <v>388</v>
      </c>
      <c r="Q243" s="111" t="s">
        <v>388</v>
      </c>
      <c r="R243" s="111" t="s">
        <v>388</v>
      </c>
      <c r="S243" s="111" t="s">
        <v>397</v>
      </c>
      <c r="T243" s="113" t="s">
        <v>763</v>
      </c>
      <c r="U243" s="111" t="s">
        <v>466</v>
      </c>
      <c r="V243" s="114" t="s">
        <v>466</v>
      </c>
      <c r="W243" s="83" t="s">
        <v>399</v>
      </c>
      <c r="X243" s="114" t="s">
        <v>523</v>
      </c>
      <c r="Y243" s="114" t="s">
        <v>466</v>
      </c>
      <c r="Z243" s="114" t="s">
        <v>392</v>
      </c>
      <c r="AA243" t="s">
        <v>401</v>
      </c>
      <c r="AB243" t="s">
        <v>374</v>
      </c>
      <c r="AC243" t="s">
        <v>652</v>
      </c>
      <c r="AE243" t="s">
        <v>342</v>
      </c>
    </row>
    <row r="244" spans="1:31" x14ac:dyDescent="0.25">
      <c r="A244" s="74">
        <v>36850</v>
      </c>
      <c r="B244" s="74" t="s">
        <v>1005</v>
      </c>
      <c r="C244" s="74" t="s">
        <v>1006</v>
      </c>
      <c r="D244" s="108" t="s">
        <v>397</v>
      </c>
      <c r="E244" s="108" t="s">
        <v>388</v>
      </c>
      <c r="F244" s="108" t="s">
        <v>388</v>
      </c>
      <c r="G244" s="108" t="s">
        <v>388</v>
      </c>
      <c r="H244" s="108" t="s">
        <v>397</v>
      </c>
      <c r="I244" s="109" t="s">
        <v>397</v>
      </c>
      <c r="J244" s="110" t="s">
        <v>397</v>
      </c>
      <c r="K244" s="110" t="s">
        <v>397</v>
      </c>
      <c r="L244" s="110" t="s">
        <v>397</v>
      </c>
      <c r="M244" s="110" t="s">
        <v>397</v>
      </c>
      <c r="N244" s="110" t="s">
        <v>397</v>
      </c>
      <c r="O244" s="111" t="s">
        <v>397</v>
      </c>
      <c r="P244" s="111" t="s">
        <v>388</v>
      </c>
      <c r="Q244" s="111" t="s">
        <v>388</v>
      </c>
      <c r="R244" s="111" t="s">
        <v>397</v>
      </c>
      <c r="S244" s="111" t="s">
        <v>388</v>
      </c>
      <c r="T244" s="113" t="s">
        <v>941</v>
      </c>
      <c r="U244" s="111" t="s">
        <v>466</v>
      </c>
      <c r="V244" s="114" t="s">
        <v>466</v>
      </c>
      <c r="W244" s="83" t="s">
        <v>399</v>
      </c>
      <c r="X244" s="114" t="s">
        <v>523</v>
      </c>
      <c r="Y244" s="114" t="s">
        <v>470</v>
      </c>
      <c r="Z244" s="114" t="s">
        <v>392</v>
      </c>
      <c r="AA244" t="s">
        <v>401</v>
      </c>
      <c r="AB244" t="s">
        <v>381</v>
      </c>
      <c r="AC244" t="s">
        <v>656</v>
      </c>
      <c r="AE244" t="s">
        <v>342</v>
      </c>
    </row>
    <row r="245" spans="1:31" x14ac:dyDescent="0.25">
      <c r="A245" s="74">
        <v>36851</v>
      </c>
      <c r="B245" s="74" t="s">
        <v>1007</v>
      </c>
      <c r="C245" s="74" t="s">
        <v>1008</v>
      </c>
      <c r="D245" s="108" t="s">
        <v>397</v>
      </c>
      <c r="E245" s="108" t="s">
        <v>388</v>
      </c>
      <c r="F245" s="108" t="s">
        <v>388</v>
      </c>
      <c r="G245" s="108" t="s">
        <v>388</v>
      </c>
      <c r="H245" s="108" t="s">
        <v>397</v>
      </c>
      <c r="I245" s="109" t="s">
        <v>397</v>
      </c>
      <c r="J245" s="110" t="s">
        <v>397</v>
      </c>
      <c r="K245" s="110" t="s">
        <v>397</v>
      </c>
      <c r="L245" s="110" t="s">
        <v>397</v>
      </c>
      <c r="M245" s="110" t="s">
        <v>397</v>
      </c>
      <c r="N245" s="110" t="s">
        <v>397</v>
      </c>
      <c r="O245" s="111" t="s">
        <v>397</v>
      </c>
      <c r="P245" s="111" t="s">
        <v>388</v>
      </c>
      <c r="Q245" s="111" t="s">
        <v>388</v>
      </c>
      <c r="R245" s="111" t="s">
        <v>397</v>
      </c>
      <c r="S245" s="111" t="s">
        <v>397</v>
      </c>
      <c r="T245" s="113" t="s">
        <v>944</v>
      </c>
      <c r="U245" s="111" t="s">
        <v>466</v>
      </c>
      <c r="V245" s="114" t="s">
        <v>466</v>
      </c>
      <c r="W245" s="83" t="s">
        <v>399</v>
      </c>
      <c r="X245" s="114" t="s">
        <v>523</v>
      </c>
      <c r="Y245" s="114" t="s">
        <v>474</v>
      </c>
      <c r="Z245" s="114" t="s">
        <v>392</v>
      </c>
      <c r="AA245" t="s">
        <v>401</v>
      </c>
      <c r="AB245" t="s">
        <v>382</v>
      </c>
      <c r="AC245" t="s">
        <v>660</v>
      </c>
      <c r="AE245" t="s">
        <v>342</v>
      </c>
    </row>
    <row r="246" spans="1:31" x14ac:dyDescent="0.25">
      <c r="A246" s="74">
        <v>36852</v>
      </c>
      <c r="B246" s="74" t="s">
        <v>1009</v>
      </c>
      <c r="C246" s="74" t="s">
        <v>1010</v>
      </c>
      <c r="D246" s="108" t="s">
        <v>397</v>
      </c>
      <c r="E246" s="108" t="s">
        <v>388</v>
      </c>
      <c r="F246" s="108" t="s">
        <v>388</v>
      </c>
      <c r="G246" s="108" t="s">
        <v>388</v>
      </c>
      <c r="H246" s="108" t="s">
        <v>397</v>
      </c>
      <c r="I246" s="109" t="s">
        <v>397</v>
      </c>
      <c r="J246" s="110" t="s">
        <v>397</v>
      </c>
      <c r="K246" s="110" t="s">
        <v>397</v>
      </c>
      <c r="L246" s="110" t="s">
        <v>397</v>
      </c>
      <c r="M246" s="110" t="s">
        <v>397</v>
      </c>
      <c r="N246" s="110" t="s">
        <v>397</v>
      </c>
      <c r="O246" s="111" t="s">
        <v>397</v>
      </c>
      <c r="P246" s="111" t="s">
        <v>388</v>
      </c>
      <c r="Q246" s="111" t="s">
        <v>397</v>
      </c>
      <c r="R246" s="111" t="s">
        <v>388</v>
      </c>
      <c r="S246" s="111" t="s">
        <v>388</v>
      </c>
      <c r="T246" s="113" t="s">
        <v>763</v>
      </c>
      <c r="U246" s="111" t="s">
        <v>466</v>
      </c>
      <c r="V246" s="114" t="s">
        <v>466</v>
      </c>
      <c r="W246" s="83" t="s">
        <v>399</v>
      </c>
      <c r="X246" s="114" t="s">
        <v>523</v>
      </c>
      <c r="Y246" s="114" t="s">
        <v>479</v>
      </c>
      <c r="Z246" s="114" t="s">
        <v>392</v>
      </c>
      <c r="AA246" t="s">
        <v>401</v>
      </c>
      <c r="AB246" t="s">
        <v>374</v>
      </c>
      <c r="AC246" t="s">
        <v>663</v>
      </c>
      <c r="AE246" t="s">
        <v>342</v>
      </c>
    </row>
    <row r="247" spans="1:31" x14ac:dyDescent="0.25">
      <c r="A247" s="74">
        <v>36853</v>
      </c>
      <c r="B247" s="74" t="s">
        <v>1011</v>
      </c>
      <c r="C247" s="74" t="s">
        <v>1012</v>
      </c>
      <c r="D247" s="108" t="s">
        <v>397</v>
      </c>
      <c r="E247" s="108" t="s">
        <v>388</v>
      </c>
      <c r="F247" s="108" t="s">
        <v>388</v>
      </c>
      <c r="G247" s="108" t="s">
        <v>388</v>
      </c>
      <c r="H247" s="108" t="s">
        <v>397</v>
      </c>
      <c r="I247" s="109" t="s">
        <v>397</v>
      </c>
      <c r="J247" s="110" t="s">
        <v>397</v>
      </c>
      <c r="K247" s="110" t="s">
        <v>397</v>
      </c>
      <c r="L247" s="110" t="s">
        <v>397</v>
      </c>
      <c r="M247" s="110" t="s">
        <v>397</v>
      </c>
      <c r="N247" s="110" t="s">
        <v>397</v>
      </c>
      <c r="O247" s="111" t="s">
        <v>397</v>
      </c>
      <c r="P247" s="111" t="s">
        <v>388</v>
      </c>
      <c r="Q247" s="111" t="s">
        <v>397</v>
      </c>
      <c r="R247" s="111" t="s">
        <v>388</v>
      </c>
      <c r="S247" s="111" t="s">
        <v>397</v>
      </c>
      <c r="T247" s="113" t="s">
        <v>763</v>
      </c>
      <c r="U247" s="111" t="s">
        <v>466</v>
      </c>
      <c r="V247" s="114" t="s">
        <v>466</v>
      </c>
      <c r="W247" s="83" t="s">
        <v>399</v>
      </c>
      <c r="X247" s="114" t="s">
        <v>523</v>
      </c>
      <c r="Y247" s="114" t="s">
        <v>483</v>
      </c>
      <c r="Z247" s="114" t="s">
        <v>392</v>
      </c>
      <c r="AA247" t="s">
        <v>401</v>
      </c>
      <c r="AB247" t="s">
        <v>374</v>
      </c>
      <c r="AC247" t="s">
        <v>666</v>
      </c>
      <c r="AE247" t="s">
        <v>342</v>
      </c>
    </row>
    <row r="248" spans="1:31" x14ac:dyDescent="0.25">
      <c r="A248" s="74">
        <v>36854</v>
      </c>
      <c r="B248" s="74" t="s">
        <v>1013</v>
      </c>
      <c r="C248" s="74" t="s">
        <v>1014</v>
      </c>
      <c r="D248" s="108" t="s">
        <v>397</v>
      </c>
      <c r="E248" s="108" t="s">
        <v>388</v>
      </c>
      <c r="F248" s="108" t="s">
        <v>388</v>
      </c>
      <c r="G248" s="108" t="s">
        <v>388</v>
      </c>
      <c r="H248" s="108" t="s">
        <v>397</v>
      </c>
      <c r="I248" s="109" t="s">
        <v>397</v>
      </c>
      <c r="J248" s="110" t="s">
        <v>397</v>
      </c>
      <c r="K248" s="110" t="s">
        <v>397</v>
      </c>
      <c r="L248" s="110" t="s">
        <v>397</v>
      </c>
      <c r="M248" s="110" t="s">
        <v>397</v>
      </c>
      <c r="N248" s="110" t="s">
        <v>397</v>
      </c>
      <c r="O248" s="111" t="s">
        <v>397</v>
      </c>
      <c r="P248" s="111" t="s">
        <v>388</v>
      </c>
      <c r="Q248" s="111" t="s">
        <v>397</v>
      </c>
      <c r="R248" s="111" t="s">
        <v>397</v>
      </c>
      <c r="S248" s="111" t="s">
        <v>388</v>
      </c>
      <c r="T248" s="113" t="s">
        <v>763</v>
      </c>
      <c r="U248" s="111" t="s">
        <v>466</v>
      </c>
      <c r="V248" s="114" t="s">
        <v>466</v>
      </c>
      <c r="W248" s="83" t="s">
        <v>399</v>
      </c>
      <c r="X248" s="114" t="s">
        <v>523</v>
      </c>
      <c r="Y248" s="114" t="s">
        <v>487</v>
      </c>
      <c r="Z248" s="114" t="s">
        <v>392</v>
      </c>
      <c r="AA248" t="s">
        <v>401</v>
      </c>
      <c r="AB248" t="s">
        <v>374</v>
      </c>
      <c r="AC248" t="s">
        <v>669</v>
      </c>
      <c r="AE248" t="s">
        <v>342</v>
      </c>
    </row>
    <row r="249" spans="1:31" x14ac:dyDescent="0.25">
      <c r="A249" s="74">
        <v>36855</v>
      </c>
      <c r="B249" s="74" t="s">
        <v>1015</v>
      </c>
      <c r="C249" s="74" t="s">
        <v>1016</v>
      </c>
      <c r="D249" s="108" t="s">
        <v>397</v>
      </c>
      <c r="E249" s="108" t="s">
        <v>388</v>
      </c>
      <c r="F249" s="108" t="s">
        <v>388</v>
      </c>
      <c r="G249" s="108" t="s">
        <v>388</v>
      </c>
      <c r="H249" s="108" t="s">
        <v>397</v>
      </c>
      <c r="I249" s="109" t="s">
        <v>397</v>
      </c>
      <c r="J249" s="110" t="s">
        <v>397</v>
      </c>
      <c r="K249" s="110" t="s">
        <v>397</v>
      </c>
      <c r="L249" s="110" t="s">
        <v>397</v>
      </c>
      <c r="M249" s="110" t="s">
        <v>397</v>
      </c>
      <c r="N249" s="110" t="s">
        <v>397</v>
      </c>
      <c r="O249" s="111" t="s">
        <v>397</v>
      </c>
      <c r="P249" s="111" t="s">
        <v>388</v>
      </c>
      <c r="Q249" s="111" t="s">
        <v>397</v>
      </c>
      <c r="R249" s="111" t="s">
        <v>397</v>
      </c>
      <c r="S249" s="111" t="s">
        <v>397</v>
      </c>
      <c r="T249" s="113" t="s">
        <v>763</v>
      </c>
      <c r="U249" s="111" t="s">
        <v>466</v>
      </c>
      <c r="V249" s="114" t="s">
        <v>466</v>
      </c>
      <c r="W249" s="83" t="s">
        <v>399</v>
      </c>
      <c r="X249" s="114" t="s">
        <v>523</v>
      </c>
      <c r="Y249" s="114" t="s">
        <v>491</v>
      </c>
      <c r="Z249" s="114" t="s">
        <v>392</v>
      </c>
      <c r="AA249" t="s">
        <v>401</v>
      </c>
      <c r="AB249" t="s">
        <v>374</v>
      </c>
      <c r="AC249" t="s">
        <v>672</v>
      </c>
      <c r="AE249" t="s">
        <v>342</v>
      </c>
    </row>
    <row r="250" spans="1:31" x14ac:dyDescent="0.25">
      <c r="A250" s="74">
        <v>36856</v>
      </c>
      <c r="B250" s="74" t="s">
        <v>1017</v>
      </c>
      <c r="C250" s="74" t="s">
        <v>1018</v>
      </c>
      <c r="D250" s="108" t="s">
        <v>397</v>
      </c>
      <c r="E250" s="108" t="s">
        <v>388</v>
      </c>
      <c r="F250" s="108" t="s">
        <v>388</v>
      </c>
      <c r="G250" s="108" t="s">
        <v>388</v>
      </c>
      <c r="H250" s="108" t="s">
        <v>397</v>
      </c>
      <c r="I250" s="109" t="s">
        <v>397</v>
      </c>
      <c r="J250" s="110" t="s">
        <v>397</v>
      </c>
      <c r="K250" s="110" t="s">
        <v>397</v>
      </c>
      <c r="L250" s="110" t="s">
        <v>397</v>
      </c>
      <c r="M250" s="110" t="s">
        <v>397</v>
      </c>
      <c r="N250" s="110" t="s">
        <v>397</v>
      </c>
      <c r="O250" s="111" t="s">
        <v>397</v>
      </c>
      <c r="P250" s="111" t="s">
        <v>397</v>
      </c>
      <c r="Q250" s="111" t="s">
        <v>388</v>
      </c>
      <c r="R250" s="111" t="s">
        <v>388</v>
      </c>
      <c r="S250" s="111" t="s">
        <v>388</v>
      </c>
      <c r="T250" s="113" t="s">
        <v>763</v>
      </c>
      <c r="U250" s="111" t="s">
        <v>466</v>
      </c>
      <c r="V250" s="114" t="s">
        <v>466</v>
      </c>
      <c r="W250" s="83" t="s">
        <v>399</v>
      </c>
      <c r="X250" s="114" t="s">
        <v>523</v>
      </c>
      <c r="Y250" s="114" t="s">
        <v>495</v>
      </c>
      <c r="Z250" s="114" t="s">
        <v>392</v>
      </c>
      <c r="AA250" t="s">
        <v>401</v>
      </c>
      <c r="AB250" t="s">
        <v>374</v>
      </c>
      <c r="AC250" t="s">
        <v>675</v>
      </c>
      <c r="AE250" t="s">
        <v>342</v>
      </c>
    </row>
    <row r="251" spans="1:31" x14ac:dyDescent="0.25">
      <c r="A251" s="74">
        <v>36857</v>
      </c>
      <c r="B251" s="74" t="s">
        <v>1019</v>
      </c>
      <c r="C251" s="74" t="s">
        <v>1020</v>
      </c>
      <c r="D251" s="108" t="s">
        <v>397</v>
      </c>
      <c r="E251" s="108" t="s">
        <v>388</v>
      </c>
      <c r="F251" s="108" t="s">
        <v>388</v>
      </c>
      <c r="G251" s="108" t="s">
        <v>388</v>
      </c>
      <c r="H251" s="108" t="s">
        <v>397</v>
      </c>
      <c r="I251" s="109" t="s">
        <v>397</v>
      </c>
      <c r="J251" s="110" t="s">
        <v>397</v>
      </c>
      <c r="K251" s="110" t="s">
        <v>397</v>
      </c>
      <c r="L251" s="110" t="s">
        <v>397</v>
      </c>
      <c r="M251" s="110" t="s">
        <v>397</v>
      </c>
      <c r="N251" s="110" t="s">
        <v>397</v>
      </c>
      <c r="O251" s="111" t="s">
        <v>397</v>
      </c>
      <c r="P251" s="111" t="s">
        <v>397</v>
      </c>
      <c r="Q251" s="111" t="s">
        <v>388</v>
      </c>
      <c r="R251" s="111" t="s">
        <v>388</v>
      </c>
      <c r="S251" s="111" t="s">
        <v>397</v>
      </c>
      <c r="T251" s="113" t="s">
        <v>763</v>
      </c>
      <c r="U251" s="111" t="s">
        <v>466</v>
      </c>
      <c r="V251" s="114" t="s">
        <v>466</v>
      </c>
      <c r="W251" s="83" t="s">
        <v>399</v>
      </c>
      <c r="X251" s="114" t="s">
        <v>523</v>
      </c>
      <c r="Y251" s="114" t="s">
        <v>499</v>
      </c>
      <c r="Z251" s="114" t="s">
        <v>392</v>
      </c>
      <c r="AA251" t="s">
        <v>401</v>
      </c>
      <c r="AB251" t="s">
        <v>374</v>
      </c>
      <c r="AC251" t="s">
        <v>678</v>
      </c>
      <c r="AE251" t="s">
        <v>342</v>
      </c>
    </row>
    <row r="252" spans="1:31" x14ac:dyDescent="0.25">
      <c r="A252" s="74">
        <v>36858</v>
      </c>
      <c r="B252" s="74" t="s">
        <v>1021</v>
      </c>
      <c r="C252" s="74" t="s">
        <v>1022</v>
      </c>
      <c r="D252" s="108" t="s">
        <v>397</v>
      </c>
      <c r="E252" s="108" t="s">
        <v>388</v>
      </c>
      <c r="F252" s="108" t="s">
        <v>388</v>
      </c>
      <c r="G252" s="108" t="s">
        <v>388</v>
      </c>
      <c r="H252" s="108" t="s">
        <v>397</v>
      </c>
      <c r="I252" s="109" t="s">
        <v>397</v>
      </c>
      <c r="J252" s="110" t="s">
        <v>397</v>
      </c>
      <c r="K252" s="110" t="s">
        <v>397</v>
      </c>
      <c r="L252" s="110" t="s">
        <v>397</v>
      </c>
      <c r="M252" s="110" t="s">
        <v>397</v>
      </c>
      <c r="N252" s="110" t="s">
        <v>397</v>
      </c>
      <c r="O252" s="111" t="s">
        <v>397</v>
      </c>
      <c r="P252" s="111" t="s">
        <v>397</v>
      </c>
      <c r="Q252" s="111" t="s">
        <v>388</v>
      </c>
      <c r="R252" s="111" t="s">
        <v>397</v>
      </c>
      <c r="S252" s="111" t="s">
        <v>388</v>
      </c>
      <c r="T252" s="113" t="s">
        <v>763</v>
      </c>
      <c r="U252" s="111" t="s">
        <v>466</v>
      </c>
      <c r="V252" s="114" t="s">
        <v>466</v>
      </c>
      <c r="W252" s="83" t="s">
        <v>399</v>
      </c>
      <c r="X252" s="114" t="s">
        <v>523</v>
      </c>
      <c r="Y252" s="114" t="s">
        <v>503</v>
      </c>
      <c r="Z252" s="114" t="s">
        <v>392</v>
      </c>
      <c r="AA252" t="s">
        <v>401</v>
      </c>
      <c r="AB252" t="s">
        <v>374</v>
      </c>
      <c r="AC252" t="s">
        <v>681</v>
      </c>
      <c r="AE252" t="s">
        <v>342</v>
      </c>
    </row>
    <row r="253" spans="1:31" x14ac:dyDescent="0.25">
      <c r="A253" s="74">
        <v>36859</v>
      </c>
      <c r="B253" s="74" t="s">
        <v>1023</v>
      </c>
      <c r="C253" s="74" t="s">
        <v>1024</v>
      </c>
      <c r="D253" s="108" t="s">
        <v>397</v>
      </c>
      <c r="E253" s="108" t="s">
        <v>388</v>
      </c>
      <c r="F253" s="108" t="s">
        <v>388</v>
      </c>
      <c r="G253" s="108" t="s">
        <v>388</v>
      </c>
      <c r="H253" s="108" t="s">
        <v>397</v>
      </c>
      <c r="I253" s="109" t="s">
        <v>397</v>
      </c>
      <c r="J253" s="110" t="s">
        <v>397</v>
      </c>
      <c r="K253" s="110" t="s">
        <v>397</v>
      </c>
      <c r="L253" s="110" t="s">
        <v>397</v>
      </c>
      <c r="M253" s="110" t="s">
        <v>397</v>
      </c>
      <c r="N253" s="110" t="s">
        <v>397</v>
      </c>
      <c r="O253" s="111" t="s">
        <v>397</v>
      </c>
      <c r="P253" s="111" t="s">
        <v>397</v>
      </c>
      <c r="Q253" s="111" t="s">
        <v>388</v>
      </c>
      <c r="R253" s="111" t="s">
        <v>397</v>
      </c>
      <c r="S253" s="111" t="s">
        <v>397</v>
      </c>
      <c r="T253" s="113" t="s">
        <v>763</v>
      </c>
      <c r="U253" s="111" t="s">
        <v>466</v>
      </c>
      <c r="V253" s="114" t="s">
        <v>466</v>
      </c>
      <c r="W253" s="83" t="s">
        <v>399</v>
      </c>
      <c r="X253" s="114" t="s">
        <v>523</v>
      </c>
      <c r="Y253" s="114" t="s">
        <v>507</v>
      </c>
      <c r="Z253" s="114" t="s">
        <v>392</v>
      </c>
      <c r="AA253" t="s">
        <v>401</v>
      </c>
      <c r="AB253" t="s">
        <v>374</v>
      </c>
      <c r="AC253" t="s">
        <v>684</v>
      </c>
      <c r="AE253" t="s">
        <v>342</v>
      </c>
    </row>
    <row r="254" spans="1:31" x14ac:dyDescent="0.25">
      <c r="A254" s="74">
        <v>36860</v>
      </c>
      <c r="B254" s="74" t="s">
        <v>1025</v>
      </c>
      <c r="C254" s="74" t="s">
        <v>1026</v>
      </c>
      <c r="D254" s="108" t="s">
        <v>397</v>
      </c>
      <c r="E254" s="108" t="s">
        <v>388</v>
      </c>
      <c r="F254" s="108" t="s">
        <v>388</v>
      </c>
      <c r="G254" s="108" t="s">
        <v>388</v>
      </c>
      <c r="H254" s="108" t="s">
        <v>397</v>
      </c>
      <c r="I254" s="109" t="s">
        <v>397</v>
      </c>
      <c r="J254" s="110" t="s">
        <v>397</v>
      </c>
      <c r="K254" s="110" t="s">
        <v>397</v>
      </c>
      <c r="L254" s="110" t="s">
        <v>397</v>
      </c>
      <c r="M254" s="110" t="s">
        <v>397</v>
      </c>
      <c r="N254" s="110" t="s">
        <v>397</v>
      </c>
      <c r="O254" s="111" t="s">
        <v>397</v>
      </c>
      <c r="P254" s="111" t="s">
        <v>397</v>
      </c>
      <c r="Q254" s="111" t="s">
        <v>397</v>
      </c>
      <c r="R254" s="111" t="s">
        <v>388</v>
      </c>
      <c r="S254" s="111" t="s">
        <v>388</v>
      </c>
      <c r="T254" s="113" t="s">
        <v>763</v>
      </c>
      <c r="U254" s="111" t="s">
        <v>466</v>
      </c>
      <c r="V254" s="114" t="s">
        <v>466</v>
      </c>
      <c r="W254" s="83" t="s">
        <v>399</v>
      </c>
      <c r="X254" s="114" t="s">
        <v>523</v>
      </c>
      <c r="Y254" s="114" t="s">
        <v>511</v>
      </c>
      <c r="Z254" s="114" t="s">
        <v>392</v>
      </c>
      <c r="AA254" t="s">
        <v>401</v>
      </c>
      <c r="AB254" t="s">
        <v>374</v>
      </c>
      <c r="AC254" t="s">
        <v>687</v>
      </c>
      <c r="AE254" t="s">
        <v>342</v>
      </c>
    </row>
    <row r="255" spans="1:31" x14ac:dyDescent="0.25">
      <c r="A255" s="74">
        <v>36861</v>
      </c>
      <c r="B255" s="74" t="s">
        <v>1027</v>
      </c>
      <c r="C255" s="74" t="s">
        <v>1028</v>
      </c>
      <c r="D255" s="108" t="s">
        <v>397</v>
      </c>
      <c r="E255" s="108" t="s">
        <v>388</v>
      </c>
      <c r="F255" s="108" t="s">
        <v>388</v>
      </c>
      <c r="G255" s="108" t="s">
        <v>388</v>
      </c>
      <c r="H255" s="108" t="s">
        <v>397</v>
      </c>
      <c r="I255" s="109" t="s">
        <v>397</v>
      </c>
      <c r="J255" s="110" t="s">
        <v>397</v>
      </c>
      <c r="K255" s="110" t="s">
        <v>397</v>
      </c>
      <c r="L255" s="110" t="s">
        <v>397</v>
      </c>
      <c r="M255" s="110" t="s">
        <v>397</v>
      </c>
      <c r="N255" s="110" t="s">
        <v>397</v>
      </c>
      <c r="O255" s="111" t="s">
        <v>397</v>
      </c>
      <c r="P255" s="111" t="s">
        <v>397</v>
      </c>
      <c r="Q255" s="111" t="s">
        <v>397</v>
      </c>
      <c r="R255" s="111" t="s">
        <v>388</v>
      </c>
      <c r="S255" s="111" t="s">
        <v>397</v>
      </c>
      <c r="T255" s="113" t="s">
        <v>763</v>
      </c>
      <c r="U255" s="111" t="s">
        <v>466</v>
      </c>
      <c r="V255" s="114" t="s">
        <v>466</v>
      </c>
      <c r="W255" s="83" t="s">
        <v>399</v>
      </c>
      <c r="X255" s="114" t="s">
        <v>523</v>
      </c>
      <c r="Y255" s="114" t="s">
        <v>515</v>
      </c>
      <c r="Z255" s="114" t="s">
        <v>392</v>
      </c>
      <c r="AA255" t="s">
        <v>401</v>
      </c>
      <c r="AB255" t="s">
        <v>374</v>
      </c>
      <c r="AC255" t="s">
        <v>690</v>
      </c>
      <c r="AE255" t="s">
        <v>342</v>
      </c>
    </row>
    <row r="256" spans="1:31" x14ac:dyDescent="0.25">
      <c r="A256" s="74">
        <v>36862</v>
      </c>
      <c r="B256" s="74" t="s">
        <v>1029</v>
      </c>
      <c r="C256" s="74" t="s">
        <v>1030</v>
      </c>
      <c r="D256" s="108" t="s">
        <v>397</v>
      </c>
      <c r="E256" s="108" t="s">
        <v>388</v>
      </c>
      <c r="F256" s="108" t="s">
        <v>388</v>
      </c>
      <c r="G256" s="108" t="s">
        <v>388</v>
      </c>
      <c r="H256" s="108" t="s">
        <v>397</v>
      </c>
      <c r="I256" s="109" t="s">
        <v>397</v>
      </c>
      <c r="J256" s="110" t="s">
        <v>397</v>
      </c>
      <c r="K256" s="110" t="s">
        <v>397</v>
      </c>
      <c r="L256" s="110" t="s">
        <v>397</v>
      </c>
      <c r="M256" s="110" t="s">
        <v>397</v>
      </c>
      <c r="N256" s="110" t="s">
        <v>397</v>
      </c>
      <c r="O256" s="111" t="s">
        <v>397</v>
      </c>
      <c r="P256" s="111" t="s">
        <v>397</v>
      </c>
      <c r="Q256" s="111" t="s">
        <v>397</v>
      </c>
      <c r="R256" s="111" t="s">
        <v>397</v>
      </c>
      <c r="S256" s="111" t="s">
        <v>388</v>
      </c>
      <c r="T256" s="113" t="s">
        <v>763</v>
      </c>
      <c r="U256" s="111" t="s">
        <v>466</v>
      </c>
      <c r="V256" s="114" t="s">
        <v>466</v>
      </c>
      <c r="W256" s="83" t="s">
        <v>399</v>
      </c>
      <c r="X256" s="114" t="s">
        <v>523</v>
      </c>
      <c r="Y256" s="114" t="s">
        <v>519</v>
      </c>
      <c r="Z256" s="114" t="s">
        <v>392</v>
      </c>
      <c r="AA256" t="s">
        <v>401</v>
      </c>
      <c r="AB256" t="s">
        <v>374</v>
      </c>
      <c r="AC256" t="s">
        <v>693</v>
      </c>
      <c r="AE256" t="s">
        <v>342</v>
      </c>
    </row>
    <row r="257" spans="1:31" x14ac:dyDescent="0.25">
      <c r="A257" s="74">
        <v>36863</v>
      </c>
      <c r="B257" s="74" t="s">
        <v>1031</v>
      </c>
      <c r="C257" s="74" t="s">
        <v>1032</v>
      </c>
      <c r="D257" s="108" t="s">
        <v>397</v>
      </c>
      <c r="E257" s="108" t="s">
        <v>388</v>
      </c>
      <c r="F257" s="108" t="s">
        <v>388</v>
      </c>
      <c r="G257" s="108" t="s">
        <v>388</v>
      </c>
      <c r="H257" s="108" t="s">
        <v>397</v>
      </c>
      <c r="I257" s="109" t="s">
        <v>397</v>
      </c>
      <c r="J257" s="110" t="s">
        <v>397</v>
      </c>
      <c r="K257" s="110" t="s">
        <v>397</v>
      </c>
      <c r="L257" s="110" t="s">
        <v>397</v>
      </c>
      <c r="M257" s="110" t="s">
        <v>397</v>
      </c>
      <c r="N257" s="110" t="s">
        <v>397</v>
      </c>
      <c r="O257" s="111" t="s">
        <v>397</v>
      </c>
      <c r="P257" s="111" t="s">
        <v>397</v>
      </c>
      <c r="Q257" s="111" t="s">
        <v>397</v>
      </c>
      <c r="R257" s="111" t="s">
        <v>397</v>
      </c>
      <c r="S257" s="111" t="s">
        <v>397</v>
      </c>
      <c r="T257" s="113" t="s">
        <v>763</v>
      </c>
      <c r="U257" s="111" t="s">
        <v>466</v>
      </c>
      <c r="V257" s="114" t="s">
        <v>466</v>
      </c>
      <c r="W257" s="83" t="s">
        <v>399</v>
      </c>
      <c r="X257" s="114" t="s">
        <v>523</v>
      </c>
      <c r="Y257" s="114" t="s">
        <v>523</v>
      </c>
      <c r="Z257" s="114" t="s">
        <v>392</v>
      </c>
      <c r="AA257" t="s">
        <v>401</v>
      </c>
      <c r="AB257" t="s">
        <v>374</v>
      </c>
      <c r="AC257" t="s">
        <v>696</v>
      </c>
      <c r="AE257" t="s">
        <v>342</v>
      </c>
    </row>
    <row r="258" spans="1:31" x14ac:dyDescent="0.25">
      <c r="A258" s="74">
        <v>36864</v>
      </c>
      <c r="B258" s="74" t="s">
        <v>1033</v>
      </c>
      <c r="C258" s="74" t="s">
        <v>1034</v>
      </c>
      <c r="D258" s="108" t="s">
        <v>397</v>
      </c>
      <c r="E258" s="108" t="s">
        <v>388</v>
      </c>
      <c r="F258" s="108" t="s">
        <v>388</v>
      </c>
      <c r="G258" s="108" t="s">
        <v>397</v>
      </c>
      <c r="H258" s="108" t="s">
        <v>388</v>
      </c>
      <c r="I258" s="109" t="s">
        <v>388</v>
      </c>
      <c r="J258" s="110" t="s">
        <v>388</v>
      </c>
      <c r="K258" s="110" t="s">
        <v>388</v>
      </c>
      <c r="L258" s="110" t="s">
        <v>388</v>
      </c>
      <c r="M258" s="110" t="s">
        <v>388</v>
      </c>
      <c r="N258" s="110" t="s">
        <v>388</v>
      </c>
      <c r="O258" s="111" t="s">
        <v>388</v>
      </c>
      <c r="P258" s="111" t="s">
        <v>388</v>
      </c>
      <c r="Q258" s="111" t="s">
        <v>388</v>
      </c>
      <c r="R258" s="111" t="s">
        <v>388</v>
      </c>
      <c r="S258" s="111" t="s">
        <v>388</v>
      </c>
      <c r="T258" s="113" t="s">
        <v>1035</v>
      </c>
      <c r="U258" s="111" t="s">
        <v>470</v>
      </c>
      <c r="V258" s="114" t="s">
        <v>470</v>
      </c>
      <c r="W258" s="83" t="s">
        <v>399</v>
      </c>
      <c r="X258" s="114" t="s">
        <v>390</v>
      </c>
      <c r="Y258" s="114" t="s">
        <v>390</v>
      </c>
      <c r="Z258" s="114" t="s">
        <v>392</v>
      </c>
      <c r="AA258" t="s">
        <v>401</v>
      </c>
      <c r="AB258" t="s">
        <v>374</v>
      </c>
      <c r="AC258" t="s">
        <v>394</v>
      </c>
      <c r="AE258" t="s">
        <v>342</v>
      </c>
    </row>
    <row r="259" spans="1:31" x14ac:dyDescent="0.25">
      <c r="A259" s="74">
        <v>36865</v>
      </c>
      <c r="B259" s="74" t="s">
        <v>1036</v>
      </c>
      <c r="C259" s="74" t="s">
        <v>1037</v>
      </c>
      <c r="D259" s="108" t="s">
        <v>397</v>
      </c>
      <c r="E259" s="108" t="s">
        <v>388</v>
      </c>
      <c r="F259" s="108" t="s">
        <v>388</v>
      </c>
      <c r="G259" s="108" t="s">
        <v>397</v>
      </c>
      <c r="H259" s="108" t="s">
        <v>388</v>
      </c>
      <c r="I259" s="109" t="s">
        <v>388</v>
      </c>
      <c r="J259" s="110" t="s">
        <v>388</v>
      </c>
      <c r="K259" s="110" t="s">
        <v>388</v>
      </c>
      <c r="L259" s="110" t="s">
        <v>388</v>
      </c>
      <c r="M259" s="110" t="s">
        <v>388</v>
      </c>
      <c r="N259" s="110" t="s">
        <v>388</v>
      </c>
      <c r="O259" s="111" t="s">
        <v>388</v>
      </c>
      <c r="P259" s="111" t="s">
        <v>388</v>
      </c>
      <c r="Q259" s="111" t="s">
        <v>388</v>
      </c>
      <c r="R259" s="111" t="s">
        <v>388</v>
      </c>
      <c r="S259" s="111" t="s">
        <v>397</v>
      </c>
      <c r="T259" s="113" t="s">
        <v>1035</v>
      </c>
      <c r="U259" s="111" t="s">
        <v>470</v>
      </c>
      <c r="V259" s="114" t="s">
        <v>470</v>
      </c>
      <c r="W259" s="83" t="s">
        <v>399</v>
      </c>
      <c r="X259" s="114" t="s">
        <v>390</v>
      </c>
      <c r="Y259" s="114" t="s">
        <v>400</v>
      </c>
      <c r="Z259" s="114" t="s">
        <v>392</v>
      </c>
      <c r="AA259" t="s">
        <v>401</v>
      </c>
      <c r="AB259" t="s">
        <v>374</v>
      </c>
      <c r="AC259" t="s">
        <v>402</v>
      </c>
      <c r="AE259" t="s">
        <v>342</v>
      </c>
    </row>
    <row r="260" spans="1:31" x14ac:dyDescent="0.25">
      <c r="A260" s="74">
        <v>36866</v>
      </c>
      <c r="B260" s="74" t="s">
        <v>1038</v>
      </c>
      <c r="C260" s="74" t="s">
        <v>1039</v>
      </c>
      <c r="D260" s="108" t="s">
        <v>397</v>
      </c>
      <c r="E260" s="108" t="s">
        <v>388</v>
      </c>
      <c r="F260" s="108" t="s">
        <v>388</v>
      </c>
      <c r="G260" s="108" t="s">
        <v>397</v>
      </c>
      <c r="H260" s="108" t="s">
        <v>388</v>
      </c>
      <c r="I260" s="109" t="s">
        <v>388</v>
      </c>
      <c r="J260" s="110" t="s">
        <v>388</v>
      </c>
      <c r="K260" s="110" t="s">
        <v>388</v>
      </c>
      <c r="L260" s="110" t="s">
        <v>388</v>
      </c>
      <c r="M260" s="110" t="s">
        <v>388</v>
      </c>
      <c r="N260" s="110" t="s">
        <v>388</v>
      </c>
      <c r="O260" s="111" t="s">
        <v>388</v>
      </c>
      <c r="P260" s="111" t="s">
        <v>388</v>
      </c>
      <c r="Q260" s="111" t="s">
        <v>388</v>
      </c>
      <c r="R260" s="111" t="s">
        <v>397</v>
      </c>
      <c r="S260" s="111" t="s">
        <v>388</v>
      </c>
      <c r="T260" s="113" t="s">
        <v>1035</v>
      </c>
      <c r="U260" s="111" t="s">
        <v>470</v>
      </c>
      <c r="V260" s="114" t="s">
        <v>470</v>
      </c>
      <c r="W260" s="83" t="s">
        <v>399</v>
      </c>
      <c r="X260" s="114" t="s">
        <v>390</v>
      </c>
      <c r="Y260" s="114" t="s">
        <v>405</v>
      </c>
      <c r="Z260" s="114" t="s">
        <v>392</v>
      </c>
      <c r="AA260" t="s">
        <v>401</v>
      </c>
      <c r="AB260" t="s">
        <v>374</v>
      </c>
      <c r="AC260" t="s">
        <v>406</v>
      </c>
      <c r="AE260" t="s">
        <v>342</v>
      </c>
    </row>
    <row r="261" spans="1:31" x14ac:dyDescent="0.25">
      <c r="A261" s="74">
        <v>36867</v>
      </c>
      <c r="B261" s="74" t="s">
        <v>1040</v>
      </c>
      <c r="C261" s="74" t="s">
        <v>1041</v>
      </c>
      <c r="D261" s="108" t="s">
        <v>397</v>
      </c>
      <c r="E261" s="108" t="s">
        <v>388</v>
      </c>
      <c r="F261" s="108" t="s">
        <v>388</v>
      </c>
      <c r="G261" s="108" t="s">
        <v>397</v>
      </c>
      <c r="H261" s="108" t="s">
        <v>388</v>
      </c>
      <c r="I261" s="109" t="s">
        <v>388</v>
      </c>
      <c r="J261" s="110" t="s">
        <v>388</v>
      </c>
      <c r="K261" s="110" t="s">
        <v>388</v>
      </c>
      <c r="L261" s="110" t="s">
        <v>388</v>
      </c>
      <c r="M261" s="110" t="s">
        <v>388</v>
      </c>
      <c r="N261" s="110" t="s">
        <v>388</v>
      </c>
      <c r="O261" s="111" t="s">
        <v>388</v>
      </c>
      <c r="P261" s="111" t="s">
        <v>388</v>
      </c>
      <c r="Q261" s="111" t="s">
        <v>388</v>
      </c>
      <c r="R261" s="111" t="s">
        <v>397</v>
      </c>
      <c r="S261" s="111" t="s">
        <v>397</v>
      </c>
      <c r="T261" s="113" t="s">
        <v>1035</v>
      </c>
      <c r="U261" s="111" t="s">
        <v>470</v>
      </c>
      <c r="V261" s="114" t="s">
        <v>470</v>
      </c>
      <c r="W261" s="83" t="s">
        <v>399</v>
      </c>
      <c r="X261" s="114" t="s">
        <v>390</v>
      </c>
      <c r="Y261" s="114" t="s">
        <v>409</v>
      </c>
      <c r="Z261" s="114" t="s">
        <v>392</v>
      </c>
      <c r="AA261" t="s">
        <v>401</v>
      </c>
      <c r="AB261" t="s">
        <v>374</v>
      </c>
      <c r="AC261" t="s">
        <v>410</v>
      </c>
      <c r="AE261" t="s">
        <v>342</v>
      </c>
    </row>
    <row r="262" spans="1:31" x14ac:dyDescent="0.25">
      <c r="A262" s="74">
        <v>36868</v>
      </c>
      <c r="B262" s="74" t="s">
        <v>1042</v>
      </c>
      <c r="C262" s="74" t="s">
        <v>1043</v>
      </c>
      <c r="D262" s="108" t="s">
        <v>397</v>
      </c>
      <c r="E262" s="108" t="s">
        <v>388</v>
      </c>
      <c r="F262" s="108" t="s">
        <v>388</v>
      </c>
      <c r="G262" s="108" t="s">
        <v>397</v>
      </c>
      <c r="H262" s="108" t="s">
        <v>388</v>
      </c>
      <c r="I262" s="109" t="s">
        <v>388</v>
      </c>
      <c r="J262" s="110" t="s">
        <v>388</v>
      </c>
      <c r="K262" s="110" t="s">
        <v>388</v>
      </c>
      <c r="L262" s="110" t="s">
        <v>388</v>
      </c>
      <c r="M262" s="110" t="s">
        <v>388</v>
      </c>
      <c r="N262" s="110" t="s">
        <v>388</v>
      </c>
      <c r="O262" s="111" t="s">
        <v>388</v>
      </c>
      <c r="P262" s="111" t="s">
        <v>388</v>
      </c>
      <c r="Q262" s="111" t="s">
        <v>397</v>
      </c>
      <c r="R262" s="111" t="s">
        <v>388</v>
      </c>
      <c r="S262" s="111" t="s">
        <v>388</v>
      </c>
      <c r="T262" s="113" t="s">
        <v>1035</v>
      </c>
      <c r="U262" s="111" t="s">
        <v>470</v>
      </c>
      <c r="V262" s="114" t="s">
        <v>470</v>
      </c>
      <c r="W262" s="83" t="s">
        <v>399</v>
      </c>
      <c r="X262" s="114" t="s">
        <v>390</v>
      </c>
      <c r="Y262" s="114" t="s">
        <v>413</v>
      </c>
      <c r="Z262" s="114" t="s">
        <v>392</v>
      </c>
      <c r="AA262" t="s">
        <v>401</v>
      </c>
      <c r="AB262" t="s">
        <v>374</v>
      </c>
      <c r="AC262" t="s">
        <v>414</v>
      </c>
      <c r="AE262" t="s">
        <v>342</v>
      </c>
    </row>
    <row r="263" spans="1:31" x14ac:dyDescent="0.25">
      <c r="A263" s="74">
        <v>36869</v>
      </c>
      <c r="B263" s="74" t="s">
        <v>1044</v>
      </c>
      <c r="C263" s="74" t="s">
        <v>1045</v>
      </c>
      <c r="D263" s="108" t="s">
        <v>397</v>
      </c>
      <c r="E263" s="108" t="s">
        <v>388</v>
      </c>
      <c r="F263" s="108" t="s">
        <v>388</v>
      </c>
      <c r="G263" s="108" t="s">
        <v>397</v>
      </c>
      <c r="H263" s="108" t="s">
        <v>388</v>
      </c>
      <c r="I263" s="109" t="s">
        <v>388</v>
      </c>
      <c r="J263" s="110" t="s">
        <v>388</v>
      </c>
      <c r="K263" s="110" t="s">
        <v>388</v>
      </c>
      <c r="L263" s="110" t="s">
        <v>388</v>
      </c>
      <c r="M263" s="110" t="s">
        <v>388</v>
      </c>
      <c r="N263" s="110" t="s">
        <v>388</v>
      </c>
      <c r="O263" s="111" t="s">
        <v>388</v>
      </c>
      <c r="P263" s="111" t="s">
        <v>388</v>
      </c>
      <c r="Q263" s="111" t="s">
        <v>397</v>
      </c>
      <c r="R263" s="111" t="s">
        <v>388</v>
      </c>
      <c r="S263" s="111" t="s">
        <v>397</v>
      </c>
      <c r="T263" s="113" t="s">
        <v>1035</v>
      </c>
      <c r="U263" s="111" t="s">
        <v>470</v>
      </c>
      <c r="V263" s="114" t="s">
        <v>470</v>
      </c>
      <c r="W263" s="83" t="s">
        <v>399</v>
      </c>
      <c r="X263" s="114" t="s">
        <v>390</v>
      </c>
      <c r="Y263" s="114" t="s">
        <v>417</v>
      </c>
      <c r="Z263" s="114" t="s">
        <v>392</v>
      </c>
      <c r="AA263" t="s">
        <v>401</v>
      </c>
      <c r="AB263" t="s">
        <v>374</v>
      </c>
      <c r="AC263" t="s">
        <v>418</v>
      </c>
      <c r="AE263" t="s">
        <v>342</v>
      </c>
    </row>
    <row r="264" spans="1:31" x14ac:dyDescent="0.25">
      <c r="A264" s="74">
        <v>36870</v>
      </c>
      <c r="B264" s="74" t="s">
        <v>1046</v>
      </c>
      <c r="C264" s="74" t="s">
        <v>1047</v>
      </c>
      <c r="D264" s="108" t="s">
        <v>397</v>
      </c>
      <c r="E264" s="108" t="s">
        <v>388</v>
      </c>
      <c r="F264" s="108" t="s">
        <v>388</v>
      </c>
      <c r="G264" s="108" t="s">
        <v>397</v>
      </c>
      <c r="H264" s="108" t="s">
        <v>388</v>
      </c>
      <c r="I264" s="109" t="s">
        <v>388</v>
      </c>
      <c r="J264" s="110" t="s">
        <v>388</v>
      </c>
      <c r="K264" s="110" t="s">
        <v>388</v>
      </c>
      <c r="L264" s="110" t="s">
        <v>388</v>
      </c>
      <c r="M264" s="110" t="s">
        <v>388</v>
      </c>
      <c r="N264" s="110" t="s">
        <v>388</v>
      </c>
      <c r="O264" s="111" t="s">
        <v>388</v>
      </c>
      <c r="P264" s="111" t="s">
        <v>388</v>
      </c>
      <c r="Q264" s="111" t="s">
        <v>397</v>
      </c>
      <c r="R264" s="111" t="s">
        <v>397</v>
      </c>
      <c r="S264" s="111" t="s">
        <v>388</v>
      </c>
      <c r="T264" s="113" t="s">
        <v>1035</v>
      </c>
      <c r="U264" s="111" t="s">
        <v>470</v>
      </c>
      <c r="V264" s="114" t="s">
        <v>470</v>
      </c>
      <c r="W264" s="83" t="s">
        <v>399</v>
      </c>
      <c r="X264" s="114" t="s">
        <v>390</v>
      </c>
      <c r="Y264" s="114" t="s">
        <v>421</v>
      </c>
      <c r="Z264" s="114" t="s">
        <v>392</v>
      </c>
      <c r="AA264" t="s">
        <v>401</v>
      </c>
      <c r="AB264" t="s">
        <v>374</v>
      </c>
      <c r="AC264" t="s">
        <v>422</v>
      </c>
      <c r="AE264" t="s">
        <v>342</v>
      </c>
    </row>
    <row r="265" spans="1:31" x14ac:dyDescent="0.25">
      <c r="A265" s="74">
        <v>36871</v>
      </c>
      <c r="B265" s="74" t="s">
        <v>1048</v>
      </c>
      <c r="C265" s="74" t="s">
        <v>1049</v>
      </c>
      <c r="D265" s="108" t="s">
        <v>397</v>
      </c>
      <c r="E265" s="108" t="s">
        <v>388</v>
      </c>
      <c r="F265" s="108" t="s">
        <v>388</v>
      </c>
      <c r="G265" s="108" t="s">
        <v>397</v>
      </c>
      <c r="H265" s="108" t="s">
        <v>388</v>
      </c>
      <c r="I265" s="109" t="s">
        <v>388</v>
      </c>
      <c r="J265" s="110" t="s">
        <v>388</v>
      </c>
      <c r="K265" s="110" t="s">
        <v>388</v>
      </c>
      <c r="L265" s="110" t="s">
        <v>388</v>
      </c>
      <c r="M265" s="110" t="s">
        <v>388</v>
      </c>
      <c r="N265" s="110" t="s">
        <v>388</v>
      </c>
      <c r="O265" s="111" t="s">
        <v>388</v>
      </c>
      <c r="P265" s="111" t="s">
        <v>388</v>
      </c>
      <c r="Q265" s="111" t="s">
        <v>397</v>
      </c>
      <c r="R265" s="111" t="s">
        <v>397</v>
      </c>
      <c r="S265" s="111" t="s">
        <v>397</v>
      </c>
      <c r="T265" s="113" t="s">
        <v>1035</v>
      </c>
      <c r="U265" s="111" t="s">
        <v>470</v>
      </c>
      <c r="V265" s="114" t="s">
        <v>470</v>
      </c>
      <c r="W265" s="83" t="s">
        <v>399</v>
      </c>
      <c r="X265" s="114" t="s">
        <v>390</v>
      </c>
      <c r="Y265" s="114" t="s">
        <v>425</v>
      </c>
      <c r="Z265" s="114" t="s">
        <v>392</v>
      </c>
      <c r="AA265" t="s">
        <v>401</v>
      </c>
      <c r="AB265" t="s">
        <v>374</v>
      </c>
      <c r="AC265" t="s">
        <v>426</v>
      </c>
      <c r="AE265" t="s">
        <v>342</v>
      </c>
    </row>
    <row r="266" spans="1:31" x14ac:dyDescent="0.25">
      <c r="A266" s="74">
        <v>36872</v>
      </c>
      <c r="B266" s="74" t="s">
        <v>1050</v>
      </c>
      <c r="C266" s="74" t="s">
        <v>1051</v>
      </c>
      <c r="D266" s="108" t="s">
        <v>397</v>
      </c>
      <c r="E266" s="108" t="s">
        <v>388</v>
      </c>
      <c r="F266" s="108" t="s">
        <v>388</v>
      </c>
      <c r="G266" s="108" t="s">
        <v>397</v>
      </c>
      <c r="H266" s="108" t="s">
        <v>388</v>
      </c>
      <c r="I266" s="109" t="s">
        <v>388</v>
      </c>
      <c r="J266" s="110" t="s">
        <v>388</v>
      </c>
      <c r="K266" s="110" t="s">
        <v>388</v>
      </c>
      <c r="L266" s="110" t="s">
        <v>388</v>
      </c>
      <c r="M266" s="110" t="s">
        <v>388</v>
      </c>
      <c r="N266" s="110" t="s">
        <v>388</v>
      </c>
      <c r="O266" s="111" t="s">
        <v>388</v>
      </c>
      <c r="P266" s="111" t="s">
        <v>397</v>
      </c>
      <c r="Q266" s="111" t="s">
        <v>388</v>
      </c>
      <c r="R266" s="111" t="s">
        <v>388</v>
      </c>
      <c r="S266" s="111" t="s">
        <v>388</v>
      </c>
      <c r="T266" s="113" t="s">
        <v>1035</v>
      </c>
      <c r="U266" s="111" t="s">
        <v>470</v>
      </c>
      <c r="V266" s="114" t="s">
        <v>470</v>
      </c>
      <c r="W266" s="83" t="s">
        <v>399</v>
      </c>
      <c r="X266" s="114" t="s">
        <v>390</v>
      </c>
      <c r="Y266" s="114" t="s">
        <v>429</v>
      </c>
      <c r="Z266" s="114" t="s">
        <v>392</v>
      </c>
      <c r="AA266" t="s">
        <v>401</v>
      </c>
      <c r="AB266" t="s">
        <v>374</v>
      </c>
      <c r="AC266" t="s">
        <v>430</v>
      </c>
      <c r="AE266" t="s">
        <v>342</v>
      </c>
    </row>
    <row r="267" spans="1:31" x14ac:dyDescent="0.25">
      <c r="A267" s="74">
        <v>36873</v>
      </c>
      <c r="B267" s="74" t="s">
        <v>1052</v>
      </c>
      <c r="C267" s="74" t="s">
        <v>1053</v>
      </c>
      <c r="D267" s="108" t="s">
        <v>397</v>
      </c>
      <c r="E267" s="108" t="s">
        <v>388</v>
      </c>
      <c r="F267" s="108" t="s">
        <v>388</v>
      </c>
      <c r="G267" s="108" t="s">
        <v>397</v>
      </c>
      <c r="H267" s="108" t="s">
        <v>388</v>
      </c>
      <c r="I267" s="109" t="s">
        <v>388</v>
      </c>
      <c r="J267" s="110" t="s">
        <v>388</v>
      </c>
      <c r="K267" s="110" t="s">
        <v>388</v>
      </c>
      <c r="L267" s="110" t="s">
        <v>388</v>
      </c>
      <c r="M267" s="110" t="s">
        <v>388</v>
      </c>
      <c r="N267" s="110" t="s">
        <v>388</v>
      </c>
      <c r="O267" s="111" t="s">
        <v>388</v>
      </c>
      <c r="P267" s="111" t="s">
        <v>397</v>
      </c>
      <c r="Q267" s="111" t="s">
        <v>388</v>
      </c>
      <c r="R267" s="111" t="s">
        <v>388</v>
      </c>
      <c r="S267" s="111" t="s">
        <v>397</v>
      </c>
      <c r="T267" s="113" t="s">
        <v>1035</v>
      </c>
      <c r="U267" s="111" t="s">
        <v>470</v>
      </c>
      <c r="V267" s="114" t="s">
        <v>470</v>
      </c>
      <c r="W267" s="83" t="s">
        <v>399</v>
      </c>
      <c r="X267" s="114" t="s">
        <v>390</v>
      </c>
      <c r="Y267" s="114" t="s">
        <v>433</v>
      </c>
      <c r="Z267" s="114" t="s">
        <v>392</v>
      </c>
      <c r="AA267" t="s">
        <v>401</v>
      </c>
      <c r="AB267" t="s">
        <v>374</v>
      </c>
      <c r="AC267" t="s">
        <v>434</v>
      </c>
      <c r="AE267" t="s">
        <v>342</v>
      </c>
    </row>
    <row r="268" spans="1:31" x14ac:dyDescent="0.25">
      <c r="A268" s="74">
        <v>36874</v>
      </c>
      <c r="B268" s="74" t="s">
        <v>1054</v>
      </c>
      <c r="C268" s="74" t="s">
        <v>1055</v>
      </c>
      <c r="D268" s="108" t="s">
        <v>397</v>
      </c>
      <c r="E268" s="108" t="s">
        <v>388</v>
      </c>
      <c r="F268" s="108" t="s">
        <v>388</v>
      </c>
      <c r="G268" s="108" t="s">
        <v>397</v>
      </c>
      <c r="H268" s="108" t="s">
        <v>388</v>
      </c>
      <c r="I268" s="109" t="s">
        <v>388</v>
      </c>
      <c r="J268" s="110" t="s">
        <v>388</v>
      </c>
      <c r="K268" s="110" t="s">
        <v>388</v>
      </c>
      <c r="L268" s="110" t="s">
        <v>388</v>
      </c>
      <c r="M268" s="110" t="s">
        <v>388</v>
      </c>
      <c r="N268" s="110" t="s">
        <v>388</v>
      </c>
      <c r="O268" s="111" t="s">
        <v>388</v>
      </c>
      <c r="P268" s="111" t="s">
        <v>397</v>
      </c>
      <c r="Q268" s="111" t="s">
        <v>388</v>
      </c>
      <c r="R268" s="111" t="s">
        <v>397</v>
      </c>
      <c r="S268" s="111" t="s">
        <v>388</v>
      </c>
      <c r="T268" s="113" t="s">
        <v>1035</v>
      </c>
      <c r="U268" s="111" t="s">
        <v>470</v>
      </c>
      <c r="V268" s="114" t="s">
        <v>470</v>
      </c>
      <c r="W268" s="83" t="s">
        <v>399</v>
      </c>
      <c r="X268" s="114" t="s">
        <v>390</v>
      </c>
      <c r="Y268" s="114" t="s">
        <v>437</v>
      </c>
      <c r="Z268" s="114" t="s">
        <v>392</v>
      </c>
      <c r="AA268" t="s">
        <v>401</v>
      </c>
      <c r="AB268" t="s">
        <v>374</v>
      </c>
      <c r="AC268" t="s">
        <v>438</v>
      </c>
      <c r="AE268" t="s">
        <v>342</v>
      </c>
    </row>
    <row r="269" spans="1:31" x14ac:dyDescent="0.25">
      <c r="A269" s="74">
        <v>36875</v>
      </c>
      <c r="B269" s="74" t="s">
        <v>1056</v>
      </c>
      <c r="C269" s="74" t="s">
        <v>1057</v>
      </c>
      <c r="D269" s="108" t="s">
        <v>397</v>
      </c>
      <c r="E269" s="108" t="s">
        <v>388</v>
      </c>
      <c r="F269" s="108" t="s">
        <v>388</v>
      </c>
      <c r="G269" s="108" t="s">
        <v>397</v>
      </c>
      <c r="H269" s="108" t="s">
        <v>388</v>
      </c>
      <c r="I269" s="109" t="s">
        <v>388</v>
      </c>
      <c r="J269" s="110" t="s">
        <v>388</v>
      </c>
      <c r="K269" s="110" t="s">
        <v>388</v>
      </c>
      <c r="L269" s="110" t="s">
        <v>388</v>
      </c>
      <c r="M269" s="110" t="s">
        <v>388</v>
      </c>
      <c r="N269" s="110" t="s">
        <v>388</v>
      </c>
      <c r="O269" s="111" t="s">
        <v>388</v>
      </c>
      <c r="P269" s="111" t="s">
        <v>397</v>
      </c>
      <c r="Q269" s="111" t="s">
        <v>388</v>
      </c>
      <c r="R269" s="111" t="s">
        <v>397</v>
      </c>
      <c r="S269" s="111" t="s">
        <v>397</v>
      </c>
      <c r="T269" s="113" t="s">
        <v>1035</v>
      </c>
      <c r="U269" s="111" t="s">
        <v>470</v>
      </c>
      <c r="V269" s="114" t="s">
        <v>470</v>
      </c>
      <c r="W269" s="83" t="s">
        <v>399</v>
      </c>
      <c r="X269" s="114" t="s">
        <v>390</v>
      </c>
      <c r="Y269" s="114" t="s">
        <v>441</v>
      </c>
      <c r="Z269" s="114" t="s">
        <v>392</v>
      </c>
      <c r="AA269" t="s">
        <v>401</v>
      </c>
      <c r="AB269" t="s">
        <v>374</v>
      </c>
      <c r="AC269" t="s">
        <v>442</v>
      </c>
      <c r="AE269" t="s">
        <v>342</v>
      </c>
    </row>
    <row r="270" spans="1:31" x14ac:dyDescent="0.25">
      <c r="A270" s="74">
        <v>36876</v>
      </c>
      <c r="B270" s="74" t="s">
        <v>1058</v>
      </c>
      <c r="C270" s="74" t="s">
        <v>1059</v>
      </c>
      <c r="D270" s="108" t="s">
        <v>397</v>
      </c>
      <c r="E270" s="108" t="s">
        <v>388</v>
      </c>
      <c r="F270" s="108" t="s">
        <v>388</v>
      </c>
      <c r="G270" s="108" t="s">
        <v>397</v>
      </c>
      <c r="H270" s="108" t="s">
        <v>388</v>
      </c>
      <c r="I270" s="109" t="s">
        <v>388</v>
      </c>
      <c r="J270" s="110" t="s">
        <v>388</v>
      </c>
      <c r="K270" s="110" t="s">
        <v>388</v>
      </c>
      <c r="L270" s="110" t="s">
        <v>388</v>
      </c>
      <c r="M270" s="110" t="s">
        <v>388</v>
      </c>
      <c r="N270" s="110" t="s">
        <v>388</v>
      </c>
      <c r="O270" s="111" t="s">
        <v>388</v>
      </c>
      <c r="P270" s="111" t="s">
        <v>397</v>
      </c>
      <c r="Q270" s="111" t="s">
        <v>397</v>
      </c>
      <c r="R270" s="111" t="s">
        <v>388</v>
      </c>
      <c r="S270" s="111" t="s">
        <v>388</v>
      </c>
      <c r="T270" s="113" t="s">
        <v>1035</v>
      </c>
      <c r="U270" s="111" t="s">
        <v>470</v>
      </c>
      <c r="V270" s="114" t="s">
        <v>470</v>
      </c>
      <c r="W270" s="83" t="s">
        <v>399</v>
      </c>
      <c r="X270" s="114" t="s">
        <v>390</v>
      </c>
      <c r="Y270" s="114" t="s">
        <v>445</v>
      </c>
      <c r="Z270" s="114" t="s">
        <v>392</v>
      </c>
      <c r="AA270" t="s">
        <v>401</v>
      </c>
      <c r="AB270" t="s">
        <v>374</v>
      </c>
      <c r="AC270" t="s">
        <v>446</v>
      </c>
      <c r="AE270" t="s">
        <v>342</v>
      </c>
    </row>
    <row r="271" spans="1:31" x14ac:dyDescent="0.25">
      <c r="A271" s="74">
        <v>36877</v>
      </c>
      <c r="B271" s="74" t="s">
        <v>1060</v>
      </c>
      <c r="C271" s="74" t="s">
        <v>1061</v>
      </c>
      <c r="D271" s="108" t="s">
        <v>397</v>
      </c>
      <c r="E271" s="108" t="s">
        <v>388</v>
      </c>
      <c r="F271" s="108" t="s">
        <v>388</v>
      </c>
      <c r="G271" s="108" t="s">
        <v>397</v>
      </c>
      <c r="H271" s="108" t="s">
        <v>388</v>
      </c>
      <c r="I271" s="109" t="s">
        <v>388</v>
      </c>
      <c r="J271" s="110" t="s">
        <v>388</v>
      </c>
      <c r="K271" s="110" t="s">
        <v>388</v>
      </c>
      <c r="L271" s="110" t="s">
        <v>388</v>
      </c>
      <c r="M271" s="110" t="s">
        <v>388</v>
      </c>
      <c r="N271" s="110" t="s">
        <v>388</v>
      </c>
      <c r="O271" s="111" t="s">
        <v>388</v>
      </c>
      <c r="P271" s="111" t="s">
        <v>397</v>
      </c>
      <c r="Q271" s="111" t="s">
        <v>397</v>
      </c>
      <c r="R271" s="111" t="s">
        <v>388</v>
      </c>
      <c r="S271" s="111" t="s">
        <v>397</v>
      </c>
      <c r="T271" s="113" t="s">
        <v>1035</v>
      </c>
      <c r="U271" s="111" t="s">
        <v>470</v>
      </c>
      <c r="V271" s="114" t="s">
        <v>470</v>
      </c>
      <c r="W271" s="83" t="s">
        <v>399</v>
      </c>
      <c r="X271" s="114" t="s">
        <v>390</v>
      </c>
      <c r="Y271" s="114" t="s">
        <v>449</v>
      </c>
      <c r="Z271" s="114" t="s">
        <v>392</v>
      </c>
      <c r="AA271" t="s">
        <v>401</v>
      </c>
      <c r="AB271" t="s">
        <v>374</v>
      </c>
      <c r="AC271" t="s">
        <v>450</v>
      </c>
      <c r="AE271" t="s">
        <v>342</v>
      </c>
    </row>
    <row r="272" spans="1:31" x14ac:dyDescent="0.25">
      <c r="A272" s="74">
        <v>36878</v>
      </c>
      <c r="B272" s="74" t="s">
        <v>1062</v>
      </c>
      <c r="C272" s="74" t="s">
        <v>1063</v>
      </c>
      <c r="D272" s="108" t="s">
        <v>397</v>
      </c>
      <c r="E272" s="108" t="s">
        <v>388</v>
      </c>
      <c r="F272" s="108" t="s">
        <v>388</v>
      </c>
      <c r="G272" s="108" t="s">
        <v>397</v>
      </c>
      <c r="H272" s="108" t="s">
        <v>388</v>
      </c>
      <c r="I272" s="109" t="s">
        <v>388</v>
      </c>
      <c r="J272" s="110" t="s">
        <v>388</v>
      </c>
      <c r="K272" s="110" t="s">
        <v>388</v>
      </c>
      <c r="L272" s="110" t="s">
        <v>388</v>
      </c>
      <c r="M272" s="110" t="s">
        <v>388</v>
      </c>
      <c r="N272" s="110" t="s">
        <v>388</v>
      </c>
      <c r="O272" s="111" t="s">
        <v>388</v>
      </c>
      <c r="P272" s="111" t="s">
        <v>397</v>
      </c>
      <c r="Q272" s="111" t="s">
        <v>397</v>
      </c>
      <c r="R272" s="111" t="s">
        <v>397</v>
      </c>
      <c r="S272" s="111" t="s">
        <v>388</v>
      </c>
      <c r="T272" s="113" t="s">
        <v>1035</v>
      </c>
      <c r="U272" s="111" t="s">
        <v>470</v>
      </c>
      <c r="V272" s="114" t="s">
        <v>470</v>
      </c>
      <c r="W272" s="83" t="s">
        <v>399</v>
      </c>
      <c r="X272" s="114" t="s">
        <v>390</v>
      </c>
      <c r="Y272" s="114" t="s">
        <v>453</v>
      </c>
      <c r="Z272" s="114" t="s">
        <v>392</v>
      </c>
      <c r="AA272" t="s">
        <v>401</v>
      </c>
      <c r="AB272" t="s">
        <v>374</v>
      </c>
      <c r="AC272" t="s">
        <v>454</v>
      </c>
      <c r="AE272" t="s">
        <v>342</v>
      </c>
    </row>
    <row r="273" spans="1:31" x14ac:dyDescent="0.25">
      <c r="A273" s="74">
        <v>36879</v>
      </c>
      <c r="B273" s="74" t="s">
        <v>1064</v>
      </c>
      <c r="C273" s="74" t="s">
        <v>1065</v>
      </c>
      <c r="D273" s="108" t="s">
        <v>397</v>
      </c>
      <c r="E273" s="108" t="s">
        <v>388</v>
      </c>
      <c r="F273" s="108" t="s">
        <v>388</v>
      </c>
      <c r="G273" s="108" t="s">
        <v>397</v>
      </c>
      <c r="H273" s="108" t="s">
        <v>388</v>
      </c>
      <c r="I273" s="109" t="s">
        <v>388</v>
      </c>
      <c r="J273" s="110" t="s">
        <v>388</v>
      </c>
      <c r="K273" s="110" t="s">
        <v>388</v>
      </c>
      <c r="L273" s="110" t="s">
        <v>388</v>
      </c>
      <c r="M273" s="110" t="s">
        <v>388</v>
      </c>
      <c r="N273" s="110" t="s">
        <v>388</v>
      </c>
      <c r="O273" s="111" t="s">
        <v>388</v>
      </c>
      <c r="P273" s="111" t="s">
        <v>397</v>
      </c>
      <c r="Q273" s="111" t="s">
        <v>397</v>
      </c>
      <c r="R273" s="111" t="s">
        <v>397</v>
      </c>
      <c r="S273" s="111" t="s">
        <v>397</v>
      </c>
      <c r="T273" s="113" t="s">
        <v>1035</v>
      </c>
      <c r="U273" s="111" t="s">
        <v>470</v>
      </c>
      <c r="V273" s="114" t="s">
        <v>470</v>
      </c>
      <c r="W273" s="83" t="s">
        <v>399</v>
      </c>
      <c r="X273" s="114" t="s">
        <v>390</v>
      </c>
      <c r="Y273" s="114" t="s">
        <v>457</v>
      </c>
      <c r="Z273" s="114" t="s">
        <v>392</v>
      </c>
      <c r="AA273" t="s">
        <v>401</v>
      </c>
      <c r="AB273" t="s">
        <v>374</v>
      </c>
      <c r="AC273" t="s">
        <v>458</v>
      </c>
      <c r="AE273" t="s">
        <v>342</v>
      </c>
    </row>
    <row r="274" spans="1:31" x14ac:dyDescent="0.25">
      <c r="A274" s="74">
        <v>36880</v>
      </c>
      <c r="B274" s="74" t="s">
        <v>1066</v>
      </c>
      <c r="C274" s="74" t="s">
        <v>1067</v>
      </c>
      <c r="D274" s="108" t="s">
        <v>397</v>
      </c>
      <c r="E274" s="108" t="s">
        <v>388</v>
      </c>
      <c r="F274" s="108" t="s">
        <v>388</v>
      </c>
      <c r="G274" s="108" t="s">
        <v>397</v>
      </c>
      <c r="H274" s="108" t="s">
        <v>388</v>
      </c>
      <c r="I274" s="109" t="s">
        <v>388</v>
      </c>
      <c r="J274" s="110" t="s">
        <v>388</v>
      </c>
      <c r="K274" s="110" t="s">
        <v>388</v>
      </c>
      <c r="L274" s="110" t="s">
        <v>388</v>
      </c>
      <c r="M274" s="110" t="s">
        <v>388</v>
      </c>
      <c r="N274" s="110" t="s">
        <v>388</v>
      </c>
      <c r="O274" s="111" t="s">
        <v>397</v>
      </c>
      <c r="P274" s="111" t="s">
        <v>388</v>
      </c>
      <c r="Q274" s="111" t="s">
        <v>388</v>
      </c>
      <c r="R274" s="111" t="s">
        <v>388</v>
      </c>
      <c r="S274" s="111" t="s">
        <v>388</v>
      </c>
      <c r="T274" s="113" t="s">
        <v>1035</v>
      </c>
      <c r="U274" s="111" t="s">
        <v>470</v>
      </c>
      <c r="V274" s="114" t="s">
        <v>470</v>
      </c>
      <c r="W274" s="83" t="s">
        <v>399</v>
      </c>
      <c r="X274" s="114" t="s">
        <v>390</v>
      </c>
      <c r="Y274" s="114" t="s">
        <v>461</v>
      </c>
      <c r="Z274" s="114" t="s">
        <v>392</v>
      </c>
      <c r="AA274" t="s">
        <v>401</v>
      </c>
      <c r="AB274" t="s">
        <v>374</v>
      </c>
      <c r="AC274" t="s">
        <v>462</v>
      </c>
      <c r="AE274" t="s">
        <v>342</v>
      </c>
    </row>
    <row r="275" spans="1:31" x14ac:dyDescent="0.25">
      <c r="A275" s="74">
        <v>36881</v>
      </c>
      <c r="B275" s="74" t="s">
        <v>1068</v>
      </c>
      <c r="C275" s="74" t="s">
        <v>1069</v>
      </c>
      <c r="D275" s="108" t="s">
        <v>397</v>
      </c>
      <c r="E275" s="108" t="s">
        <v>388</v>
      </c>
      <c r="F275" s="108" t="s">
        <v>388</v>
      </c>
      <c r="G275" s="108" t="s">
        <v>397</v>
      </c>
      <c r="H275" s="108" t="s">
        <v>388</v>
      </c>
      <c r="I275" s="109" t="s">
        <v>388</v>
      </c>
      <c r="J275" s="110" t="s">
        <v>388</v>
      </c>
      <c r="K275" s="110" t="s">
        <v>388</v>
      </c>
      <c r="L275" s="110" t="s">
        <v>388</v>
      </c>
      <c r="M275" s="110" t="s">
        <v>388</v>
      </c>
      <c r="N275" s="110" t="s">
        <v>388</v>
      </c>
      <c r="O275" s="111" t="s">
        <v>397</v>
      </c>
      <c r="P275" s="111" t="s">
        <v>388</v>
      </c>
      <c r="Q275" s="111" t="s">
        <v>388</v>
      </c>
      <c r="R275" s="111" t="s">
        <v>388</v>
      </c>
      <c r="S275" s="111" t="s">
        <v>397</v>
      </c>
      <c r="T275" s="113" t="s">
        <v>1070</v>
      </c>
      <c r="U275" s="111" t="s">
        <v>470</v>
      </c>
      <c r="V275" s="114" t="s">
        <v>470</v>
      </c>
      <c r="W275" s="83" t="s">
        <v>399</v>
      </c>
      <c r="X275" s="114" t="s">
        <v>390</v>
      </c>
      <c r="Y275" s="114" t="s">
        <v>466</v>
      </c>
      <c r="Z275" s="114" t="s">
        <v>392</v>
      </c>
      <c r="AA275" t="s">
        <v>401</v>
      </c>
      <c r="AB275" t="s">
        <v>114</v>
      </c>
      <c r="AC275" t="s">
        <v>467</v>
      </c>
      <c r="AE275" t="s">
        <v>342</v>
      </c>
    </row>
    <row r="276" spans="1:31" x14ac:dyDescent="0.25">
      <c r="A276" s="74">
        <v>36882</v>
      </c>
      <c r="B276" s="74" t="s">
        <v>1071</v>
      </c>
      <c r="C276" s="74" t="s">
        <v>1072</v>
      </c>
      <c r="D276" s="108" t="s">
        <v>397</v>
      </c>
      <c r="E276" s="108" t="s">
        <v>388</v>
      </c>
      <c r="F276" s="108" t="s">
        <v>388</v>
      </c>
      <c r="G276" s="108" t="s">
        <v>397</v>
      </c>
      <c r="H276" s="108" t="s">
        <v>388</v>
      </c>
      <c r="I276" s="109" t="s">
        <v>388</v>
      </c>
      <c r="J276" s="110" t="s">
        <v>388</v>
      </c>
      <c r="K276" s="110" t="s">
        <v>388</v>
      </c>
      <c r="L276" s="110" t="s">
        <v>388</v>
      </c>
      <c r="M276" s="110" t="s">
        <v>388</v>
      </c>
      <c r="N276" s="110" t="s">
        <v>388</v>
      </c>
      <c r="O276" s="111" t="s">
        <v>397</v>
      </c>
      <c r="P276" s="111" t="s">
        <v>388</v>
      </c>
      <c r="Q276" s="111" t="s">
        <v>388</v>
      </c>
      <c r="R276" s="111" t="s">
        <v>397</v>
      </c>
      <c r="S276" s="111" t="s">
        <v>388</v>
      </c>
      <c r="T276" s="113" t="s">
        <v>1035</v>
      </c>
      <c r="U276" s="111" t="s">
        <v>470</v>
      </c>
      <c r="V276" s="114" t="s">
        <v>470</v>
      </c>
      <c r="W276" s="83" t="s">
        <v>399</v>
      </c>
      <c r="X276" s="114" t="s">
        <v>390</v>
      </c>
      <c r="Y276" s="114" t="s">
        <v>470</v>
      </c>
      <c r="Z276" s="114" t="s">
        <v>392</v>
      </c>
      <c r="AA276" t="s">
        <v>401</v>
      </c>
      <c r="AB276" t="s">
        <v>374</v>
      </c>
      <c r="AC276" t="s">
        <v>471</v>
      </c>
      <c r="AE276" t="s">
        <v>342</v>
      </c>
    </row>
    <row r="277" spans="1:31" x14ac:dyDescent="0.25">
      <c r="A277" s="74">
        <v>36883</v>
      </c>
      <c r="B277" s="74" t="s">
        <v>1073</v>
      </c>
      <c r="C277" s="74" t="s">
        <v>1074</v>
      </c>
      <c r="D277" s="108" t="s">
        <v>397</v>
      </c>
      <c r="E277" s="108" t="s">
        <v>388</v>
      </c>
      <c r="F277" s="108" t="s">
        <v>388</v>
      </c>
      <c r="G277" s="108" t="s">
        <v>397</v>
      </c>
      <c r="H277" s="108" t="s">
        <v>388</v>
      </c>
      <c r="I277" s="109" t="s">
        <v>388</v>
      </c>
      <c r="J277" s="110" t="s">
        <v>388</v>
      </c>
      <c r="K277" s="110" t="s">
        <v>388</v>
      </c>
      <c r="L277" s="110" t="s">
        <v>388</v>
      </c>
      <c r="M277" s="110" t="s">
        <v>388</v>
      </c>
      <c r="N277" s="110" t="s">
        <v>388</v>
      </c>
      <c r="O277" s="111" t="s">
        <v>397</v>
      </c>
      <c r="P277" s="111" t="s">
        <v>388</v>
      </c>
      <c r="Q277" s="111" t="s">
        <v>388</v>
      </c>
      <c r="R277" s="111" t="s">
        <v>397</v>
      </c>
      <c r="S277" s="111" t="s">
        <v>397</v>
      </c>
      <c r="T277" s="113" t="s">
        <v>1035</v>
      </c>
      <c r="U277" s="111" t="s">
        <v>470</v>
      </c>
      <c r="V277" s="114" t="s">
        <v>470</v>
      </c>
      <c r="W277" s="83" t="s">
        <v>399</v>
      </c>
      <c r="X277" s="114" t="s">
        <v>390</v>
      </c>
      <c r="Y277" s="114" t="s">
        <v>474</v>
      </c>
      <c r="Z277" s="114" t="s">
        <v>392</v>
      </c>
      <c r="AA277" t="s">
        <v>401</v>
      </c>
      <c r="AB277" t="s">
        <v>374</v>
      </c>
      <c r="AC277" t="s">
        <v>475</v>
      </c>
      <c r="AE277" t="s">
        <v>342</v>
      </c>
    </row>
    <row r="278" spans="1:31" x14ac:dyDescent="0.25">
      <c r="A278" s="74">
        <v>36884</v>
      </c>
      <c r="B278" s="74" t="s">
        <v>1075</v>
      </c>
      <c r="C278" s="74" t="s">
        <v>1076</v>
      </c>
      <c r="D278" s="108" t="s">
        <v>397</v>
      </c>
      <c r="E278" s="108" t="s">
        <v>388</v>
      </c>
      <c r="F278" s="108" t="s">
        <v>388</v>
      </c>
      <c r="G278" s="108" t="s">
        <v>397</v>
      </c>
      <c r="H278" s="108" t="s">
        <v>388</v>
      </c>
      <c r="I278" s="109" t="s">
        <v>388</v>
      </c>
      <c r="J278" s="110" t="s">
        <v>388</v>
      </c>
      <c r="K278" s="110" t="s">
        <v>388</v>
      </c>
      <c r="L278" s="110" t="s">
        <v>388</v>
      </c>
      <c r="M278" s="110" t="s">
        <v>388</v>
      </c>
      <c r="N278" s="110" t="s">
        <v>388</v>
      </c>
      <c r="O278" s="111" t="s">
        <v>397</v>
      </c>
      <c r="P278" s="111" t="s">
        <v>388</v>
      </c>
      <c r="Q278" s="111" t="s">
        <v>397</v>
      </c>
      <c r="R278" s="111" t="s">
        <v>388</v>
      </c>
      <c r="S278" s="111" t="s">
        <v>388</v>
      </c>
      <c r="T278" s="113" t="s">
        <v>1077</v>
      </c>
      <c r="U278" s="111" t="s">
        <v>470</v>
      </c>
      <c r="V278" s="114" t="s">
        <v>470</v>
      </c>
      <c r="W278" s="83" t="s">
        <v>399</v>
      </c>
      <c r="X278" s="114" t="s">
        <v>390</v>
      </c>
      <c r="Y278" s="114" t="s">
        <v>479</v>
      </c>
      <c r="Z278" s="114" t="s">
        <v>392</v>
      </c>
      <c r="AA278" t="s">
        <v>401</v>
      </c>
      <c r="AB278" t="s">
        <v>372</v>
      </c>
      <c r="AC278" t="s">
        <v>386</v>
      </c>
      <c r="AE278" t="s">
        <v>342</v>
      </c>
    </row>
    <row r="279" spans="1:31" x14ac:dyDescent="0.25">
      <c r="A279" s="74">
        <v>36885</v>
      </c>
      <c r="B279" s="74" t="s">
        <v>1078</v>
      </c>
      <c r="C279" s="74" t="s">
        <v>1079</v>
      </c>
      <c r="D279" s="108" t="s">
        <v>397</v>
      </c>
      <c r="E279" s="108" t="s">
        <v>388</v>
      </c>
      <c r="F279" s="108" t="s">
        <v>388</v>
      </c>
      <c r="G279" s="108" t="s">
        <v>397</v>
      </c>
      <c r="H279" s="108" t="s">
        <v>388</v>
      </c>
      <c r="I279" s="109" t="s">
        <v>388</v>
      </c>
      <c r="J279" s="110" t="s">
        <v>388</v>
      </c>
      <c r="K279" s="110" t="s">
        <v>388</v>
      </c>
      <c r="L279" s="110" t="s">
        <v>388</v>
      </c>
      <c r="M279" s="110" t="s">
        <v>388</v>
      </c>
      <c r="N279" s="110" t="s">
        <v>388</v>
      </c>
      <c r="O279" s="111" t="s">
        <v>397</v>
      </c>
      <c r="P279" s="111" t="s">
        <v>388</v>
      </c>
      <c r="Q279" s="111" t="s">
        <v>397</v>
      </c>
      <c r="R279" s="111" t="s">
        <v>388</v>
      </c>
      <c r="S279" s="111" t="s">
        <v>397</v>
      </c>
      <c r="T279" s="113" t="s">
        <v>1080</v>
      </c>
      <c r="U279" s="111" t="s">
        <v>470</v>
      </c>
      <c r="V279" s="114" t="s">
        <v>470</v>
      </c>
      <c r="W279" s="83" t="s">
        <v>399</v>
      </c>
      <c r="X279" s="114" t="s">
        <v>390</v>
      </c>
      <c r="Y279" s="114" t="s">
        <v>483</v>
      </c>
      <c r="Z279" s="114" t="s">
        <v>392</v>
      </c>
      <c r="AA279" t="s">
        <v>401</v>
      </c>
      <c r="AB279" t="s">
        <v>373</v>
      </c>
      <c r="AC279" t="s">
        <v>484</v>
      </c>
      <c r="AE279" t="s">
        <v>342</v>
      </c>
    </row>
    <row r="280" spans="1:31" x14ac:dyDescent="0.25">
      <c r="A280" s="74">
        <v>36886</v>
      </c>
      <c r="B280" s="74" t="s">
        <v>1081</v>
      </c>
      <c r="C280" s="74" t="s">
        <v>1082</v>
      </c>
      <c r="D280" s="108" t="s">
        <v>397</v>
      </c>
      <c r="E280" s="108" t="s">
        <v>388</v>
      </c>
      <c r="F280" s="108" t="s">
        <v>388</v>
      </c>
      <c r="G280" s="108" t="s">
        <v>397</v>
      </c>
      <c r="H280" s="108" t="s">
        <v>388</v>
      </c>
      <c r="I280" s="109" t="s">
        <v>388</v>
      </c>
      <c r="J280" s="110" t="s">
        <v>388</v>
      </c>
      <c r="K280" s="110" t="s">
        <v>388</v>
      </c>
      <c r="L280" s="110" t="s">
        <v>388</v>
      </c>
      <c r="M280" s="110" t="s">
        <v>388</v>
      </c>
      <c r="N280" s="110" t="s">
        <v>388</v>
      </c>
      <c r="O280" s="111" t="s">
        <v>397</v>
      </c>
      <c r="P280" s="111" t="s">
        <v>388</v>
      </c>
      <c r="Q280" s="111" t="s">
        <v>397</v>
      </c>
      <c r="R280" s="111" t="s">
        <v>397</v>
      </c>
      <c r="S280" s="111" t="s">
        <v>388</v>
      </c>
      <c r="T280" s="113" t="s">
        <v>1035</v>
      </c>
      <c r="U280" s="111" t="s">
        <v>470</v>
      </c>
      <c r="V280" s="114" t="s">
        <v>470</v>
      </c>
      <c r="W280" s="83" t="s">
        <v>399</v>
      </c>
      <c r="X280" s="114" t="s">
        <v>390</v>
      </c>
      <c r="Y280" s="114" t="s">
        <v>487</v>
      </c>
      <c r="Z280" s="114" t="s">
        <v>392</v>
      </c>
      <c r="AA280" t="s">
        <v>401</v>
      </c>
      <c r="AB280" t="s">
        <v>374</v>
      </c>
      <c r="AC280" t="s">
        <v>488</v>
      </c>
      <c r="AE280" t="s">
        <v>342</v>
      </c>
    </row>
    <row r="281" spans="1:31" x14ac:dyDescent="0.25">
      <c r="A281" s="74">
        <v>36887</v>
      </c>
      <c r="B281" s="74" t="s">
        <v>1083</v>
      </c>
      <c r="C281" s="74" t="s">
        <v>1084</v>
      </c>
      <c r="D281" s="108" t="s">
        <v>397</v>
      </c>
      <c r="E281" s="108" t="s">
        <v>388</v>
      </c>
      <c r="F281" s="108" t="s">
        <v>388</v>
      </c>
      <c r="G281" s="108" t="s">
        <v>397</v>
      </c>
      <c r="H281" s="108" t="s">
        <v>388</v>
      </c>
      <c r="I281" s="109" t="s">
        <v>388</v>
      </c>
      <c r="J281" s="110" t="s">
        <v>388</v>
      </c>
      <c r="K281" s="110" t="s">
        <v>388</v>
      </c>
      <c r="L281" s="110" t="s">
        <v>388</v>
      </c>
      <c r="M281" s="110" t="s">
        <v>388</v>
      </c>
      <c r="N281" s="110" t="s">
        <v>388</v>
      </c>
      <c r="O281" s="111" t="s">
        <v>397</v>
      </c>
      <c r="P281" s="111" t="s">
        <v>388</v>
      </c>
      <c r="Q281" s="111" t="s">
        <v>397</v>
      </c>
      <c r="R281" s="111" t="s">
        <v>397</v>
      </c>
      <c r="S281" s="111" t="s">
        <v>397</v>
      </c>
      <c r="T281" s="113" t="s">
        <v>1035</v>
      </c>
      <c r="U281" s="111" t="s">
        <v>470</v>
      </c>
      <c r="V281" s="114" t="s">
        <v>470</v>
      </c>
      <c r="W281" s="83" t="s">
        <v>399</v>
      </c>
      <c r="X281" s="114" t="s">
        <v>390</v>
      </c>
      <c r="Y281" s="114" t="s">
        <v>491</v>
      </c>
      <c r="Z281" s="114" t="s">
        <v>392</v>
      </c>
      <c r="AA281" t="s">
        <v>401</v>
      </c>
      <c r="AB281" t="s">
        <v>374</v>
      </c>
      <c r="AC281" t="s">
        <v>492</v>
      </c>
      <c r="AE281" t="s">
        <v>342</v>
      </c>
    </row>
    <row r="282" spans="1:31" x14ac:dyDescent="0.25">
      <c r="A282" s="74">
        <v>36888</v>
      </c>
      <c r="B282" s="74" t="s">
        <v>1085</v>
      </c>
      <c r="C282" s="74" t="s">
        <v>1086</v>
      </c>
      <c r="D282" s="108" t="s">
        <v>397</v>
      </c>
      <c r="E282" s="108" t="s">
        <v>388</v>
      </c>
      <c r="F282" s="108" t="s">
        <v>388</v>
      </c>
      <c r="G282" s="108" t="s">
        <v>397</v>
      </c>
      <c r="H282" s="108" t="s">
        <v>388</v>
      </c>
      <c r="I282" s="109" t="s">
        <v>388</v>
      </c>
      <c r="J282" s="110" t="s">
        <v>388</v>
      </c>
      <c r="K282" s="110" t="s">
        <v>388</v>
      </c>
      <c r="L282" s="110" t="s">
        <v>388</v>
      </c>
      <c r="M282" s="110" t="s">
        <v>388</v>
      </c>
      <c r="N282" s="110" t="s">
        <v>388</v>
      </c>
      <c r="O282" s="111" t="s">
        <v>397</v>
      </c>
      <c r="P282" s="111" t="s">
        <v>397</v>
      </c>
      <c r="Q282" s="111" t="s">
        <v>388</v>
      </c>
      <c r="R282" s="111" t="s">
        <v>388</v>
      </c>
      <c r="S282" s="111" t="s">
        <v>388</v>
      </c>
      <c r="T282" s="113" t="s">
        <v>1035</v>
      </c>
      <c r="U282" s="111" t="s">
        <v>470</v>
      </c>
      <c r="V282" s="114" t="s">
        <v>470</v>
      </c>
      <c r="W282" s="83" t="s">
        <v>399</v>
      </c>
      <c r="X282" s="114" t="s">
        <v>390</v>
      </c>
      <c r="Y282" s="114" t="s">
        <v>495</v>
      </c>
      <c r="Z282" s="114" t="s">
        <v>392</v>
      </c>
      <c r="AA282" t="s">
        <v>401</v>
      </c>
      <c r="AB282" t="s">
        <v>374</v>
      </c>
      <c r="AC282" t="s">
        <v>496</v>
      </c>
      <c r="AE282" t="s">
        <v>342</v>
      </c>
    </row>
    <row r="283" spans="1:31" x14ac:dyDescent="0.25">
      <c r="A283" s="74">
        <v>36889</v>
      </c>
      <c r="B283" s="74" t="s">
        <v>1087</v>
      </c>
      <c r="C283" s="74" t="s">
        <v>1088</v>
      </c>
      <c r="D283" s="108" t="s">
        <v>397</v>
      </c>
      <c r="E283" s="108" t="s">
        <v>388</v>
      </c>
      <c r="F283" s="108" t="s">
        <v>388</v>
      </c>
      <c r="G283" s="108" t="s">
        <v>397</v>
      </c>
      <c r="H283" s="108" t="s">
        <v>388</v>
      </c>
      <c r="I283" s="109" t="s">
        <v>388</v>
      </c>
      <c r="J283" s="110" t="s">
        <v>388</v>
      </c>
      <c r="K283" s="110" t="s">
        <v>388</v>
      </c>
      <c r="L283" s="110" t="s">
        <v>388</v>
      </c>
      <c r="M283" s="110" t="s">
        <v>388</v>
      </c>
      <c r="N283" s="110" t="s">
        <v>388</v>
      </c>
      <c r="O283" s="111" t="s">
        <v>397</v>
      </c>
      <c r="P283" s="111" t="s">
        <v>397</v>
      </c>
      <c r="Q283" s="111" t="s">
        <v>388</v>
      </c>
      <c r="R283" s="111" t="s">
        <v>388</v>
      </c>
      <c r="S283" s="111" t="s">
        <v>397</v>
      </c>
      <c r="T283" s="113" t="s">
        <v>1035</v>
      </c>
      <c r="U283" s="111" t="s">
        <v>470</v>
      </c>
      <c r="V283" s="114" t="s">
        <v>470</v>
      </c>
      <c r="W283" s="83" t="s">
        <v>399</v>
      </c>
      <c r="X283" s="114" t="s">
        <v>390</v>
      </c>
      <c r="Y283" s="114" t="s">
        <v>499</v>
      </c>
      <c r="Z283" s="114" t="s">
        <v>392</v>
      </c>
      <c r="AA283" t="s">
        <v>401</v>
      </c>
      <c r="AB283" t="s">
        <v>374</v>
      </c>
      <c r="AC283" t="s">
        <v>500</v>
      </c>
      <c r="AE283" t="s">
        <v>342</v>
      </c>
    </row>
    <row r="284" spans="1:31" x14ac:dyDescent="0.25">
      <c r="A284" s="74">
        <v>36890</v>
      </c>
      <c r="B284" s="74" t="s">
        <v>1089</v>
      </c>
      <c r="C284" s="74" t="s">
        <v>1090</v>
      </c>
      <c r="D284" s="108" t="s">
        <v>397</v>
      </c>
      <c r="E284" s="108" t="s">
        <v>388</v>
      </c>
      <c r="F284" s="108" t="s">
        <v>388</v>
      </c>
      <c r="G284" s="108" t="s">
        <v>397</v>
      </c>
      <c r="H284" s="108" t="s">
        <v>388</v>
      </c>
      <c r="I284" s="109" t="s">
        <v>388</v>
      </c>
      <c r="J284" s="110" t="s">
        <v>388</v>
      </c>
      <c r="K284" s="110" t="s">
        <v>388</v>
      </c>
      <c r="L284" s="110" t="s">
        <v>388</v>
      </c>
      <c r="M284" s="110" t="s">
        <v>388</v>
      </c>
      <c r="N284" s="110" t="s">
        <v>388</v>
      </c>
      <c r="O284" s="111" t="s">
        <v>397</v>
      </c>
      <c r="P284" s="111" t="s">
        <v>397</v>
      </c>
      <c r="Q284" s="111" t="s">
        <v>388</v>
      </c>
      <c r="R284" s="111" t="s">
        <v>397</v>
      </c>
      <c r="S284" s="111" t="s">
        <v>388</v>
      </c>
      <c r="T284" s="113" t="s">
        <v>1035</v>
      </c>
      <c r="U284" s="111" t="s">
        <v>470</v>
      </c>
      <c r="V284" s="114" t="s">
        <v>470</v>
      </c>
      <c r="W284" s="83" t="s">
        <v>399</v>
      </c>
      <c r="X284" s="114" t="s">
        <v>390</v>
      </c>
      <c r="Y284" s="114" t="s">
        <v>503</v>
      </c>
      <c r="Z284" s="114" t="s">
        <v>392</v>
      </c>
      <c r="AA284" t="s">
        <v>401</v>
      </c>
      <c r="AB284" t="s">
        <v>374</v>
      </c>
      <c r="AC284" t="s">
        <v>504</v>
      </c>
      <c r="AE284" t="s">
        <v>342</v>
      </c>
    </row>
    <row r="285" spans="1:31" x14ac:dyDescent="0.25">
      <c r="A285" s="74">
        <v>36891</v>
      </c>
      <c r="B285" s="74" t="s">
        <v>1091</v>
      </c>
      <c r="C285" s="74" t="s">
        <v>1092</v>
      </c>
      <c r="D285" s="108" t="s">
        <v>397</v>
      </c>
      <c r="E285" s="108" t="s">
        <v>388</v>
      </c>
      <c r="F285" s="108" t="s">
        <v>388</v>
      </c>
      <c r="G285" s="108" t="s">
        <v>397</v>
      </c>
      <c r="H285" s="108" t="s">
        <v>388</v>
      </c>
      <c r="I285" s="109" t="s">
        <v>388</v>
      </c>
      <c r="J285" s="110" t="s">
        <v>388</v>
      </c>
      <c r="K285" s="110" t="s">
        <v>388</v>
      </c>
      <c r="L285" s="110" t="s">
        <v>388</v>
      </c>
      <c r="M285" s="110" t="s">
        <v>388</v>
      </c>
      <c r="N285" s="110" t="s">
        <v>388</v>
      </c>
      <c r="O285" s="111" t="s">
        <v>397</v>
      </c>
      <c r="P285" s="111" t="s">
        <v>397</v>
      </c>
      <c r="Q285" s="111" t="s">
        <v>388</v>
      </c>
      <c r="R285" s="111" t="s">
        <v>397</v>
      </c>
      <c r="S285" s="111" t="s">
        <v>397</v>
      </c>
      <c r="T285" s="113" t="s">
        <v>1035</v>
      </c>
      <c r="U285" s="111" t="s">
        <v>470</v>
      </c>
      <c r="V285" s="114" t="s">
        <v>470</v>
      </c>
      <c r="W285" s="83" t="s">
        <v>399</v>
      </c>
      <c r="X285" s="114" t="s">
        <v>390</v>
      </c>
      <c r="Y285" s="114" t="s">
        <v>507</v>
      </c>
      <c r="Z285" s="114" t="s">
        <v>392</v>
      </c>
      <c r="AA285" t="s">
        <v>401</v>
      </c>
      <c r="AB285" t="s">
        <v>374</v>
      </c>
      <c r="AC285" t="s">
        <v>508</v>
      </c>
      <c r="AE285" t="s">
        <v>342</v>
      </c>
    </row>
    <row r="286" spans="1:31" x14ac:dyDescent="0.25">
      <c r="A286" s="74">
        <v>36892</v>
      </c>
      <c r="B286" s="74" t="s">
        <v>1093</v>
      </c>
      <c r="C286" s="74" t="s">
        <v>1094</v>
      </c>
      <c r="D286" s="108" t="s">
        <v>397</v>
      </c>
      <c r="E286" s="108" t="s">
        <v>388</v>
      </c>
      <c r="F286" s="108" t="s">
        <v>388</v>
      </c>
      <c r="G286" s="108" t="s">
        <v>397</v>
      </c>
      <c r="H286" s="108" t="s">
        <v>388</v>
      </c>
      <c r="I286" s="109" t="s">
        <v>388</v>
      </c>
      <c r="J286" s="110" t="s">
        <v>388</v>
      </c>
      <c r="K286" s="110" t="s">
        <v>388</v>
      </c>
      <c r="L286" s="110" t="s">
        <v>388</v>
      </c>
      <c r="M286" s="110" t="s">
        <v>388</v>
      </c>
      <c r="N286" s="110" t="s">
        <v>388</v>
      </c>
      <c r="O286" s="111" t="s">
        <v>397</v>
      </c>
      <c r="P286" s="111" t="s">
        <v>397</v>
      </c>
      <c r="Q286" s="111" t="s">
        <v>397</v>
      </c>
      <c r="R286" s="111" t="s">
        <v>388</v>
      </c>
      <c r="S286" s="111" t="s">
        <v>388</v>
      </c>
      <c r="T286" s="113" t="s">
        <v>1035</v>
      </c>
      <c r="U286" s="111" t="s">
        <v>470</v>
      </c>
      <c r="V286" s="114" t="s">
        <v>470</v>
      </c>
      <c r="W286" s="83" t="s">
        <v>399</v>
      </c>
      <c r="X286" s="114" t="s">
        <v>390</v>
      </c>
      <c r="Y286" s="114" t="s">
        <v>511</v>
      </c>
      <c r="Z286" s="114" t="s">
        <v>392</v>
      </c>
      <c r="AA286" t="s">
        <v>401</v>
      </c>
      <c r="AB286" t="s">
        <v>374</v>
      </c>
      <c r="AC286" t="s">
        <v>512</v>
      </c>
      <c r="AE286" t="s">
        <v>342</v>
      </c>
    </row>
    <row r="287" spans="1:31" x14ac:dyDescent="0.25">
      <c r="A287" s="74">
        <v>36893</v>
      </c>
      <c r="B287" s="74" t="s">
        <v>1095</v>
      </c>
      <c r="C287" s="74" t="s">
        <v>1096</v>
      </c>
      <c r="D287" s="108" t="s">
        <v>397</v>
      </c>
      <c r="E287" s="108" t="s">
        <v>388</v>
      </c>
      <c r="F287" s="108" t="s">
        <v>388</v>
      </c>
      <c r="G287" s="108" t="s">
        <v>397</v>
      </c>
      <c r="H287" s="108" t="s">
        <v>388</v>
      </c>
      <c r="I287" s="109" t="s">
        <v>388</v>
      </c>
      <c r="J287" s="110" t="s">
        <v>388</v>
      </c>
      <c r="K287" s="110" t="s">
        <v>388</v>
      </c>
      <c r="L287" s="110" t="s">
        <v>388</v>
      </c>
      <c r="M287" s="110" t="s">
        <v>388</v>
      </c>
      <c r="N287" s="110" t="s">
        <v>388</v>
      </c>
      <c r="O287" s="111" t="s">
        <v>397</v>
      </c>
      <c r="P287" s="111" t="s">
        <v>397</v>
      </c>
      <c r="Q287" s="111" t="s">
        <v>397</v>
      </c>
      <c r="R287" s="111" t="s">
        <v>388</v>
      </c>
      <c r="S287" s="111" t="s">
        <v>397</v>
      </c>
      <c r="T287" s="113" t="s">
        <v>1035</v>
      </c>
      <c r="U287" s="111" t="s">
        <v>470</v>
      </c>
      <c r="V287" s="114" t="s">
        <v>470</v>
      </c>
      <c r="W287" s="83" t="s">
        <v>399</v>
      </c>
      <c r="X287" s="114" t="s">
        <v>390</v>
      </c>
      <c r="Y287" s="114" t="s">
        <v>515</v>
      </c>
      <c r="Z287" s="114" t="s">
        <v>392</v>
      </c>
      <c r="AA287" t="s">
        <v>401</v>
      </c>
      <c r="AB287" t="s">
        <v>374</v>
      </c>
      <c r="AC287" t="s">
        <v>516</v>
      </c>
      <c r="AE287" t="s">
        <v>342</v>
      </c>
    </row>
    <row r="288" spans="1:31" x14ac:dyDescent="0.25">
      <c r="A288" s="74">
        <v>36894</v>
      </c>
      <c r="B288" s="74" t="s">
        <v>1097</v>
      </c>
      <c r="C288" s="74" t="s">
        <v>1098</v>
      </c>
      <c r="D288" s="108" t="s">
        <v>397</v>
      </c>
      <c r="E288" s="108" t="s">
        <v>388</v>
      </c>
      <c r="F288" s="108" t="s">
        <v>388</v>
      </c>
      <c r="G288" s="108" t="s">
        <v>397</v>
      </c>
      <c r="H288" s="108" t="s">
        <v>388</v>
      </c>
      <c r="I288" s="109" t="s">
        <v>388</v>
      </c>
      <c r="J288" s="110" t="s">
        <v>388</v>
      </c>
      <c r="K288" s="110" t="s">
        <v>388</v>
      </c>
      <c r="L288" s="110" t="s">
        <v>388</v>
      </c>
      <c r="M288" s="110" t="s">
        <v>388</v>
      </c>
      <c r="N288" s="110" t="s">
        <v>388</v>
      </c>
      <c r="O288" s="111" t="s">
        <v>397</v>
      </c>
      <c r="P288" s="111" t="s">
        <v>397</v>
      </c>
      <c r="Q288" s="111" t="s">
        <v>397</v>
      </c>
      <c r="R288" s="111" t="s">
        <v>397</v>
      </c>
      <c r="S288" s="111" t="s">
        <v>388</v>
      </c>
      <c r="T288" s="113" t="s">
        <v>1035</v>
      </c>
      <c r="U288" s="111" t="s">
        <v>470</v>
      </c>
      <c r="V288" s="114" t="s">
        <v>470</v>
      </c>
      <c r="W288" s="83" t="s">
        <v>399</v>
      </c>
      <c r="X288" s="114" t="s">
        <v>390</v>
      </c>
      <c r="Y288" s="114" t="s">
        <v>519</v>
      </c>
      <c r="Z288" s="114" t="s">
        <v>392</v>
      </c>
      <c r="AA288" t="s">
        <v>401</v>
      </c>
      <c r="AB288" t="s">
        <v>374</v>
      </c>
      <c r="AC288" t="s">
        <v>520</v>
      </c>
      <c r="AE288" t="s">
        <v>342</v>
      </c>
    </row>
    <row r="289" spans="1:31" x14ac:dyDescent="0.25">
      <c r="A289" s="74">
        <v>36895</v>
      </c>
      <c r="B289" s="74" t="s">
        <v>1099</v>
      </c>
      <c r="C289" s="74" t="s">
        <v>1100</v>
      </c>
      <c r="D289" s="108" t="s">
        <v>397</v>
      </c>
      <c r="E289" s="108" t="s">
        <v>388</v>
      </c>
      <c r="F289" s="108" t="s">
        <v>388</v>
      </c>
      <c r="G289" s="108" t="s">
        <v>397</v>
      </c>
      <c r="H289" s="108" t="s">
        <v>388</v>
      </c>
      <c r="I289" s="109" t="s">
        <v>388</v>
      </c>
      <c r="J289" s="110" t="s">
        <v>388</v>
      </c>
      <c r="K289" s="110" t="s">
        <v>388</v>
      </c>
      <c r="L289" s="110" t="s">
        <v>388</v>
      </c>
      <c r="M289" s="110" t="s">
        <v>388</v>
      </c>
      <c r="N289" s="110" t="s">
        <v>388</v>
      </c>
      <c r="O289" s="111" t="s">
        <v>397</v>
      </c>
      <c r="P289" s="111" t="s">
        <v>397</v>
      </c>
      <c r="Q289" s="111" t="s">
        <v>397</v>
      </c>
      <c r="R289" s="111" t="s">
        <v>397</v>
      </c>
      <c r="S289" s="111" t="s">
        <v>397</v>
      </c>
      <c r="T289" s="113" t="s">
        <v>1035</v>
      </c>
      <c r="U289" s="111" t="s">
        <v>470</v>
      </c>
      <c r="V289" s="114" t="s">
        <v>470</v>
      </c>
      <c r="W289" s="83" t="s">
        <v>399</v>
      </c>
      <c r="X289" s="114" t="s">
        <v>390</v>
      </c>
      <c r="Y289" s="114" t="s">
        <v>523</v>
      </c>
      <c r="Z289" s="114" t="s">
        <v>392</v>
      </c>
      <c r="AA289" t="s">
        <v>401</v>
      </c>
      <c r="AB289" t="s">
        <v>374</v>
      </c>
      <c r="AC289" t="s">
        <v>524</v>
      </c>
      <c r="AE289" t="s">
        <v>342</v>
      </c>
    </row>
    <row r="290" spans="1:31" x14ac:dyDescent="0.25">
      <c r="A290" s="74">
        <v>37856</v>
      </c>
      <c r="B290" s="74" t="s">
        <v>1101</v>
      </c>
      <c r="C290" s="74" t="s">
        <v>1102</v>
      </c>
      <c r="D290" s="108" t="s">
        <v>397</v>
      </c>
      <c r="E290" s="108" t="s">
        <v>388</v>
      </c>
      <c r="F290" s="108" t="s">
        <v>388</v>
      </c>
      <c r="G290" s="108" t="s">
        <v>397</v>
      </c>
      <c r="H290" s="108" t="s">
        <v>388</v>
      </c>
      <c r="I290" s="109" t="s">
        <v>388</v>
      </c>
      <c r="J290" s="110" t="s">
        <v>397</v>
      </c>
      <c r="K290" s="110" t="s">
        <v>397</v>
      </c>
      <c r="L290" s="110" t="s">
        <v>397</v>
      </c>
      <c r="M290" s="110" t="s">
        <v>397</v>
      </c>
      <c r="N290" s="110" t="s">
        <v>397</v>
      </c>
      <c r="O290" s="111" t="s">
        <v>388</v>
      </c>
      <c r="P290" s="111" t="s">
        <v>388</v>
      </c>
      <c r="Q290" s="111" t="s">
        <v>388</v>
      </c>
      <c r="R290" s="111" t="s">
        <v>388</v>
      </c>
      <c r="S290" s="111" t="s">
        <v>388</v>
      </c>
      <c r="T290" s="113" t="s">
        <v>1035</v>
      </c>
      <c r="U290" s="111" t="s">
        <v>470</v>
      </c>
      <c r="V290" s="114" t="s">
        <v>470</v>
      </c>
      <c r="W290" s="83" t="s">
        <v>399</v>
      </c>
      <c r="X290" s="114" t="s">
        <v>523</v>
      </c>
      <c r="Y290" s="114" t="s">
        <v>390</v>
      </c>
      <c r="Z290" s="114" t="s">
        <v>392</v>
      </c>
      <c r="AA290" t="s">
        <v>401</v>
      </c>
      <c r="AB290" t="s">
        <v>374</v>
      </c>
      <c r="AC290" t="s">
        <v>394</v>
      </c>
      <c r="AE290" t="s">
        <v>342</v>
      </c>
    </row>
    <row r="291" spans="1:31" x14ac:dyDescent="0.25">
      <c r="A291" s="74">
        <v>37857</v>
      </c>
      <c r="B291" s="74" t="s">
        <v>1103</v>
      </c>
      <c r="C291" s="74" t="s">
        <v>1104</v>
      </c>
      <c r="D291" s="108" t="s">
        <v>397</v>
      </c>
      <c r="E291" s="108" t="s">
        <v>388</v>
      </c>
      <c r="F291" s="108" t="s">
        <v>388</v>
      </c>
      <c r="G291" s="108" t="s">
        <v>397</v>
      </c>
      <c r="H291" s="108" t="s">
        <v>388</v>
      </c>
      <c r="I291" s="109" t="s">
        <v>388</v>
      </c>
      <c r="J291" s="110" t="s">
        <v>397</v>
      </c>
      <c r="K291" s="110" t="s">
        <v>397</v>
      </c>
      <c r="L291" s="110" t="s">
        <v>397</v>
      </c>
      <c r="M291" s="110" t="s">
        <v>397</v>
      </c>
      <c r="N291" s="110" t="s">
        <v>397</v>
      </c>
      <c r="O291" s="111" t="s">
        <v>388</v>
      </c>
      <c r="P291" s="111" t="s">
        <v>388</v>
      </c>
      <c r="Q291" s="111" t="s">
        <v>388</v>
      </c>
      <c r="R291" s="111" t="s">
        <v>388</v>
      </c>
      <c r="S291" s="111" t="s">
        <v>397</v>
      </c>
      <c r="T291" s="113" t="s">
        <v>1035</v>
      </c>
      <c r="U291" s="111" t="s">
        <v>470</v>
      </c>
      <c r="V291" s="114" t="s">
        <v>470</v>
      </c>
      <c r="W291" s="83" t="s">
        <v>399</v>
      </c>
      <c r="X291" s="114" t="s">
        <v>523</v>
      </c>
      <c r="Y291" s="114" t="s">
        <v>400</v>
      </c>
      <c r="Z291" s="114" t="s">
        <v>392</v>
      </c>
      <c r="AA291" t="s">
        <v>401</v>
      </c>
      <c r="AB291" t="s">
        <v>374</v>
      </c>
      <c r="AC291" t="s">
        <v>402</v>
      </c>
      <c r="AE291" t="s">
        <v>342</v>
      </c>
    </row>
    <row r="292" spans="1:31" x14ac:dyDescent="0.25">
      <c r="A292" s="74">
        <v>37858</v>
      </c>
      <c r="B292" s="74" t="s">
        <v>1105</v>
      </c>
      <c r="C292" s="74" t="s">
        <v>1106</v>
      </c>
      <c r="D292" s="108" t="s">
        <v>397</v>
      </c>
      <c r="E292" s="108" t="s">
        <v>388</v>
      </c>
      <c r="F292" s="108" t="s">
        <v>388</v>
      </c>
      <c r="G292" s="108" t="s">
        <v>397</v>
      </c>
      <c r="H292" s="108" t="s">
        <v>388</v>
      </c>
      <c r="I292" s="109" t="s">
        <v>388</v>
      </c>
      <c r="J292" s="110" t="s">
        <v>397</v>
      </c>
      <c r="K292" s="110" t="s">
        <v>397</v>
      </c>
      <c r="L292" s="110" t="s">
        <v>397</v>
      </c>
      <c r="M292" s="110" t="s">
        <v>397</v>
      </c>
      <c r="N292" s="110" t="s">
        <v>397</v>
      </c>
      <c r="O292" s="111" t="s">
        <v>388</v>
      </c>
      <c r="P292" s="111" t="s">
        <v>388</v>
      </c>
      <c r="Q292" s="111" t="s">
        <v>388</v>
      </c>
      <c r="R292" s="111" t="s">
        <v>397</v>
      </c>
      <c r="S292" s="111" t="s">
        <v>388</v>
      </c>
      <c r="T292" s="113" t="s">
        <v>1035</v>
      </c>
      <c r="U292" s="111" t="s">
        <v>470</v>
      </c>
      <c r="V292" s="114" t="s">
        <v>470</v>
      </c>
      <c r="W292" s="83" t="s">
        <v>399</v>
      </c>
      <c r="X292" s="114" t="s">
        <v>523</v>
      </c>
      <c r="Y292" s="114" t="s">
        <v>405</v>
      </c>
      <c r="Z292" s="114" t="s">
        <v>392</v>
      </c>
      <c r="AA292" t="s">
        <v>401</v>
      </c>
      <c r="AB292" t="s">
        <v>374</v>
      </c>
      <c r="AC292" t="s">
        <v>406</v>
      </c>
      <c r="AE292" t="s">
        <v>342</v>
      </c>
    </row>
    <row r="293" spans="1:31" x14ac:dyDescent="0.25">
      <c r="A293" s="74">
        <v>37859</v>
      </c>
      <c r="B293" s="74" t="s">
        <v>1107</v>
      </c>
      <c r="C293" s="74" t="s">
        <v>1108</v>
      </c>
      <c r="D293" s="108" t="s">
        <v>397</v>
      </c>
      <c r="E293" s="108" t="s">
        <v>388</v>
      </c>
      <c r="F293" s="108" t="s">
        <v>388</v>
      </c>
      <c r="G293" s="108" t="s">
        <v>397</v>
      </c>
      <c r="H293" s="108" t="s">
        <v>388</v>
      </c>
      <c r="I293" s="109" t="s">
        <v>388</v>
      </c>
      <c r="J293" s="110" t="s">
        <v>397</v>
      </c>
      <c r="K293" s="110" t="s">
        <v>397</v>
      </c>
      <c r="L293" s="110" t="s">
        <v>397</v>
      </c>
      <c r="M293" s="110" t="s">
        <v>397</v>
      </c>
      <c r="N293" s="110" t="s">
        <v>397</v>
      </c>
      <c r="O293" s="111" t="s">
        <v>388</v>
      </c>
      <c r="P293" s="111" t="s">
        <v>388</v>
      </c>
      <c r="Q293" s="111" t="s">
        <v>388</v>
      </c>
      <c r="R293" s="111" t="s">
        <v>397</v>
      </c>
      <c r="S293" s="111" t="s">
        <v>397</v>
      </c>
      <c r="T293" s="113" t="s">
        <v>1035</v>
      </c>
      <c r="U293" s="111" t="s">
        <v>470</v>
      </c>
      <c r="V293" s="114" t="s">
        <v>470</v>
      </c>
      <c r="W293" s="83" t="s">
        <v>399</v>
      </c>
      <c r="X293" s="114" t="s">
        <v>523</v>
      </c>
      <c r="Y293" s="114" t="s">
        <v>409</v>
      </c>
      <c r="Z293" s="114" t="s">
        <v>392</v>
      </c>
      <c r="AA293" t="s">
        <v>401</v>
      </c>
      <c r="AB293" t="s">
        <v>374</v>
      </c>
      <c r="AC293" t="s">
        <v>410</v>
      </c>
      <c r="AE293" t="s">
        <v>342</v>
      </c>
    </row>
    <row r="294" spans="1:31" x14ac:dyDescent="0.25">
      <c r="A294" s="74">
        <v>37860</v>
      </c>
      <c r="B294" s="74" t="s">
        <v>1109</v>
      </c>
      <c r="C294" s="74" t="s">
        <v>1110</v>
      </c>
      <c r="D294" s="108" t="s">
        <v>397</v>
      </c>
      <c r="E294" s="108" t="s">
        <v>388</v>
      </c>
      <c r="F294" s="108" t="s">
        <v>388</v>
      </c>
      <c r="G294" s="108" t="s">
        <v>397</v>
      </c>
      <c r="H294" s="108" t="s">
        <v>388</v>
      </c>
      <c r="I294" s="109" t="s">
        <v>388</v>
      </c>
      <c r="J294" s="110" t="s">
        <v>397</v>
      </c>
      <c r="K294" s="110" t="s">
        <v>397</v>
      </c>
      <c r="L294" s="110" t="s">
        <v>397</v>
      </c>
      <c r="M294" s="110" t="s">
        <v>397</v>
      </c>
      <c r="N294" s="110" t="s">
        <v>397</v>
      </c>
      <c r="O294" s="111" t="s">
        <v>388</v>
      </c>
      <c r="P294" s="111" t="s">
        <v>388</v>
      </c>
      <c r="Q294" s="111" t="s">
        <v>397</v>
      </c>
      <c r="R294" s="111" t="s">
        <v>388</v>
      </c>
      <c r="S294" s="111" t="s">
        <v>388</v>
      </c>
      <c r="T294" s="113" t="s">
        <v>1035</v>
      </c>
      <c r="U294" s="111" t="s">
        <v>470</v>
      </c>
      <c r="V294" s="114" t="s">
        <v>470</v>
      </c>
      <c r="W294" s="83" t="s">
        <v>399</v>
      </c>
      <c r="X294" s="114" t="s">
        <v>523</v>
      </c>
      <c r="Y294" s="114" t="s">
        <v>413</v>
      </c>
      <c r="Z294" s="114" t="s">
        <v>392</v>
      </c>
      <c r="AA294" t="s">
        <v>401</v>
      </c>
      <c r="AB294" t="s">
        <v>374</v>
      </c>
      <c r="AC294" t="s">
        <v>414</v>
      </c>
      <c r="AE294" t="s">
        <v>342</v>
      </c>
    </row>
    <row r="295" spans="1:31" x14ac:dyDescent="0.25">
      <c r="A295" s="74">
        <v>37861</v>
      </c>
      <c r="B295" s="74" t="s">
        <v>1111</v>
      </c>
      <c r="C295" s="74" t="s">
        <v>1112</v>
      </c>
      <c r="D295" s="108" t="s">
        <v>397</v>
      </c>
      <c r="E295" s="108" t="s">
        <v>388</v>
      </c>
      <c r="F295" s="108" t="s">
        <v>388</v>
      </c>
      <c r="G295" s="108" t="s">
        <v>397</v>
      </c>
      <c r="H295" s="108" t="s">
        <v>388</v>
      </c>
      <c r="I295" s="109" t="s">
        <v>388</v>
      </c>
      <c r="J295" s="110" t="s">
        <v>397</v>
      </c>
      <c r="K295" s="110" t="s">
        <v>397</v>
      </c>
      <c r="L295" s="110" t="s">
        <v>397</v>
      </c>
      <c r="M295" s="110" t="s">
        <v>397</v>
      </c>
      <c r="N295" s="110" t="s">
        <v>397</v>
      </c>
      <c r="O295" s="111" t="s">
        <v>388</v>
      </c>
      <c r="P295" s="111" t="s">
        <v>388</v>
      </c>
      <c r="Q295" s="111" t="s">
        <v>397</v>
      </c>
      <c r="R295" s="111" t="s">
        <v>388</v>
      </c>
      <c r="S295" s="111" t="s">
        <v>397</v>
      </c>
      <c r="T295" s="113" t="s">
        <v>1035</v>
      </c>
      <c r="U295" s="111" t="s">
        <v>470</v>
      </c>
      <c r="V295" s="114" t="s">
        <v>470</v>
      </c>
      <c r="W295" s="83" t="s">
        <v>399</v>
      </c>
      <c r="X295" s="114" t="s">
        <v>523</v>
      </c>
      <c r="Y295" s="114" t="s">
        <v>417</v>
      </c>
      <c r="Z295" s="114" t="s">
        <v>392</v>
      </c>
      <c r="AA295" t="s">
        <v>401</v>
      </c>
      <c r="AB295" t="s">
        <v>374</v>
      </c>
      <c r="AC295" t="s">
        <v>418</v>
      </c>
      <c r="AE295" t="s">
        <v>342</v>
      </c>
    </row>
    <row r="296" spans="1:31" x14ac:dyDescent="0.25">
      <c r="A296" s="74">
        <v>37862</v>
      </c>
      <c r="B296" s="74" t="s">
        <v>1113</v>
      </c>
      <c r="C296" s="74" t="s">
        <v>1114</v>
      </c>
      <c r="D296" s="108" t="s">
        <v>397</v>
      </c>
      <c r="E296" s="108" t="s">
        <v>388</v>
      </c>
      <c r="F296" s="108" t="s">
        <v>388</v>
      </c>
      <c r="G296" s="108" t="s">
        <v>397</v>
      </c>
      <c r="H296" s="108" t="s">
        <v>388</v>
      </c>
      <c r="I296" s="109" t="s">
        <v>388</v>
      </c>
      <c r="J296" s="110" t="s">
        <v>397</v>
      </c>
      <c r="K296" s="110" t="s">
        <v>397</v>
      </c>
      <c r="L296" s="110" t="s">
        <v>397</v>
      </c>
      <c r="M296" s="110" t="s">
        <v>397</v>
      </c>
      <c r="N296" s="110" t="s">
        <v>397</v>
      </c>
      <c r="O296" s="111" t="s">
        <v>388</v>
      </c>
      <c r="P296" s="111" t="s">
        <v>388</v>
      </c>
      <c r="Q296" s="111" t="s">
        <v>397</v>
      </c>
      <c r="R296" s="111" t="s">
        <v>397</v>
      </c>
      <c r="S296" s="111" t="s">
        <v>388</v>
      </c>
      <c r="T296" s="113" t="s">
        <v>1035</v>
      </c>
      <c r="U296" s="111" t="s">
        <v>470</v>
      </c>
      <c r="V296" s="114" t="s">
        <v>470</v>
      </c>
      <c r="W296" s="83" t="s">
        <v>399</v>
      </c>
      <c r="X296" s="114" t="s">
        <v>523</v>
      </c>
      <c r="Y296" s="114" t="s">
        <v>421</v>
      </c>
      <c r="Z296" s="114" t="s">
        <v>392</v>
      </c>
      <c r="AA296" t="s">
        <v>401</v>
      </c>
      <c r="AB296" t="s">
        <v>374</v>
      </c>
      <c r="AC296" t="s">
        <v>422</v>
      </c>
      <c r="AE296" t="s">
        <v>342</v>
      </c>
    </row>
    <row r="297" spans="1:31" x14ac:dyDescent="0.25">
      <c r="A297" s="74">
        <v>37863</v>
      </c>
      <c r="B297" s="74" t="s">
        <v>1115</v>
      </c>
      <c r="C297" s="74" t="s">
        <v>1116</v>
      </c>
      <c r="D297" s="108" t="s">
        <v>397</v>
      </c>
      <c r="E297" s="108" t="s">
        <v>388</v>
      </c>
      <c r="F297" s="108" t="s">
        <v>388</v>
      </c>
      <c r="G297" s="108" t="s">
        <v>397</v>
      </c>
      <c r="H297" s="108" t="s">
        <v>388</v>
      </c>
      <c r="I297" s="109" t="s">
        <v>388</v>
      </c>
      <c r="J297" s="110" t="s">
        <v>397</v>
      </c>
      <c r="K297" s="110" t="s">
        <v>397</v>
      </c>
      <c r="L297" s="110" t="s">
        <v>397</v>
      </c>
      <c r="M297" s="110" t="s">
        <v>397</v>
      </c>
      <c r="N297" s="110" t="s">
        <v>397</v>
      </c>
      <c r="O297" s="111" t="s">
        <v>388</v>
      </c>
      <c r="P297" s="111" t="s">
        <v>388</v>
      </c>
      <c r="Q297" s="111" t="s">
        <v>397</v>
      </c>
      <c r="R297" s="111" t="s">
        <v>397</v>
      </c>
      <c r="S297" s="111" t="s">
        <v>397</v>
      </c>
      <c r="T297" s="113" t="s">
        <v>1035</v>
      </c>
      <c r="U297" s="111" t="s">
        <v>470</v>
      </c>
      <c r="V297" s="114" t="s">
        <v>470</v>
      </c>
      <c r="W297" s="83" t="s">
        <v>399</v>
      </c>
      <c r="X297" s="114" t="s">
        <v>523</v>
      </c>
      <c r="Y297" s="114" t="s">
        <v>425</v>
      </c>
      <c r="Z297" s="114" t="s">
        <v>392</v>
      </c>
      <c r="AA297" t="s">
        <v>401</v>
      </c>
      <c r="AB297" t="s">
        <v>374</v>
      </c>
      <c r="AC297" t="s">
        <v>426</v>
      </c>
      <c r="AE297" t="s">
        <v>342</v>
      </c>
    </row>
    <row r="298" spans="1:31" x14ac:dyDescent="0.25">
      <c r="A298" s="74">
        <v>37864</v>
      </c>
      <c r="B298" s="74" t="s">
        <v>1117</v>
      </c>
      <c r="C298" s="74" t="s">
        <v>1118</v>
      </c>
      <c r="D298" s="108" t="s">
        <v>397</v>
      </c>
      <c r="E298" s="108" t="s">
        <v>388</v>
      </c>
      <c r="F298" s="108" t="s">
        <v>388</v>
      </c>
      <c r="G298" s="108" t="s">
        <v>397</v>
      </c>
      <c r="H298" s="108" t="s">
        <v>388</v>
      </c>
      <c r="I298" s="109" t="s">
        <v>388</v>
      </c>
      <c r="J298" s="110" t="s">
        <v>397</v>
      </c>
      <c r="K298" s="110" t="s">
        <v>397</v>
      </c>
      <c r="L298" s="110" t="s">
        <v>397</v>
      </c>
      <c r="M298" s="110" t="s">
        <v>397</v>
      </c>
      <c r="N298" s="110" t="s">
        <v>397</v>
      </c>
      <c r="O298" s="111" t="s">
        <v>388</v>
      </c>
      <c r="P298" s="111" t="s">
        <v>397</v>
      </c>
      <c r="Q298" s="111" t="s">
        <v>388</v>
      </c>
      <c r="R298" s="111" t="s">
        <v>388</v>
      </c>
      <c r="S298" s="111" t="s">
        <v>388</v>
      </c>
      <c r="T298" s="113" t="s">
        <v>1035</v>
      </c>
      <c r="U298" s="111" t="s">
        <v>470</v>
      </c>
      <c r="V298" s="114" t="s">
        <v>470</v>
      </c>
      <c r="W298" s="83" t="s">
        <v>399</v>
      </c>
      <c r="X298" s="114" t="s">
        <v>523</v>
      </c>
      <c r="Y298" s="114" t="s">
        <v>429</v>
      </c>
      <c r="Z298" s="114" t="s">
        <v>392</v>
      </c>
      <c r="AA298" t="s">
        <v>401</v>
      </c>
      <c r="AB298" t="s">
        <v>374</v>
      </c>
      <c r="AC298" t="s">
        <v>430</v>
      </c>
      <c r="AE298" t="s">
        <v>342</v>
      </c>
    </row>
    <row r="299" spans="1:31" x14ac:dyDescent="0.25">
      <c r="A299" s="74">
        <v>37865</v>
      </c>
      <c r="B299" s="74" t="s">
        <v>1119</v>
      </c>
      <c r="C299" s="74" t="s">
        <v>1120</v>
      </c>
      <c r="D299" s="108" t="s">
        <v>397</v>
      </c>
      <c r="E299" s="108" t="s">
        <v>388</v>
      </c>
      <c r="F299" s="108" t="s">
        <v>388</v>
      </c>
      <c r="G299" s="108" t="s">
        <v>397</v>
      </c>
      <c r="H299" s="108" t="s">
        <v>388</v>
      </c>
      <c r="I299" s="109" t="s">
        <v>388</v>
      </c>
      <c r="J299" s="110" t="s">
        <v>397</v>
      </c>
      <c r="K299" s="110" t="s">
        <v>397</v>
      </c>
      <c r="L299" s="110" t="s">
        <v>397</v>
      </c>
      <c r="M299" s="110" t="s">
        <v>397</v>
      </c>
      <c r="N299" s="110" t="s">
        <v>397</v>
      </c>
      <c r="O299" s="111" t="s">
        <v>388</v>
      </c>
      <c r="P299" s="111" t="s">
        <v>397</v>
      </c>
      <c r="Q299" s="111" t="s">
        <v>388</v>
      </c>
      <c r="R299" s="111" t="s">
        <v>388</v>
      </c>
      <c r="S299" s="111" t="s">
        <v>397</v>
      </c>
      <c r="T299" s="113" t="s">
        <v>1035</v>
      </c>
      <c r="U299" s="111" t="s">
        <v>470</v>
      </c>
      <c r="V299" s="114" t="s">
        <v>470</v>
      </c>
      <c r="W299" s="83" t="s">
        <v>399</v>
      </c>
      <c r="X299" s="114" t="s">
        <v>523</v>
      </c>
      <c r="Y299" s="114" t="s">
        <v>433</v>
      </c>
      <c r="Z299" s="114" t="s">
        <v>392</v>
      </c>
      <c r="AA299" t="s">
        <v>401</v>
      </c>
      <c r="AB299" t="s">
        <v>374</v>
      </c>
      <c r="AC299" t="s">
        <v>434</v>
      </c>
      <c r="AE299" t="s">
        <v>342</v>
      </c>
    </row>
    <row r="300" spans="1:31" x14ac:dyDescent="0.25">
      <c r="A300" s="74">
        <v>37866</v>
      </c>
      <c r="B300" s="74" t="s">
        <v>1121</v>
      </c>
      <c r="C300" s="74" t="s">
        <v>1122</v>
      </c>
      <c r="D300" s="108" t="s">
        <v>397</v>
      </c>
      <c r="E300" s="108" t="s">
        <v>388</v>
      </c>
      <c r="F300" s="108" t="s">
        <v>388</v>
      </c>
      <c r="G300" s="108" t="s">
        <v>397</v>
      </c>
      <c r="H300" s="108" t="s">
        <v>388</v>
      </c>
      <c r="I300" s="109" t="s">
        <v>388</v>
      </c>
      <c r="J300" s="110" t="s">
        <v>397</v>
      </c>
      <c r="K300" s="110" t="s">
        <v>397</v>
      </c>
      <c r="L300" s="110" t="s">
        <v>397</v>
      </c>
      <c r="M300" s="110" t="s">
        <v>397</v>
      </c>
      <c r="N300" s="110" t="s">
        <v>397</v>
      </c>
      <c r="O300" s="111" t="s">
        <v>388</v>
      </c>
      <c r="P300" s="111" t="s">
        <v>397</v>
      </c>
      <c r="Q300" s="111" t="s">
        <v>388</v>
      </c>
      <c r="R300" s="111" t="s">
        <v>397</v>
      </c>
      <c r="S300" s="111" t="s">
        <v>388</v>
      </c>
      <c r="T300" s="113" t="s">
        <v>1035</v>
      </c>
      <c r="U300" s="111" t="s">
        <v>470</v>
      </c>
      <c r="V300" s="114" t="s">
        <v>470</v>
      </c>
      <c r="W300" s="83" t="s">
        <v>399</v>
      </c>
      <c r="X300" s="114" t="s">
        <v>523</v>
      </c>
      <c r="Y300" s="114" t="s">
        <v>437</v>
      </c>
      <c r="Z300" s="114" t="s">
        <v>392</v>
      </c>
      <c r="AA300" t="s">
        <v>401</v>
      </c>
      <c r="AB300" t="s">
        <v>374</v>
      </c>
      <c r="AC300" t="s">
        <v>438</v>
      </c>
      <c r="AE300" t="s">
        <v>342</v>
      </c>
    </row>
    <row r="301" spans="1:31" x14ac:dyDescent="0.25">
      <c r="A301" s="74">
        <v>37867</v>
      </c>
      <c r="B301" s="74" t="s">
        <v>1123</v>
      </c>
      <c r="C301" s="74" t="s">
        <v>1124</v>
      </c>
      <c r="D301" s="108" t="s">
        <v>397</v>
      </c>
      <c r="E301" s="108" t="s">
        <v>388</v>
      </c>
      <c r="F301" s="108" t="s">
        <v>388</v>
      </c>
      <c r="G301" s="108" t="s">
        <v>397</v>
      </c>
      <c r="H301" s="108" t="s">
        <v>388</v>
      </c>
      <c r="I301" s="109" t="s">
        <v>388</v>
      </c>
      <c r="J301" s="110" t="s">
        <v>397</v>
      </c>
      <c r="K301" s="110" t="s">
        <v>397</v>
      </c>
      <c r="L301" s="110" t="s">
        <v>397</v>
      </c>
      <c r="M301" s="110" t="s">
        <v>397</v>
      </c>
      <c r="N301" s="110" t="s">
        <v>397</v>
      </c>
      <c r="O301" s="111" t="s">
        <v>388</v>
      </c>
      <c r="P301" s="111" t="s">
        <v>397</v>
      </c>
      <c r="Q301" s="111" t="s">
        <v>388</v>
      </c>
      <c r="R301" s="111" t="s">
        <v>397</v>
      </c>
      <c r="S301" s="111" t="s">
        <v>397</v>
      </c>
      <c r="T301" s="113" t="s">
        <v>1035</v>
      </c>
      <c r="U301" s="111" t="s">
        <v>470</v>
      </c>
      <c r="V301" s="114" t="s">
        <v>470</v>
      </c>
      <c r="W301" s="83" t="s">
        <v>399</v>
      </c>
      <c r="X301" s="114" t="s">
        <v>523</v>
      </c>
      <c r="Y301" s="114" t="s">
        <v>441</v>
      </c>
      <c r="Z301" s="114" t="s">
        <v>392</v>
      </c>
      <c r="AA301" t="s">
        <v>401</v>
      </c>
      <c r="AB301" t="s">
        <v>374</v>
      </c>
      <c r="AC301" t="s">
        <v>442</v>
      </c>
      <c r="AE301" t="s">
        <v>342</v>
      </c>
    </row>
    <row r="302" spans="1:31" x14ac:dyDescent="0.25">
      <c r="A302" s="74">
        <v>37868</v>
      </c>
      <c r="B302" s="74" t="s">
        <v>1125</v>
      </c>
      <c r="C302" s="74" t="s">
        <v>1126</v>
      </c>
      <c r="D302" s="108" t="s">
        <v>397</v>
      </c>
      <c r="E302" s="108" t="s">
        <v>388</v>
      </c>
      <c r="F302" s="108" t="s">
        <v>388</v>
      </c>
      <c r="G302" s="108" t="s">
        <v>397</v>
      </c>
      <c r="H302" s="108" t="s">
        <v>388</v>
      </c>
      <c r="I302" s="109" t="s">
        <v>388</v>
      </c>
      <c r="J302" s="110" t="s">
        <v>397</v>
      </c>
      <c r="K302" s="110" t="s">
        <v>397</v>
      </c>
      <c r="L302" s="110" t="s">
        <v>397</v>
      </c>
      <c r="M302" s="110" t="s">
        <v>397</v>
      </c>
      <c r="N302" s="110" t="s">
        <v>397</v>
      </c>
      <c r="O302" s="111" t="s">
        <v>388</v>
      </c>
      <c r="P302" s="111" t="s">
        <v>397</v>
      </c>
      <c r="Q302" s="111" t="s">
        <v>397</v>
      </c>
      <c r="R302" s="111" t="s">
        <v>388</v>
      </c>
      <c r="S302" s="111" t="s">
        <v>388</v>
      </c>
      <c r="T302" s="113" t="s">
        <v>1035</v>
      </c>
      <c r="U302" s="111" t="s">
        <v>470</v>
      </c>
      <c r="V302" s="114" t="s">
        <v>470</v>
      </c>
      <c r="W302" s="83" t="s">
        <v>399</v>
      </c>
      <c r="X302" s="114" t="s">
        <v>523</v>
      </c>
      <c r="Y302" s="114" t="s">
        <v>445</v>
      </c>
      <c r="Z302" s="114" t="s">
        <v>392</v>
      </c>
      <c r="AA302" t="s">
        <v>401</v>
      </c>
      <c r="AB302" t="s">
        <v>374</v>
      </c>
      <c r="AC302" t="s">
        <v>446</v>
      </c>
      <c r="AE302" t="s">
        <v>342</v>
      </c>
    </row>
    <row r="303" spans="1:31" x14ac:dyDescent="0.25">
      <c r="A303" s="74">
        <v>37869</v>
      </c>
      <c r="B303" s="74" t="s">
        <v>1127</v>
      </c>
      <c r="C303" s="74" t="s">
        <v>1128</v>
      </c>
      <c r="D303" s="108" t="s">
        <v>397</v>
      </c>
      <c r="E303" s="108" t="s">
        <v>388</v>
      </c>
      <c r="F303" s="108" t="s">
        <v>388</v>
      </c>
      <c r="G303" s="108" t="s">
        <v>397</v>
      </c>
      <c r="H303" s="108" t="s">
        <v>388</v>
      </c>
      <c r="I303" s="109" t="s">
        <v>388</v>
      </c>
      <c r="J303" s="110" t="s">
        <v>397</v>
      </c>
      <c r="K303" s="110" t="s">
        <v>397</v>
      </c>
      <c r="L303" s="110" t="s">
        <v>397</v>
      </c>
      <c r="M303" s="110" t="s">
        <v>397</v>
      </c>
      <c r="N303" s="110" t="s">
        <v>397</v>
      </c>
      <c r="O303" s="111" t="s">
        <v>388</v>
      </c>
      <c r="P303" s="111" t="s">
        <v>397</v>
      </c>
      <c r="Q303" s="111" t="s">
        <v>397</v>
      </c>
      <c r="R303" s="111" t="s">
        <v>388</v>
      </c>
      <c r="S303" s="111" t="s">
        <v>397</v>
      </c>
      <c r="T303" s="113" t="s">
        <v>1035</v>
      </c>
      <c r="U303" s="111" t="s">
        <v>470</v>
      </c>
      <c r="V303" s="114" t="s">
        <v>470</v>
      </c>
      <c r="W303" s="83" t="s">
        <v>399</v>
      </c>
      <c r="X303" s="114" t="s">
        <v>523</v>
      </c>
      <c r="Y303" s="114" t="s">
        <v>449</v>
      </c>
      <c r="Z303" s="114" t="s">
        <v>392</v>
      </c>
      <c r="AA303" t="s">
        <v>401</v>
      </c>
      <c r="AB303" t="s">
        <v>374</v>
      </c>
      <c r="AC303" t="s">
        <v>450</v>
      </c>
      <c r="AE303" t="s">
        <v>342</v>
      </c>
    </row>
    <row r="304" spans="1:31" x14ac:dyDescent="0.25">
      <c r="A304" s="74">
        <v>37870</v>
      </c>
      <c r="B304" s="74" t="s">
        <v>1129</v>
      </c>
      <c r="C304" s="74" t="s">
        <v>1130</v>
      </c>
      <c r="D304" s="108" t="s">
        <v>397</v>
      </c>
      <c r="E304" s="108" t="s">
        <v>388</v>
      </c>
      <c r="F304" s="108" t="s">
        <v>388</v>
      </c>
      <c r="G304" s="108" t="s">
        <v>397</v>
      </c>
      <c r="H304" s="108" t="s">
        <v>388</v>
      </c>
      <c r="I304" s="109" t="s">
        <v>388</v>
      </c>
      <c r="J304" s="110" t="s">
        <v>397</v>
      </c>
      <c r="K304" s="110" t="s">
        <v>397</v>
      </c>
      <c r="L304" s="110" t="s">
        <v>397</v>
      </c>
      <c r="M304" s="110" t="s">
        <v>397</v>
      </c>
      <c r="N304" s="110" t="s">
        <v>397</v>
      </c>
      <c r="O304" s="111" t="s">
        <v>388</v>
      </c>
      <c r="P304" s="111" t="s">
        <v>397</v>
      </c>
      <c r="Q304" s="111" t="s">
        <v>397</v>
      </c>
      <c r="R304" s="111" t="s">
        <v>397</v>
      </c>
      <c r="S304" s="111" t="s">
        <v>388</v>
      </c>
      <c r="T304" s="113" t="s">
        <v>1035</v>
      </c>
      <c r="U304" s="111" t="s">
        <v>470</v>
      </c>
      <c r="V304" s="114" t="s">
        <v>470</v>
      </c>
      <c r="W304" s="83" t="s">
        <v>399</v>
      </c>
      <c r="X304" s="114" t="s">
        <v>523</v>
      </c>
      <c r="Y304" s="114" t="s">
        <v>453</v>
      </c>
      <c r="Z304" s="114" t="s">
        <v>392</v>
      </c>
      <c r="AA304" t="s">
        <v>401</v>
      </c>
      <c r="AB304" t="s">
        <v>374</v>
      </c>
      <c r="AC304" t="s">
        <v>454</v>
      </c>
      <c r="AE304" t="s">
        <v>342</v>
      </c>
    </row>
    <row r="305" spans="1:31" x14ac:dyDescent="0.25">
      <c r="A305" s="74">
        <v>37871</v>
      </c>
      <c r="B305" s="74" t="s">
        <v>1131</v>
      </c>
      <c r="C305" s="74" t="s">
        <v>1132</v>
      </c>
      <c r="D305" s="108" t="s">
        <v>397</v>
      </c>
      <c r="E305" s="108" t="s">
        <v>388</v>
      </c>
      <c r="F305" s="108" t="s">
        <v>388</v>
      </c>
      <c r="G305" s="108" t="s">
        <v>397</v>
      </c>
      <c r="H305" s="108" t="s">
        <v>388</v>
      </c>
      <c r="I305" s="109" t="s">
        <v>388</v>
      </c>
      <c r="J305" s="110" t="s">
        <v>397</v>
      </c>
      <c r="K305" s="110" t="s">
        <v>397</v>
      </c>
      <c r="L305" s="110" t="s">
        <v>397</v>
      </c>
      <c r="M305" s="110" t="s">
        <v>397</v>
      </c>
      <c r="N305" s="110" t="s">
        <v>397</v>
      </c>
      <c r="O305" s="111" t="s">
        <v>388</v>
      </c>
      <c r="P305" s="111" t="s">
        <v>397</v>
      </c>
      <c r="Q305" s="111" t="s">
        <v>397</v>
      </c>
      <c r="R305" s="111" t="s">
        <v>397</v>
      </c>
      <c r="S305" s="111" t="s">
        <v>397</v>
      </c>
      <c r="T305" s="113" t="s">
        <v>1035</v>
      </c>
      <c r="U305" s="111" t="s">
        <v>470</v>
      </c>
      <c r="V305" s="114" t="s">
        <v>470</v>
      </c>
      <c r="W305" s="83" t="s">
        <v>399</v>
      </c>
      <c r="X305" s="114" t="s">
        <v>523</v>
      </c>
      <c r="Y305" s="114" t="s">
        <v>457</v>
      </c>
      <c r="Z305" s="114" t="s">
        <v>392</v>
      </c>
      <c r="AA305" t="s">
        <v>401</v>
      </c>
      <c r="AB305" t="s">
        <v>374</v>
      </c>
      <c r="AC305" t="s">
        <v>458</v>
      </c>
      <c r="AE305" t="s">
        <v>342</v>
      </c>
    </row>
    <row r="306" spans="1:31" x14ac:dyDescent="0.25">
      <c r="A306" s="74">
        <v>37872</v>
      </c>
      <c r="B306" s="74" t="s">
        <v>1133</v>
      </c>
      <c r="C306" s="74" t="s">
        <v>1134</v>
      </c>
      <c r="D306" s="108" t="s">
        <v>397</v>
      </c>
      <c r="E306" s="108" t="s">
        <v>388</v>
      </c>
      <c r="F306" s="108" t="s">
        <v>388</v>
      </c>
      <c r="G306" s="108" t="s">
        <v>397</v>
      </c>
      <c r="H306" s="108" t="s">
        <v>388</v>
      </c>
      <c r="I306" s="109" t="s">
        <v>388</v>
      </c>
      <c r="J306" s="110" t="s">
        <v>397</v>
      </c>
      <c r="K306" s="110" t="s">
        <v>397</v>
      </c>
      <c r="L306" s="110" t="s">
        <v>397</v>
      </c>
      <c r="M306" s="110" t="s">
        <v>397</v>
      </c>
      <c r="N306" s="110" t="s">
        <v>397</v>
      </c>
      <c r="O306" s="111" t="s">
        <v>397</v>
      </c>
      <c r="P306" s="111" t="s">
        <v>388</v>
      </c>
      <c r="Q306" s="111" t="s">
        <v>388</v>
      </c>
      <c r="R306" s="111" t="s">
        <v>388</v>
      </c>
      <c r="S306" s="111" t="s">
        <v>388</v>
      </c>
      <c r="T306" s="113" t="s">
        <v>1035</v>
      </c>
      <c r="U306" s="111" t="s">
        <v>470</v>
      </c>
      <c r="V306" s="114" t="s">
        <v>470</v>
      </c>
      <c r="W306" s="83" t="s">
        <v>399</v>
      </c>
      <c r="X306" s="114" t="s">
        <v>523</v>
      </c>
      <c r="Y306" s="114" t="s">
        <v>461</v>
      </c>
      <c r="Z306" s="114" t="s">
        <v>392</v>
      </c>
      <c r="AA306" t="s">
        <v>401</v>
      </c>
      <c r="AB306" t="s">
        <v>374</v>
      </c>
      <c r="AC306" t="s">
        <v>462</v>
      </c>
      <c r="AE306" t="s">
        <v>342</v>
      </c>
    </row>
    <row r="307" spans="1:31" x14ac:dyDescent="0.25">
      <c r="A307" s="74">
        <v>37873</v>
      </c>
      <c r="B307" s="74" t="s">
        <v>1135</v>
      </c>
      <c r="C307" s="74" t="s">
        <v>1136</v>
      </c>
      <c r="D307" s="108" t="s">
        <v>397</v>
      </c>
      <c r="E307" s="108" t="s">
        <v>388</v>
      </c>
      <c r="F307" s="108" t="s">
        <v>388</v>
      </c>
      <c r="G307" s="108" t="s">
        <v>397</v>
      </c>
      <c r="H307" s="108" t="s">
        <v>388</v>
      </c>
      <c r="I307" s="109" t="s">
        <v>388</v>
      </c>
      <c r="J307" s="110" t="s">
        <v>397</v>
      </c>
      <c r="K307" s="110" t="s">
        <v>397</v>
      </c>
      <c r="L307" s="110" t="s">
        <v>397</v>
      </c>
      <c r="M307" s="110" t="s">
        <v>397</v>
      </c>
      <c r="N307" s="110" t="s">
        <v>397</v>
      </c>
      <c r="O307" s="111" t="s">
        <v>397</v>
      </c>
      <c r="P307" s="111" t="s">
        <v>388</v>
      </c>
      <c r="Q307" s="111" t="s">
        <v>388</v>
      </c>
      <c r="R307" s="111" t="s">
        <v>388</v>
      </c>
      <c r="S307" s="111" t="s">
        <v>397</v>
      </c>
      <c r="T307" s="113" t="s">
        <v>1070</v>
      </c>
      <c r="U307" s="111" t="s">
        <v>470</v>
      </c>
      <c r="V307" s="114" t="s">
        <v>470</v>
      </c>
      <c r="W307" s="83" t="s">
        <v>399</v>
      </c>
      <c r="X307" s="114" t="s">
        <v>523</v>
      </c>
      <c r="Y307" s="114" t="s">
        <v>466</v>
      </c>
      <c r="Z307" s="114" t="s">
        <v>392</v>
      </c>
      <c r="AA307" t="s">
        <v>401</v>
      </c>
      <c r="AB307" t="s">
        <v>114</v>
      </c>
      <c r="AC307" t="s">
        <v>467</v>
      </c>
      <c r="AE307" t="s">
        <v>342</v>
      </c>
    </row>
    <row r="308" spans="1:31" x14ac:dyDescent="0.25">
      <c r="A308" s="74">
        <v>37874</v>
      </c>
      <c r="B308" s="74" t="s">
        <v>1137</v>
      </c>
      <c r="C308" s="74" t="s">
        <v>1138</v>
      </c>
      <c r="D308" s="108" t="s">
        <v>397</v>
      </c>
      <c r="E308" s="108" t="s">
        <v>388</v>
      </c>
      <c r="F308" s="108" t="s">
        <v>388</v>
      </c>
      <c r="G308" s="108" t="s">
        <v>397</v>
      </c>
      <c r="H308" s="108" t="s">
        <v>388</v>
      </c>
      <c r="I308" s="109" t="s">
        <v>388</v>
      </c>
      <c r="J308" s="110" t="s">
        <v>397</v>
      </c>
      <c r="K308" s="110" t="s">
        <v>397</v>
      </c>
      <c r="L308" s="110" t="s">
        <v>397</v>
      </c>
      <c r="M308" s="110" t="s">
        <v>397</v>
      </c>
      <c r="N308" s="110" t="s">
        <v>397</v>
      </c>
      <c r="O308" s="111" t="s">
        <v>397</v>
      </c>
      <c r="P308" s="111" t="s">
        <v>388</v>
      </c>
      <c r="Q308" s="111" t="s">
        <v>388</v>
      </c>
      <c r="R308" s="111" t="s">
        <v>397</v>
      </c>
      <c r="S308" s="111" t="s">
        <v>388</v>
      </c>
      <c r="T308" s="113" t="s">
        <v>1035</v>
      </c>
      <c r="U308" s="111" t="s">
        <v>470</v>
      </c>
      <c r="V308" s="114" t="s">
        <v>470</v>
      </c>
      <c r="W308" s="83" t="s">
        <v>399</v>
      </c>
      <c r="X308" s="114" t="s">
        <v>523</v>
      </c>
      <c r="Y308" s="114" t="s">
        <v>470</v>
      </c>
      <c r="Z308" s="114" t="s">
        <v>392</v>
      </c>
      <c r="AA308" t="s">
        <v>401</v>
      </c>
      <c r="AB308" t="s">
        <v>374</v>
      </c>
      <c r="AC308" t="s">
        <v>471</v>
      </c>
      <c r="AE308" t="s">
        <v>342</v>
      </c>
    </row>
    <row r="309" spans="1:31" x14ac:dyDescent="0.25">
      <c r="A309" s="74">
        <v>37875</v>
      </c>
      <c r="B309" s="74" t="s">
        <v>1139</v>
      </c>
      <c r="C309" s="74" t="s">
        <v>1140</v>
      </c>
      <c r="D309" s="108" t="s">
        <v>397</v>
      </c>
      <c r="E309" s="108" t="s">
        <v>388</v>
      </c>
      <c r="F309" s="108" t="s">
        <v>388</v>
      </c>
      <c r="G309" s="108" t="s">
        <v>397</v>
      </c>
      <c r="H309" s="108" t="s">
        <v>388</v>
      </c>
      <c r="I309" s="109" t="s">
        <v>388</v>
      </c>
      <c r="J309" s="110" t="s">
        <v>397</v>
      </c>
      <c r="K309" s="110" t="s">
        <v>397</v>
      </c>
      <c r="L309" s="110" t="s">
        <v>397</v>
      </c>
      <c r="M309" s="110" t="s">
        <v>397</v>
      </c>
      <c r="N309" s="110" t="s">
        <v>397</v>
      </c>
      <c r="O309" s="111" t="s">
        <v>397</v>
      </c>
      <c r="P309" s="111" t="s">
        <v>388</v>
      </c>
      <c r="Q309" s="111" t="s">
        <v>388</v>
      </c>
      <c r="R309" s="111" t="s">
        <v>397</v>
      </c>
      <c r="S309" s="111" t="s">
        <v>397</v>
      </c>
      <c r="T309" s="113" t="s">
        <v>1035</v>
      </c>
      <c r="U309" s="111" t="s">
        <v>470</v>
      </c>
      <c r="V309" s="114" t="s">
        <v>470</v>
      </c>
      <c r="W309" s="83" t="s">
        <v>399</v>
      </c>
      <c r="X309" s="114" t="s">
        <v>523</v>
      </c>
      <c r="Y309" s="114" t="s">
        <v>474</v>
      </c>
      <c r="Z309" s="114" t="s">
        <v>392</v>
      </c>
      <c r="AA309" t="s">
        <v>401</v>
      </c>
      <c r="AB309" t="s">
        <v>374</v>
      </c>
      <c r="AC309" t="s">
        <v>475</v>
      </c>
      <c r="AE309" t="s">
        <v>342</v>
      </c>
    </row>
    <row r="310" spans="1:31" x14ac:dyDescent="0.25">
      <c r="A310" s="74">
        <v>37876</v>
      </c>
      <c r="B310" s="74" t="s">
        <v>1141</v>
      </c>
      <c r="C310" s="74" t="s">
        <v>1142</v>
      </c>
      <c r="D310" s="108" t="s">
        <v>397</v>
      </c>
      <c r="E310" s="108" t="s">
        <v>388</v>
      </c>
      <c r="F310" s="108" t="s">
        <v>388</v>
      </c>
      <c r="G310" s="108" t="s">
        <v>397</v>
      </c>
      <c r="H310" s="108" t="s">
        <v>388</v>
      </c>
      <c r="I310" s="109" t="s">
        <v>388</v>
      </c>
      <c r="J310" s="110" t="s">
        <v>397</v>
      </c>
      <c r="K310" s="110" t="s">
        <v>397</v>
      </c>
      <c r="L310" s="110" t="s">
        <v>397</v>
      </c>
      <c r="M310" s="110" t="s">
        <v>397</v>
      </c>
      <c r="N310" s="110" t="s">
        <v>397</v>
      </c>
      <c r="O310" s="111" t="s">
        <v>397</v>
      </c>
      <c r="P310" s="111" t="s">
        <v>388</v>
      </c>
      <c r="Q310" s="111" t="s">
        <v>397</v>
      </c>
      <c r="R310" s="111" t="s">
        <v>388</v>
      </c>
      <c r="S310" s="111" t="s">
        <v>388</v>
      </c>
      <c r="T310" s="113" t="s">
        <v>1077</v>
      </c>
      <c r="U310" s="111" t="s">
        <v>470</v>
      </c>
      <c r="V310" s="114" t="s">
        <v>470</v>
      </c>
      <c r="W310" s="83" t="s">
        <v>399</v>
      </c>
      <c r="X310" s="114" t="s">
        <v>523</v>
      </c>
      <c r="Y310" s="114" t="s">
        <v>479</v>
      </c>
      <c r="Z310" s="114" t="s">
        <v>392</v>
      </c>
      <c r="AA310" t="s">
        <v>401</v>
      </c>
      <c r="AB310" t="s">
        <v>372</v>
      </c>
      <c r="AC310" t="s">
        <v>386</v>
      </c>
      <c r="AE310" t="s">
        <v>342</v>
      </c>
    </row>
    <row r="311" spans="1:31" x14ac:dyDescent="0.25">
      <c r="A311" s="74">
        <v>37877</v>
      </c>
      <c r="B311" s="74" t="s">
        <v>1143</v>
      </c>
      <c r="C311" s="74" t="s">
        <v>1144</v>
      </c>
      <c r="D311" s="108" t="s">
        <v>397</v>
      </c>
      <c r="E311" s="108" t="s">
        <v>388</v>
      </c>
      <c r="F311" s="108" t="s">
        <v>388</v>
      </c>
      <c r="G311" s="108" t="s">
        <v>397</v>
      </c>
      <c r="H311" s="108" t="s">
        <v>388</v>
      </c>
      <c r="I311" s="109" t="s">
        <v>388</v>
      </c>
      <c r="J311" s="110" t="s">
        <v>397</v>
      </c>
      <c r="K311" s="110" t="s">
        <v>397</v>
      </c>
      <c r="L311" s="110" t="s">
        <v>397</v>
      </c>
      <c r="M311" s="110" t="s">
        <v>397</v>
      </c>
      <c r="N311" s="110" t="s">
        <v>397</v>
      </c>
      <c r="O311" s="111" t="s">
        <v>397</v>
      </c>
      <c r="P311" s="111" t="s">
        <v>388</v>
      </c>
      <c r="Q311" s="111" t="s">
        <v>397</v>
      </c>
      <c r="R311" s="111" t="s">
        <v>388</v>
      </c>
      <c r="S311" s="111" t="s">
        <v>397</v>
      </c>
      <c r="T311" s="113" t="s">
        <v>1080</v>
      </c>
      <c r="U311" s="111" t="s">
        <v>470</v>
      </c>
      <c r="V311" s="114" t="s">
        <v>470</v>
      </c>
      <c r="W311" s="83" t="s">
        <v>399</v>
      </c>
      <c r="X311" s="114" t="s">
        <v>523</v>
      </c>
      <c r="Y311" s="114" t="s">
        <v>483</v>
      </c>
      <c r="Z311" s="114" t="s">
        <v>392</v>
      </c>
      <c r="AA311" t="s">
        <v>401</v>
      </c>
      <c r="AB311" t="s">
        <v>373</v>
      </c>
      <c r="AC311" t="s">
        <v>484</v>
      </c>
      <c r="AE311" t="s">
        <v>342</v>
      </c>
    </row>
    <row r="312" spans="1:31" x14ac:dyDescent="0.25">
      <c r="A312" s="74">
        <v>37878</v>
      </c>
      <c r="B312" s="74" t="s">
        <v>1145</v>
      </c>
      <c r="C312" s="74" t="s">
        <v>1146</v>
      </c>
      <c r="D312" s="108" t="s">
        <v>397</v>
      </c>
      <c r="E312" s="108" t="s">
        <v>388</v>
      </c>
      <c r="F312" s="108" t="s">
        <v>388</v>
      </c>
      <c r="G312" s="108" t="s">
        <v>397</v>
      </c>
      <c r="H312" s="108" t="s">
        <v>388</v>
      </c>
      <c r="I312" s="109" t="s">
        <v>388</v>
      </c>
      <c r="J312" s="110" t="s">
        <v>397</v>
      </c>
      <c r="K312" s="110" t="s">
        <v>397</v>
      </c>
      <c r="L312" s="110" t="s">
        <v>397</v>
      </c>
      <c r="M312" s="110" t="s">
        <v>397</v>
      </c>
      <c r="N312" s="110" t="s">
        <v>397</v>
      </c>
      <c r="O312" s="111" t="s">
        <v>397</v>
      </c>
      <c r="P312" s="111" t="s">
        <v>388</v>
      </c>
      <c r="Q312" s="111" t="s">
        <v>397</v>
      </c>
      <c r="R312" s="111" t="s">
        <v>397</v>
      </c>
      <c r="S312" s="111" t="s">
        <v>388</v>
      </c>
      <c r="T312" s="113" t="s">
        <v>1035</v>
      </c>
      <c r="U312" s="111" t="s">
        <v>470</v>
      </c>
      <c r="V312" s="114" t="s">
        <v>470</v>
      </c>
      <c r="W312" s="83" t="s">
        <v>399</v>
      </c>
      <c r="X312" s="114" t="s">
        <v>523</v>
      </c>
      <c r="Y312" s="114" t="s">
        <v>487</v>
      </c>
      <c r="Z312" s="114" t="s">
        <v>392</v>
      </c>
      <c r="AA312" t="s">
        <v>401</v>
      </c>
      <c r="AB312" t="s">
        <v>374</v>
      </c>
      <c r="AC312" t="s">
        <v>488</v>
      </c>
      <c r="AE312" t="s">
        <v>342</v>
      </c>
    </row>
    <row r="313" spans="1:31" x14ac:dyDescent="0.25">
      <c r="A313" s="74">
        <v>37879</v>
      </c>
      <c r="B313" s="74" t="s">
        <v>1147</v>
      </c>
      <c r="C313" s="74" t="s">
        <v>1148</v>
      </c>
      <c r="D313" s="108" t="s">
        <v>397</v>
      </c>
      <c r="E313" s="108" t="s">
        <v>388</v>
      </c>
      <c r="F313" s="108" t="s">
        <v>388</v>
      </c>
      <c r="G313" s="108" t="s">
        <v>397</v>
      </c>
      <c r="H313" s="108" t="s">
        <v>388</v>
      </c>
      <c r="I313" s="109" t="s">
        <v>388</v>
      </c>
      <c r="J313" s="110" t="s">
        <v>397</v>
      </c>
      <c r="K313" s="110" t="s">
        <v>397</v>
      </c>
      <c r="L313" s="110" t="s">
        <v>397</v>
      </c>
      <c r="M313" s="110" t="s">
        <v>397</v>
      </c>
      <c r="N313" s="110" t="s">
        <v>397</v>
      </c>
      <c r="O313" s="111" t="s">
        <v>397</v>
      </c>
      <c r="P313" s="111" t="s">
        <v>388</v>
      </c>
      <c r="Q313" s="111" t="s">
        <v>397</v>
      </c>
      <c r="R313" s="111" t="s">
        <v>397</v>
      </c>
      <c r="S313" s="111" t="s">
        <v>397</v>
      </c>
      <c r="T313" s="113" t="s">
        <v>1035</v>
      </c>
      <c r="U313" s="111" t="s">
        <v>470</v>
      </c>
      <c r="V313" s="114" t="s">
        <v>470</v>
      </c>
      <c r="W313" s="83" t="s">
        <v>399</v>
      </c>
      <c r="X313" s="114" t="s">
        <v>523</v>
      </c>
      <c r="Y313" s="114" t="s">
        <v>491</v>
      </c>
      <c r="Z313" s="114" t="s">
        <v>392</v>
      </c>
      <c r="AA313" t="s">
        <v>401</v>
      </c>
      <c r="AB313" t="s">
        <v>374</v>
      </c>
      <c r="AC313" t="s">
        <v>492</v>
      </c>
      <c r="AE313" t="s">
        <v>342</v>
      </c>
    </row>
    <row r="314" spans="1:31" x14ac:dyDescent="0.25">
      <c r="A314" s="74">
        <v>37880</v>
      </c>
      <c r="B314" s="74" t="s">
        <v>1149</v>
      </c>
      <c r="C314" s="74" t="s">
        <v>1150</v>
      </c>
      <c r="D314" s="108" t="s">
        <v>397</v>
      </c>
      <c r="E314" s="108" t="s">
        <v>388</v>
      </c>
      <c r="F314" s="108" t="s">
        <v>388</v>
      </c>
      <c r="G314" s="108" t="s">
        <v>397</v>
      </c>
      <c r="H314" s="108" t="s">
        <v>388</v>
      </c>
      <c r="I314" s="109" t="s">
        <v>388</v>
      </c>
      <c r="J314" s="110" t="s">
        <v>397</v>
      </c>
      <c r="K314" s="110" t="s">
        <v>397</v>
      </c>
      <c r="L314" s="110" t="s">
        <v>397</v>
      </c>
      <c r="M314" s="110" t="s">
        <v>397</v>
      </c>
      <c r="N314" s="110" t="s">
        <v>397</v>
      </c>
      <c r="O314" s="111" t="s">
        <v>397</v>
      </c>
      <c r="P314" s="111" t="s">
        <v>397</v>
      </c>
      <c r="Q314" s="111" t="s">
        <v>388</v>
      </c>
      <c r="R314" s="111" t="s">
        <v>388</v>
      </c>
      <c r="S314" s="111" t="s">
        <v>388</v>
      </c>
      <c r="T314" s="113" t="s">
        <v>1035</v>
      </c>
      <c r="U314" s="111" t="s">
        <v>470</v>
      </c>
      <c r="V314" s="114" t="s">
        <v>470</v>
      </c>
      <c r="W314" s="83" t="s">
        <v>399</v>
      </c>
      <c r="X314" s="114" t="s">
        <v>523</v>
      </c>
      <c r="Y314" s="114" t="s">
        <v>495</v>
      </c>
      <c r="Z314" s="114" t="s">
        <v>392</v>
      </c>
      <c r="AA314" t="s">
        <v>401</v>
      </c>
      <c r="AB314" t="s">
        <v>374</v>
      </c>
      <c r="AC314" t="s">
        <v>496</v>
      </c>
      <c r="AE314" t="s">
        <v>342</v>
      </c>
    </row>
    <row r="315" spans="1:31" x14ac:dyDescent="0.25">
      <c r="A315" s="74">
        <v>37881</v>
      </c>
      <c r="B315" s="74" t="s">
        <v>1151</v>
      </c>
      <c r="C315" s="74" t="s">
        <v>1152</v>
      </c>
      <c r="D315" s="108" t="s">
        <v>397</v>
      </c>
      <c r="E315" s="108" t="s">
        <v>388</v>
      </c>
      <c r="F315" s="108" t="s">
        <v>388</v>
      </c>
      <c r="G315" s="108" t="s">
        <v>397</v>
      </c>
      <c r="H315" s="108" t="s">
        <v>388</v>
      </c>
      <c r="I315" s="109" t="s">
        <v>388</v>
      </c>
      <c r="J315" s="110" t="s">
        <v>397</v>
      </c>
      <c r="K315" s="110" t="s">
        <v>397</v>
      </c>
      <c r="L315" s="110" t="s">
        <v>397</v>
      </c>
      <c r="M315" s="110" t="s">
        <v>397</v>
      </c>
      <c r="N315" s="110" t="s">
        <v>397</v>
      </c>
      <c r="O315" s="111" t="s">
        <v>397</v>
      </c>
      <c r="P315" s="111" t="s">
        <v>397</v>
      </c>
      <c r="Q315" s="111" t="s">
        <v>388</v>
      </c>
      <c r="R315" s="111" t="s">
        <v>388</v>
      </c>
      <c r="S315" s="111" t="s">
        <v>397</v>
      </c>
      <c r="T315" s="113" t="s">
        <v>1035</v>
      </c>
      <c r="U315" s="111" t="s">
        <v>470</v>
      </c>
      <c r="V315" s="114" t="s">
        <v>470</v>
      </c>
      <c r="W315" s="83" t="s">
        <v>399</v>
      </c>
      <c r="X315" s="114" t="s">
        <v>523</v>
      </c>
      <c r="Y315" s="114" t="s">
        <v>499</v>
      </c>
      <c r="Z315" s="114" t="s">
        <v>392</v>
      </c>
      <c r="AA315" t="s">
        <v>401</v>
      </c>
      <c r="AB315" t="s">
        <v>374</v>
      </c>
      <c r="AC315" t="s">
        <v>500</v>
      </c>
      <c r="AE315" t="s">
        <v>342</v>
      </c>
    </row>
    <row r="316" spans="1:31" x14ac:dyDescent="0.25">
      <c r="A316" s="74">
        <v>37882</v>
      </c>
      <c r="B316" s="74" t="s">
        <v>1153</v>
      </c>
      <c r="C316" s="74" t="s">
        <v>1154</v>
      </c>
      <c r="D316" s="108" t="s">
        <v>397</v>
      </c>
      <c r="E316" s="108" t="s">
        <v>388</v>
      </c>
      <c r="F316" s="108" t="s">
        <v>388</v>
      </c>
      <c r="G316" s="108" t="s">
        <v>397</v>
      </c>
      <c r="H316" s="108" t="s">
        <v>388</v>
      </c>
      <c r="I316" s="109" t="s">
        <v>388</v>
      </c>
      <c r="J316" s="110" t="s">
        <v>397</v>
      </c>
      <c r="K316" s="110" t="s">
        <v>397</v>
      </c>
      <c r="L316" s="110" t="s">
        <v>397</v>
      </c>
      <c r="M316" s="110" t="s">
        <v>397</v>
      </c>
      <c r="N316" s="110" t="s">
        <v>397</v>
      </c>
      <c r="O316" s="111" t="s">
        <v>397</v>
      </c>
      <c r="P316" s="111" t="s">
        <v>397</v>
      </c>
      <c r="Q316" s="111" t="s">
        <v>388</v>
      </c>
      <c r="R316" s="111" t="s">
        <v>397</v>
      </c>
      <c r="S316" s="111" t="s">
        <v>388</v>
      </c>
      <c r="T316" s="113" t="s">
        <v>1035</v>
      </c>
      <c r="U316" s="111" t="s">
        <v>470</v>
      </c>
      <c r="V316" s="114" t="s">
        <v>470</v>
      </c>
      <c r="W316" s="83" t="s">
        <v>399</v>
      </c>
      <c r="X316" s="114" t="s">
        <v>523</v>
      </c>
      <c r="Y316" s="114" t="s">
        <v>503</v>
      </c>
      <c r="Z316" s="114" t="s">
        <v>392</v>
      </c>
      <c r="AA316" t="s">
        <v>401</v>
      </c>
      <c r="AB316" t="s">
        <v>374</v>
      </c>
      <c r="AC316" t="s">
        <v>504</v>
      </c>
      <c r="AE316" t="s">
        <v>342</v>
      </c>
    </row>
    <row r="317" spans="1:31" x14ac:dyDescent="0.25">
      <c r="A317" s="74">
        <v>37883</v>
      </c>
      <c r="B317" s="74" t="s">
        <v>1155</v>
      </c>
      <c r="C317" s="74" t="s">
        <v>1156</v>
      </c>
      <c r="D317" s="108" t="s">
        <v>397</v>
      </c>
      <c r="E317" s="108" t="s">
        <v>388</v>
      </c>
      <c r="F317" s="108" t="s">
        <v>388</v>
      </c>
      <c r="G317" s="108" t="s">
        <v>397</v>
      </c>
      <c r="H317" s="108" t="s">
        <v>388</v>
      </c>
      <c r="I317" s="109" t="s">
        <v>388</v>
      </c>
      <c r="J317" s="110" t="s">
        <v>397</v>
      </c>
      <c r="K317" s="110" t="s">
        <v>397</v>
      </c>
      <c r="L317" s="110" t="s">
        <v>397</v>
      </c>
      <c r="M317" s="110" t="s">
        <v>397</v>
      </c>
      <c r="N317" s="110" t="s">
        <v>397</v>
      </c>
      <c r="O317" s="111" t="s">
        <v>397</v>
      </c>
      <c r="P317" s="111" t="s">
        <v>397</v>
      </c>
      <c r="Q317" s="111" t="s">
        <v>388</v>
      </c>
      <c r="R317" s="111" t="s">
        <v>397</v>
      </c>
      <c r="S317" s="111" t="s">
        <v>397</v>
      </c>
      <c r="T317" s="113" t="s">
        <v>1035</v>
      </c>
      <c r="U317" s="111" t="s">
        <v>470</v>
      </c>
      <c r="V317" s="114" t="s">
        <v>470</v>
      </c>
      <c r="W317" s="83" t="s">
        <v>399</v>
      </c>
      <c r="X317" s="114" t="s">
        <v>523</v>
      </c>
      <c r="Y317" s="114" t="s">
        <v>507</v>
      </c>
      <c r="Z317" s="114" t="s">
        <v>392</v>
      </c>
      <c r="AA317" t="s">
        <v>401</v>
      </c>
      <c r="AB317" t="s">
        <v>374</v>
      </c>
      <c r="AC317" t="s">
        <v>508</v>
      </c>
      <c r="AE317" t="s">
        <v>342</v>
      </c>
    </row>
    <row r="318" spans="1:31" x14ac:dyDescent="0.25">
      <c r="A318" s="74">
        <v>37884</v>
      </c>
      <c r="B318" s="74" t="s">
        <v>1157</v>
      </c>
      <c r="C318" s="74" t="s">
        <v>1158</v>
      </c>
      <c r="D318" s="108" t="s">
        <v>397</v>
      </c>
      <c r="E318" s="108" t="s">
        <v>388</v>
      </c>
      <c r="F318" s="108" t="s">
        <v>388</v>
      </c>
      <c r="G318" s="108" t="s">
        <v>397</v>
      </c>
      <c r="H318" s="108" t="s">
        <v>388</v>
      </c>
      <c r="I318" s="109" t="s">
        <v>388</v>
      </c>
      <c r="J318" s="110" t="s">
        <v>397</v>
      </c>
      <c r="K318" s="110" t="s">
        <v>397</v>
      </c>
      <c r="L318" s="110" t="s">
        <v>397</v>
      </c>
      <c r="M318" s="110" t="s">
        <v>397</v>
      </c>
      <c r="N318" s="110" t="s">
        <v>397</v>
      </c>
      <c r="O318" s="111" t="s">
        <v>397</v>
      </c>
      <c r="P318" s="111" t="s">
        <v>397</v>
      </c>
      <c r="Q318" s="111" t="s">
        <v>397</v>
      </c>
      <c r="R318" s="111" t="s">
        <v>388</v>
      </c>
      <c r="S318" s="111" t="s">
        <v>388</v>
      </c>
      <c r="T318" s="113" t="s">
        <v>1035</v>
      </c>
      <c r="U318" s="111" t="s">
        <v>470</v>
      </c>
      <c r="V318" s="114" t="s">
        <v>470</v>
      </c>
      <c r="W318" s="83" t="s">
        <v>399</v>
      </c>
      <c r="X318" s="114" t="s">
        <v>523</v>
      </c>
      <c r="Y318" s="114" t="s">
        <v>511</v>
      </c>
      <c r="Z318" s="114" t="s">
        <v>392</v>
      </c>
      <c r="AA318" t="s">
        <v>401</v>
      </c>
      <c r="AB318" t="s">
        <v>374</v>
      </c>
      <c r="AC318" t="s">
        <v>512</v>
      </c>
      <c r="AE318" t="s">
        <v>342</v>
      </c>
    </row>
    <row r="319" spans="1:31" x14ac:dyDescent="0.25">
      <c r="A319" s="74">
        <v>37885</v>
      </c>
      <c r="B319" s="74" t="s">
        <v>1159</v>
      </c>
      <c r="C319" s="74" t="s">
        <v>1160</v>
      </c>
      <c r="D319" s="108" t="s">
        <v>397</v>
      </c>
      <c r="E319" s="108" t="s">
        <v>388</v>
      </c>
      <c r="F319" s="108" t="s">
        <v>388</v>
      </c>
      <c r="G319" s="108" t="s">
        <v>397</v>
      </c>
      <c r="H319" s="108" t="s">
        <v>388</v>
      </c>
      <c r="I319" s="109" t="s">
        <v>388</v>
      </c>
      <c r="J319" s="110" t="s">
        <v>397</v>
      </c>
      <c r="K319" s="110" t="s">
        <v>397</v>
      </c>
      <c r="L319" s="110" t="s">
        <v>397</v>
      </c>
      <c r="M319" s="110" t="s">
        <v>397</v>
      </c>
      <c r="N319" s="110" t="s">
        <v>397</v>
      </c>
      <c r="O319" s="111" t="s">
        <v>397</v>
      </c>
      <c r="P319" s="111" t="s">
        <v>397</v>
      </c>
      <c r="Q319" s="111" t="s">
        <v>397</v>
      </c>
      <c r="R319" s="111" t="s">
        <v>388</v>
      </c>
      <c r="S319" s="111" t="s">
        <v>397</v>
      </c>
      <c r="T319" s="113" t="s">
        <v>1035</v>
      </c>
      <c r="U319" s="111" t="s">
        <v>470</v>
      </c>
      <c r="V319" s="114" t="s">
        <v>470</v>
      </c>
      <c r="W319" s="83" t="s">
        <v>399</v>
      </c>
      <c r="X319" s="114" t="s">
        <v>523</v>
      </c>
      <c r="Y319" s="114" t="s">
        <v>515</v>
      </c>
      <c r="Z319" s="114" t="s">
        <v>392</v>
      </c>
      <c r="AA319" t="s">
        <v>401</v>
      </c>
      <c r="AB319" t="s">
        <v>374</v>
      </c>
      <c r="AC319" t="s">
        <v>516</v>
      </c>
      <c r="AE319" t="s">
        <v>342</v>
      </c>
    </row>
    <row r="320" spans="1:31" x14ac:dyDescent="0.25">
      <c r="A320" s="74">
        <v>37886</v>
      </c>
      <c r="B320" s="74" t="s">
        <v>1161</v>
      </c>
      <c r="C320" s="74" t="s">
        <v>1162</v>
      </c>
      <c r="D320" s="108" t="s">
        <v>397</v>
      </c>
      <c r="E320" s="108" t="s">
        <v>388</v>
      </c>
      <c r="F320" s="108" t="s">
        <v>388</v>
      </c>
      <c r="G320" s="108" t="s">
        <v>397</v>
      </c>
      <c r="H320" s="108" t="s">
        <v>388</v>
      </c>
      <c r="I320" s="109" t="s">
        <v>388</v>
      </c>
      <c r="J320" s="110" t="s">
        <v>397</v>
      </c>
      <c r="K320" s="110" t="s">
        <v>397</v>
      </c>
      <c r="L320" s="110" t="s">
        <v>397</v>
      </c>
      <c r="M320" s="110" t="s">
        <v>397</v>
      </c>
      <c r="N320" s="110" t="s">
        <v>397</v>
      </c>
      <c r="O320" s="111" t="s">
        <v>397</v>
      </c>
      <c r="P320" s="111" t="s">
        <v>397</v>
      </c>
      <c r="Q320" s="111" t="s">
        <v>397</v>
      </c>
      <c r="R320" s="111" t="s">
        <v>397</v>
      </c>
      <c r="S320" s="111" t="s">
        <v>388</v>
      </c>
      <c r="T320" s="113" t="s">
        <v>1035</v>
      </c>
      <c r="U320" s="111" t="s">
        <v>470</v>
      </c>
      <c r="V320" s="114" t="s">
        <v>470</v>
      </c>
      <c r="W320" s="83" t="s">
        <v>399</v>
      </c>
      <c r="X320" s="114" t="s">
        <v>523</v>
      </c>
      <c r="Y320" s="114" t="s">
        <v>519</v>
      </c>
      <c r="Z320" s="114" t="s">
        <v>392</v>
      </c>
      <c r="AA320" t="s">
        <v>401</v>
      </c>
      <c r="AB320" t="s">
        <v>374</v>
      </c>
      <c r="AC320" t="s">
        <v>520</v>
      </c>
      <c r="AE320" t="s">
        <v>342</v>
      </c>
    </row>
    <row r="321" spans="1:31" x14ac:dyDescent="0.25">
      <c r="A321" s="74">
        <v>37887</v>
      </c>
      <c r="B321" s="74" t="s">
        <v>1163</v>
      </c>
      <c r="C321" s="74" t="s">
        <v>1164</v>
      </c>
      <c r="D321" s="108" t="s">
        <v>397</v>
      </c>
      <c r="E321" s="108" t="s">
        <v>388</v>
      </c>
      <c r="F321" s="108" t="s">
        <v>388</v>
      </c>
      <c r="G321" s="108" t="s">
        <v>397</v>
      </c>
      <c r="H321" s="108" t="s">
        <v>388</v>
      </c>
      <c r="I321" s="109" t="s">
        <v>388</v>
      </c>
      <c r="J321" s="110" t="s">
        <v>397</v>
      </c>
      <c r="K321" s="110" t="s">
        <v>397</v>
      </c>
      <c r="L321" s="110" t="s">
        <v>397</v>
      </c>
      <c r="M321" s="110" t="s">
        <v>397</v>
      </c>
      <c r="N321" s="110" t="s">
        <v>397</v>
      </c>
      <c r="O321" s="111" t="s">
        <v>397</v>
      </c>
      <c r="P321" s="111" t="s">
        <v>397</v>
      </c>
      <c r="Q321" s="111" t="s">
        <v>397</v>
      </c>
      <c r="R321" s="111" t="s">
        <v>397</v>
      </c>
      <c r="S321" s="111" t="s">
        <v>397</v>
      </c>
      <c r="T321" s="113" t="s">
        <v>1035</v>
      </c>
      <c r="U321" s="111" t="s">
        <v>470</v>
      </c>
      <c r="V321" s="114" t="s">
        <v>470</v>
      </c>
      <c r="W321" s="83" t="s">
        <v>399</v>
      </c>
      <c r="X321" s="114" t="s">
        <v>523</v>
      </c>
      <c r="Y321" s="114" t="s">
        <v>523</v>
      </c>
      <c r="Z321" s="114" t="s">
        <v>392</v>
      </c>
      <c r="AA321" t="s">
        <v>401</v>
      </c>
      <c r="AB321" t="s">
        <v>374</v>
      </c>
      <c r="AC321" t="s">
        <v>524</v>
      </c>
      <c r="AE321" t="s">
        <v>342</v>
      </c>
    </row>
    <row r="322" spans="1:31" x14ac:dyDescent="0.25">
      <c r="A322" s="74">
        <v>37888</v>
      </c>
      <c r="B322" s="74" t="s">
        <v>1165</v>
      </c>
      <c r="C322" s="74" t="s">
        <v>1166</v>
      </c>
      <c r="D322" s="108" t="s">
        <v>397</v>
      </c>
      <c r="E322" s="108" t="s">
        <v>388</v>
      </c>
      <c r="F322" s="108" t="s">
        <v>388</v>
      </c>
      <c r="G322" s="108" t="s">
        <v>397</v>
      </c>
      <c r="H322" s="108" t="s">
        <v>388</v>
      </c>
      <c r="I322" s="109" t="s">
        <v>397</v>
      </c>
      <c r="J322" s="110" t="s">
        <v>388</v>
      </c>
      <c r="K322" s="110" t="s">
        <v>388</v>
      </c>
      <c r="L322" s="110" t="s">
        <v>388</v>
      </c>
      <c r="M322" s="110" t="s">
        <v>388</v>
      </c>
      <c r="N322" s="110" t="s">
        <v>388</v>
      </c>
      <c r="O322" s="111" t="s">
        <v>388</v>
      </c>
      <c r="P322" s="111" t="s">
        <v>388</v>
      </c>
      <c r="Q322" s="111" t="s">
        <v>388</v>
      </c>
      <c r="R322" s="111" t="s">
        <v>388</v>
      </c>
      <c r="S322" s="111" t="s">
        <v>388</v>
      </c>
      <c r="T322" s="113" t="s">
        <v>1167</v>
      </c>
      <c r="U322" s="111" t="s">
        <v>470</v>
      </c>
      <c r="V322" s="114" t="s">
        <v>470</v>
      </c>
      <c r="W322" s="83" t="s">
        <v>399</v>
      </c>
      <c r="X322" s="114" t="s">
        <v>390</v>
      </c>
      <c r="Y322" s="114" t="s">
        <v>390</v>
      </c>
      <c r="Z322" s="114" t="s">
        <v>392</v>
      </c>
      <c r="AA322" t="s">
        <v>401</v>
      </c>
      <c r="AB322" t="s">
        <v>348</v>
      </c>
      <c r="AC322" t="s">
        <v>592</v>
      </c>
      <c r="AE322" t="s">
        <v>342</v>
      </c>
    </row>
    <row r="323" spans="1:31" x14ac:dyDescent="0.25">
      <c r="A323" s="74">
        <v>37889</v>
      </c>
      <c r="B323" s="74" t="s">
        <v>1168</v>
      </c>
      <c r="C323" s="74" t="s">
        <v>1169</v>
      </c>
      <c r="D323" s="108" t="s">
        <v>397</v>
      </c>
      <c r="E323" s="108" t="s">
        <v>388</v>
      </c>
      <c r="F323" s="108" t="s">
        <v>388</v>
      </c>
      <c r="G323" s="108" t="s">
        <v>397</v>
      </c>
      <c r="H323" s="108" t="s">
        <v>388</v>
      </c>
      <c r="I323" s="109" t="s">
        <v>397</v>
      </c>
      <c r="J323" s="110" t="s">
        <v>388</v>
      </c>
      <c r="K323" s="110" t="s">
        <v>388</v>
      </c>
      <c r="L323" s="110" t="s">
        <v>388</v>
      </c>
      <c r="M323" s="110" t="s">
        <v>388</v>
      </c>
      <c r="N323" s="110" t="s">
        <v>388</v>
      </c>
      <c r="O323" s="111" t="s">
        <v>388</v>
      </c>
      <c r="P323" s="111" t="s">
        <v>388</v>
      </c>
      <c r="Q323" s="111" t="s">
        <v>388</v>
      </c>
      <c r="R323" s="111" t="s">
        <v>388</v>
      </c>
      <c r="S323" s="111" t="s">
        <v>397</v>
      </c>
      <c r="T323" s="113" t="s">
        <v>1170</v>
      </c>
      <c r="U323" s="111" t="s">
        <v>470</v>
      </c>
      <c r="V323" s="114" t="s">
        <v>470</v>
      </c>
      <c r="W323" s="83" t="s">
        <v>399</v>
      </c>
      <c r="X323" s="114" t="s">
        <v>390</v>
      </c>
      <c r="Y323" s="114" t="s">
        <v>400</v>
      </c>
      <c r="Z323" s="114" t="s">
        <v>392</v>
      </c>
      <c r="AA323" t="s">
        <v>401</v>
      </c>
      <c r="AB323" t="s">
        <v>204</v>
      </c>
      <c r="AC323" t="s">
        <v>596</v>
      </c>
      <c r="AE323" t="s">
        <v>342</v>
      </c>
    </row>
    <row r="324" spans="1:31" x14ac:dyDescent="0.25">
      <c r="A324" s="74">
        <v>37890</v>
      </c>
      <c r="B324" s="74" t="s">
        <v>1171</v>
      </c>
      <c r="C324" s="74" t="s">
        <v>1172</v>
      </c>
      <c r="D324" s="108" t="s">
        <v>397</v>
      </c>
      <c r="E324" s="108" t="s">
        <v>388</v>
      </c>
      <c r="F324" s="108" t="s">
        <v>388</v>
      </c>
      <c r="G324" s="108" t="s">
        <v>397</v>
      </c>
      <c r="H324" s="108" t="s">
        <v>388</v>
      </c>
      <c r="I324" s="109" t="s">
        <v>397</v>
      </c>
      <c r="J324" s="110" t="s">
        <v>388</v>
      </c>
      <c r="K324" s="110" t="s">
        <v>388</v>
      </c>
      <c r="L324" s="110" t="s">
        <v>388</v>
      </c>
      <c r="M324" s="110" t="s">
        <v>388</v>
      </c>
      <c r="N324" s="110" t="s">
        <v>388</v>
      </c>
      <c r="O324" s="111" t="s">
        <v>388</v>
      </c>
      <c r="P324" s="111" t="s">
        <v>388</v>
      </c>
      <c r="Q324" s="111" t="s">
        <v>388</v>
      </c>
      <c r="R324" s="111" t="s">
        <v>397</v>
      </c>
      <c r="S324" s="111" t="s">
        <v>388</v>
      </c>
      <c r="T324" s="113" t="s">
        <v>1173</v>
      </c>
      <c r="U324" s="111" t="s">
        <v>470</v>
      </c>
      <c r="V324" s="114" t="s">
        <v>470</v>
      </c>
      <c r="W324" s="83" t="s">
        <v>399</v>
      </c>
      <c r="X324" s="114" t="s">
        <v>390</v>
      </c>
      <c r="Y324" s="114" t="s">
        <v>405</v>
      </c>
      <c r="Z324" s="114" t="s">
        <v>392</v>
      </c>
      <c r="AA324" t="s">
        <v>401</v>
      </c>
      <c r="AB324" t="s">
        <v>375</v>
      </c>
      <c r="AC324" t="s">
        <v>600</v>
      </c>
      <c r="AE324" t="s">
        <v>342</v>
      </c>
    </row>
    <row r="325" spans="1:31" x14ac:dyDescent="0.25">
      <c r="A325" s="74">
        <v>37891</v>
      </c>
      <c r="B325" s="74" t="s">
        <v>1174</v>
      </c>
      <c r="C325" s="74" t="s">
        <v>1175</v>
      </c>
      <c r="D325" s="108" t="s">
        <v>397</v>
      </c>
      <c r="E325" s="108" t="s">
        <v>388</v>
      </c>
      <c r="F325" s="108" t="s">
        <v>388</v>
      </c>
      <c r="G325" s="108" t="s">
        <v>397</v>
      </c>
      <c r="H325" s="108" t="s">
        <v>388</v>
      </c>
      <c r="I325" s="109" t="s">
        <v>397</v>
      </c>
      <c r="J325" s="110" t="s">
        <v>388</v>
      </c>
      <c r="K325" s="110" t="s">
        <v>388</v>
      </c>
      <c r="L325" s="110" t="s">
        <v>388</v>
      </c>
      <c r="M325" s="110" t="s">
        <v>388</v>
      </c>
      <c r="N325" s="110" t="s">
        <v>388</v>
      </c>
      <c r="O325" s="111" t="s">
        <v>388</v>
      </c>
      <c r="P325" s="111" t="s">
        <v>388</v>
      </c>
      <c r="Q325" s="111" t="s">
        <v>388</v>
      </c>
      <c r="R325" s="111" t="s">
        <v>397</v>
      </c>
      <c r="S325" s="111" t="s">
        <v>397</v>
      </c>
      <c r="T325" s="113" t="s">
        <v>1176</v>
      </c>
      <c r="U325" s="111" t="s">
        <v>470</v>
      </c>
      <c r="V325" s="114" t="s">
        <v>470</v>
      </c>
      <c r="W325" s="83" t="s">
        <v>399</v>
      </c>
      <c r="X325" s="114" t="s">
        <v>390</v>
      </c>
      <c r="Y325" s="114" t="s">
        <v>409</v>
      </c>
      <c r="Z325" s="114" t="s">
        <v>392</v>
      </c>
      <c r="AA325" t="s">
        <v>401</v>
      </c>
      <c r="AB325" t="s">
        <v>376</v>
      </c>
      <c r="AC325" t="s">
        <v>604</v>
      </c>
      <c r="AE325" t="s">
        <v>342</v>
      </c>
    </row>
    <row r="326" spans="1:31" x14ac:dyDescent="0.25">
      <c r="A326" s="74">
        <v>37892</v>
      </c>
      <c r="B326" s="74" t="s">
        <v>1177</v>
      </c>
      <c r="C326" s="74" t="s">
        <v>1178</v>
      </c>
      <c r="D326" s="108" t="s">
        <v>397</v>
      </c>
      <c r="E326" s="108" t="s">
        <v>388</v>
      </c>
      <c r="F326" s="108" t="s">
        <v>388</v>
      </c>
      <c r="G326" s="108" t="s">
        <v>397</v>
      </c>
      <c r="H326" s="108" t="s">
        <v>388</v>
      </c>
      <c r="I326" s="109" t="s">
        <v>397</v>
      </c>
      <c r="J326" s="110" t="s">
        <v>388</v>
      </c>
      <c r="K326" s="110" t="s">
        <v>388</v>
      </c>
      <c r="L326" s="110" t="s">
        <v>388</v>
      </c>
      <c r="M326" s="110" t="s">
        <v>388</v>
      </c>
      <c r="N326" s="110" t="s">
        <v>388</v>
      </c>
      <c r="O326" s="111" t="s">
        <v>388</v>
      </c>
      <c r="P326" s="111" t="s">
        <v>388</v>
      </c>
      <c r="Q326" s="111" t="s">
        <v>397</v>
      </c>
      <c r="R326" s="111" t="s">
        <v>388</v>
      </c>
      <c r="S326" s="111" t="s">
        <v>388</v>
      </c>
      <c r="T326" s="113" t="s">
        <v>1179</v>
      </c>
      <c r="U326" s="111" t="s">
        <v>470</v>
      </c>
      <c r="V326" s="114" t="s">
        <v>470</v>
      </c>
      <c r="W326" s="83" t="s">
        <v>399</v>
      </c>
      <c r="X326" s="114" t="s">
        <v>390</v>
      </c>
      <c r="Y326" s="114" t="s">
        <v>413</v>
      </c>
      <c r="Z326" s="114" t="s">
        <v>392</v>
      </c>
      <c r="AA326" t="s">
        <v>401</v>
      </c>
      <c r="AB326" t="s">
        <v>377</v>
      </c>
      <c r="AC326" t="s">
        <v>608</v>
      </c>
      <c r="AE326" t="s">
        <v>342</v>
      </c>
    </row>
    <row r="327" spans="1:31" x14ac:dyDescent="0.25">
      <c r="A327" s="74">
        <v>37893</v>
      </c>
      <c r="B327" s="74" t="s">
        <v>1180</v>
      </c>
      <c r="C327" s="74" t="s">
        <v>1181</v>
      </c>
      <c r="D327" s="108" t="s">
        <v>397</v>
      </c>
      <c r="E327" s="108" t="s">
        <v>388</v>
      </c>
      <c r="F327" s="108" t="s">
        <v>388</v>
      </c>
      <c r="G327" s="108" t="s">
        <v>397</v>
      </c>
      <c r="H327" s="108" t="s">
        <v>388</v>
      </c>
      <c r="I327" s="109" t="s">
        <v>397</v>
      </c>
      <c r="J327" s="110" t="s">
        <v>388</v>
      </c>
      <c r="K327" s="110" t="s">
        <v>388</v>
      </c>
      <c r="L327" s="110" t="s">
        <v>388</v>
      </c>
      <c r="M327" s="110" t="s">
        <v>388</v>
      </c>
      <c r="N327" s="110" t="s">
        <v>388</v>
      </c>
      <c r="O327" s="111" t="s">
        <v>388</v>
      </c>
      <c r="P327" s="111" t="s">
        <v>388</v>
      </c>
      <c r="Q327" s="111" t="s">
        <v>397</v>
      </c>
      <c r="R327" s="111" t="s">
        <v>388</v>
      </c>
      <c r="S327" s="111" t="s">
        <v>397</v>
      </c>
      <c r="T327" s="113" t="s">
        <v>1182</v>
      </c>
      <c r="U327" s="111" t="s">
        <v>470</v>
      </c>
      <c r="V327" s="114" t="s">
        <v>470</v>
      </c>
      <c r="W327" s="83" t="s">
        <v>399</v>
      </c>
      <c r="X327" s="114" t="s">
        <v>390</v>
      </c>
      <c r="Y327" s="114" t="s">
        <v>417</v>
      </c>
      <c r="Z327" s="114" t="s">
        <v>392</v>
      </c>
      <c r="AA327" t="s">
        <v>401</v>
      </c>
      <c r="AB327" t="s">
        <v>378</v>
      </c>
      <c r="AC327" t="s">
        <v>612</v>
      </c>
      <c r="AE327" t="s">
        <v>342</v>
      </c>
    </row>
    <row r="328" spans="1:31" x14ac:dyDescent="0.25">
      <c r="A328" s="74">
        <v>37894</v>
      </c>
      <c r="B328" s="74" t="s">
        <v>1183</v>
      </c>
      <c r="C328" s="74" t="s">
        <v>1184</v>
      </c>
      <c r="D328" s="108" t="s">
        <v>397</v>
      </c>
      <c r="E328" s="108" t="s">
        <v>388</v>
      </c>
      <c r="F328" s="108" t="s">
        <v>388</v>
      </c>
      <c r="G328" s="108" t="s">
        <v>397</v>
      </c>
      <c r="H328" s="108" t="s">
        <v>388</v>
      </c>
      <c r="I328" s="109" t="s">
        <v>397</v>
      </c>
      <c r="J328" s="110" t="s">
        <v>388</v>
      </c>
      <c r="K328" s="110" t="s">
        <v>388</v>
      </c>
      <c r="L328" s="110" t="s">
        <v>388</v>
      </c>
      <c r="M328" s="110" t="s">
        <v>388</v>
      </c>
      <c r="N328" s="110" t="s">
        <v>388</v>
      </c>
      <c r="O328" s="111" t="s">
        <v>388</v>
      </c>
      <c r="P328" s="111" t="s">
        <v>388</v>
      </c>
      <c r="Q328" s="111" t="s">
        <v>397</v>
      </c>
      <c r="R328" s="111" t="s">
        <v>397</v>
      </c>
      <c r="S328" s="111" t="s">
        <v>388</v>
      </c>
      <c r="T328" s="113" t="s">
        <v>1185</v>
      </c>
      <c r="U328" s="111" t="s">
        <v>470</v>
      </c>
      <c r="V328" s="114" t="s">
        <v>470</v>
      </c>
      <c r="W328" s="83" t="s">
        <v>399</v>
      </c>
      <c r="X328" s="114" t="s">
        <v>390</v>
      </c>
      <c r="Y328" s="114" t="s">
        <v>421</v>
      </c>
      <c r="Z328" s="114" t="s">
        <v>392</v>
      </c>
      <c r="AA328" t="s">
        <v>401</v>
      </c>
      <c r="AB328" t="s">
        <v>379</v>
      </c>
      <c r="AC328" t="s">
        <v>616</v>
      </c>
      <c r="AE328" t="s">
        <v>342</v>
      </c>
    </row>
    <row r="329" spans="1:31" x14ac:dyDescent="0.25">
      <c r="A329" s="74">
        <v>37895</v>
      </c>
      <c r="B329" s="74" t="s">
        <v>1186</v>
      </c>
      <c r="C329" s="74" t="s">
        <v>1187</v>
      </c>
      <c r="D329" s="108" t="s">
        <v>397</v>
      </c>
      <c r="E329" s="108" t="s">
        <v>388</v>
      </c>
      <c r="F329" s="108" t="s">
        <v>388</v>
      </c>
      <c r="G329" s="108" t="s">
        <v>397</v>
      </c>
      <c r="H329" s="108" t="s">
        <v>388</v>
      </c>
      <c r="I329" s="109" t="s">
        <v>397</v>
      </c>
      <c r="J329" s="110" t="s">
        <v>388</v>
      </c>
      <c r="K329" s="110" t="s">
        <v>388</v>
      </c>
      <c r="L329" s="110" t="s">
        <v>388</v>
      </c>
      <c r="M329" s="110" t="s">
        <v>388</v>
      </c>
      <c r="N329" s="110" t="s">
        <v>388</v>
      </c>
      <c r="O329" s="111" t="s">
        <v>388</v>
      </c>
      <c r="P329" s="111" t="s">
        <v>388</v>
      </c>
      <c r="Q329" s="111" t="s">
        <v>397</v>
      </c>
      <c r="R329" s="111" t="s">
        <v>397</v>
      </c>
      <c r="S329" s="111" t="s">
        <v>397</v>
      </c>
      <c r="T329" s="113" t="s">
        <v>1188</v>
      </c>
      <c r="U329" s="111" t="s">
        <v>470</v>
      </c>
      <c r="V329" s="114" t="s">
        <v>470</v>
      </c>
      <c r="W329" s="83" t="s">
        <v>399</v>
      </c>
      <c r="X329" s="114" t="s">
        <v>390</v>
      </c>
      <c r="Y329" s="114" t="s">
        <v>425</v>
      </c>
      <c r="Z329" s="114" t="s">
        <v>392</v>
      </c>
      <c r="AA329" t="s">
        <v>401</v>
      </c>
      <c r="AB329" t="s">
        <v>380</v>
      </c>
      <c r="AC329" t="s">
        <v>620</v>
      </c>
      <c r="AE329" t="s">
        <v>342</v>
      </c>
    </row>
    <row r="330" spans="1:31" x14ac:dyDescent="0.25">
      <c r="A330" s="74">
        <v>37896</v>
      </c>
      <c r="B330" s="74" t="s">
        <v>1189</v>
      </c>
      <c r="C330" s="74" t="s">
        <v>1190</v>
      </c>
      <c r="D330" s="108" t="s">
        <v>397</v>
      </c>
      <c r="E330" s="108" t="s">
        <v>388</v>
      </c>
      <c r="F330" s="108" t="s">
        <v>388</v>
      </c>
      <c r="G330" s="108" t="s">
        <v>397</v>
      </c>
      <c r="H330" s="108" t="s">
        <v>388</v>
      </c>
      <c r="I330" s="109" t="s">
        <v>397</v>
      </c>
      <c r="J330" s="110" t="s">
        <v>388</v>
      </c>
      <c r="K330" s="110" t="s">
        <v>388</v>
      </c>
      <c r="L330" s="110" t="s">
        <v>388</v>
      </c>
      <c r="M330" s="110" t="s">
        <v>388</v>
      </c>
      <c r="N330" s="110" t="s">
        <v>388</v>
      </c>
      <c r="O330" s="111" t="s">
        <v>388</v>
      </c>
      <c r="P330" s="111" t="s">
        <v>397</v>
      </c>
      <c r="Q330" s="111" t="s">
        <v>388</v>
      </c>
      <c r="R330" s="111" t="s">
        <v>388</v>
      </c>
      <c r="S330" s="111" t="s">
        <v>388</v>
      </c>
      <c r="T330" s="113" t="s">
        <v>1191</v>
      </c>
      <c r="U330" s="111" t="s">
        <v>470</v>
      </c>
      <c r="V330" s="114" t="s">
        <v>470</v>
      </c>
      <c r="W330" s="83" t="s">
        <v>399</v>
      </c>
      <c r="X330" s="114" t="s">
        <v>390</v>
      </c>
      <c r="Y330" s="114" t="s">
        <v>429</v>
      </c>
      <c r="Z330" s="114" t="s">
        <v>392</v>
      </c>
      <c r="AA330" t="s">
        <v>401</v>
      </c>
      <c r="AB330" t="s">
        <v>355</v>
      </c>
      <c r="AC330" t="s">
        <v>624</v>
      </c>
      <c r="AE330" t="s">
        <v>342</v>
      </c>
    </row>
    <row r="331" spans="1:31" x14ac:dyDescent="0.25">
      <c r="A331" s="74">
        <v>37897</v>
      </c>
      <c r="B331" s="74" t="s">
        <v>1192</v>
      </c>
      <c r="C331" s="74" t="s">
        <v>1193</v>
      </c>
      <c r="D331" s="108" t="s">
        <v>397</v>
      </c>
      <c r="E331" s="108" t="s">
        <v>388</v>
      </c>
      <c r="F331" s="108" t="s">
        <v>388</v>
      </c>
      <c r="G331" s="108" t="s">
        <v>397</v>
      </c>
      <c r="H331" s="108" t="s">
        <v>388</v>
      </c>
      <c r="I331" s="109" t="s">
        <v>397</v>
      </c>
      <c r="J331" s="110" t="s">
        <v>388</v>
      </c>
      <c r="K331" s="110" t="s">
        <v>388</v>
      </c>
      <c r="L331" s="110" t="s">
        <v>388</v>
      </c>
      <c r="M331" s="110" t="s">
        <v>388</v>
      </c>
      <c r="N331" s="110" t="s">
        <v>388</v>
      </c>
      <c r="O331" s="111" t="s">
        <v>388</v>
      </c>
      <c r="P331" s="111" t="s">
        <v>397</v>
      </c>
      <c r="Q331" s="111" t="s">
        <v>388</v>
      </c>
      <c r="R331" s="111" t="s">
        <v>388</v>
      </c>
      <c r="S331" s="111" t="s">
        <v>397</v>
      </c>
      <c r="T331" s="113" t="s">
        <v>1035</v>
      </c>
      <c r="U331" s="111" t="s">
        <v>470</v>
      </c>
      <c r="V331" s="114" t="s">
        <v>470</v>
      </c>
      <c r="W331" s="83" t="s">
        <v>399</v>
      </c>
      <c r="X331" s="114" t="s">
        <v>390</v>
      </c>
      <c r="Y331" s="114" t="s">
        <v>433</v>
      </c>
      <c r="Z331" s="114" t="s">
        <v>392</v>
      </c>
      <c r="AA331" t="s">
        <v>401</v>
      </c>
      <c r="AB331" t="s">
        <v>374</v>
      </c>
      <c r="AC331" t="s">
        <v>627</v>
      </c>
      <c r="AE331" t="s">
        <v>342</v>
      </c>
    </row>
    <row r="332" spans="1:31" x14ac:dyDescent="0.25">
      <c r="A332" s="74">
        <v>37898</v>
      </c>
      <c r="B332" s="74" t="s">
        <v>1194</v>
      </c>
      <c r="C332" s="74" t="s">
        <v>1195</v>
      </c>
      <c r="D332" s="108" t="s">
        <v>397</v>
      </c>
      <c r="E332" s="108" t="s">
        <v>388</v>
      </c>
      <c r="F332" s="108" t="s">
        <v>388</v>
      </c>
      <c r="G332" s="108" t="s">
        <v>397</v>
      </c>
      <c r="H332" s="108" t="s">
        <v>388</v>
      </c>
      <c r="I332" s="109" t="s">
        <v>397</v>
      </c>
      <c r="J332" s="110" t="s">
        <v>388</v>
      </c>
      <c r="K332" s="110" t="s">
        <v>388</v>
      </c>
      <c r="L332" s="110" t="s">
        <v>388</v>
      </c>
      <c r="M332" s="110" t="s">
        <v>388</v>
      </c>
      <c r="N332" s="110" t="s">
        <v>388</v>
      </c>
      <c r="O332" s="111" t="s">
        <v>388</v>
      </c>
      <c r="P332" s="111" t="s">
        <v>397</v>
      </c>
      <c r="Q332" s="111" t="s">
        <v>388</v>
      </c>
      <c r="R332" s="111" t="s">
        <v>397</v>
      </c>
      <c r="S332" s="111" t="s">
        <v>388</v>
      </c>
      <c r="T332" s="113" t="s">
        <v>1035</v>
      </c>
      <c r="U332" s="111" t="s">
        <v>470</v>
      </c>
      <c r="V332" s="114" t="s">
        <v>470</v>
      </c>
      <c r="W332" s="83" t="s">
        <v>399</v>
      </c>
      <c r="X332" s="114" t="s">
        <v>390</v>
      </c>
      <c r="Y332" s="114" t="s">
        <v>437</v>
      </c>
      <c r="Z332" s="114" t="s">
        <v>392</v>
      </c>
      <c r="AA332" t="s">
        <v>401</v>
      </c>
      <c r="AB332" t="s">
        <v>374</v>
      </c>
      <c r="AC332" t="s">
        <v>630</v>
      </c>
      <c r="AE332" t="s">
        <v>342</v>
      </c>
    </row>
    <row r="333" spans="1:31" x14ac:dyDescent="0.25">
      <c r="A333" s="74">
        <v>37899</v>
      </c>
      <c r="B333" s="74" t="s">
        <v>1196</v>
      </c>
      <c r="C333" s="74" t="s">
        <v>1197</v>
      </c>
      <c r="D333" s="108" t="s">
        <v>397</v>
      </c>
      <c r="E333" s="108" t="s">
        <v>388</v>
      </c>
      <c r="F333" s="108" t="s">
        <v>388</v>
      </c>
      <c r="G333" s="108" t="s">
        <v>397</v>
      </c>
      <c r="H333" s="108" t="s">
        <v>388</v>
      </c>
      <c r="I333" s="109" t="s">
        <v>397</v>
      </c>
      <c r="J333" s="110" t="s">
        <v>388</v>
      </c>
      <c r="K333" s="110" t="s">
        <v>388</v>
      </c>
      <c r="L333" s="110" t="s">
        <v>388</v>
      </c>
      <c r="M333" s="110" t="s">
        <v>388</v>
      </c>
      <c r="N333" s="110" t="s">
        <v>388</v>
      </c>
      <c r="O333" s="111" t="s">
        <v>388</v>
      </c>
      <c r="P333" s="111" t="s">
        <v>397</v>
      </c>
      <c r="Q333" s="111" t="s">
        <v>388</v>
      </c>
      <c r="R333" s="111" t="s">
        <v>397</v>
      </c>
      <c r="S333" s="111" t="s">
        <v>397</v>
      </c>
      <c r="T333" s="113" t="s">
        <v>1035</v>
      </c>
      <c r="U333" s="111" t="s">
        <v>470</v>
      </c>
      <c r="V333" s="114" t="s">
        <v>470</v>
      </c>
      <c r="W333" s="83" t="s">
        <v>399</v>
      </c>
      <c r="X333" s="114" t="s">
        <v>390</v>
      </c>
      <c r="Y333" s="114" t="s">
        <v>441</v>
      </c>
      <c r="Z333" s="114" t="s">
        <v>392</v>
      </c>
      <c r="AA333" t="s">
        <v>401</v>
      </c>
      <c r="AB333" t="s">
        <v>374</v>
      </c>
      <c r="AC333" t="s">
        <v>633</v>
      </c>
      <c r="AE333" t="s">
        <v>342</v>
      </c>
    </row>
    <row r="334" spans="1:31" x14ac:dyDescent="0.25">
      <c r="A334" s="74">
        <v>37900</v>
      </c>
      <c r="B334" s="74" t="s">
        <v>1198</v>
      </c>
      <c r="C334" s="74" t="s">
        <v>1199</v>
      </c>
      <c r="D334" s="108" t="s">
        <v>397</v>
      </c>
      <c r="E334" s="108" t="s">
        <v>388</v>
      </c>
      <c r="F334" s="108" t="s">
        <v>388</v>
      </c>
      <c r="G334" s="108" t="s">
        <v>397</v>
      </c>
      <c r="H334" s="108" t="s">
        <v>388</v>
      </c>
      <c r="I334" s="109" t="s">
        <v>397</v>
      </c>
      <c r="J334" s="110" t="s">
        <v>388</v>
      </c>
      <c r="K334" s="110" t="s">
        <v>388</v>
      </c>
      <c r="L334" s="110" t="s">
        <v>388</v>
      </c>
      <c r="M334" s="110" t="s">
        <v>388</v>
      </c>
      <c r="N334" s="110" t="s">
        <v>388</v>
      </c>
      <c r="O334" s="111" t="s">
        <v>388</v>
      </c>
      <c r="P334" s="111" t="s">
        <v>397</v>
      </c>
      <c r="Q334" s="111" t="s">
        <v>397</v>
      </c>
      <c r="R334" s="111" t="s">
        <v>388</v>
      </c>
      <c r="S334" s="111" t="s">
        <v>388</v>
      </c>
      <c r="T334" s="113" t="s">
        <v>1035</v>
      </c>
      <c r="U334" s="111" t="s">
        <v>470</v>
      </c>
      <c r="V334" s="114" t="s">
        <v>470</v>
      </c>
      <c r="W334" s="83" t="s">
        <v>399</v>
      </c>
      <c r="X334" s="114" t="s">
        <v>390</v>
      </c>
      <c r="Y334" s="114" t="s">
        <v>445</v>
      </c>
      <c r="Z334" s="114" t="s">
        <v>392</v>
      </c>
      <c r="AA334" t="s">
        <v>401</v>
      </c>
      <c r="AB334" t="s">
        <v>374</v>
      </c>
      <c r="AC334" t="s">
        <v>636</v>
      </c>
      <c r="AE334" t="s">
        <v>342</v>
      </c>
    </row>
    <row r="335" spans="1:31" x14ac:dyDescent="0.25">
      <c r="A335" s="74">
        <v>37901</v>
      </c>
      <c r="B335" s="74" t="s">
        <v>1200</v>
      </c>
      <c r="C335" s="74" t="s">
        <v>1201</v>
      </c>
      <c r="D335" s="108" t="s">
        <v>397</v>
      </c>
      <c r="E335" s="108" t="s">
        <v>388</v>
      </c>
      <c r="F335" s="108" t="s">
        <v>388</v>
      </c>
      <c r="G335" s="108" t="s">
        <v>397</v>
      </c>
      <c r="H335" s="108" t="s">
        <v>388</v>
      </c>
      <c r="I335" s="109" t="s">
        <v>397</v>
      </c>
      <c r="J335" s="110" t="s">
        <v>388</v>
      </c>
      <c r="K335" s="110" t="s">
        <v>388</v>
      </c>
      <c r="L335" s="110" t="s">
        <v>388</v>
      </c>
      <c r="M335" s="110" t="s">
        <v>388</v>
      </c>
      <c r="N335" s="110" t="s">
        <v>388</v>
      </c>
      <c r="O335" s="111" t="s">
        <v>388</v>
      </c>
      <c r="P335" s="111" t="s">
        <v>397</v>
      </c>
      <c r="Q335" s="111" t="s">
        <v>397</v>
      </c>
      <c r="R335" s="111" t="s">
        <v>388</v>
      </c>
      <c r="S335" s="111" t="s">
        <v>397</v>
      </c>
      <c r="T335" s="113" t="s">
        <v>1035</v>
      </c>
      <c r="U335" s="111" t="s">
        <v>470</v>
      </c>
      <c r="V335" s="114" t="s">
        <v>470</v>
      </c>
      <c r="W335" s="83" t="s">
        <v>399</v>
      </c>
      <c r="X335" s="114" t="s">
        <v>390</v>
      </c>
      <c r="Y335" s="114" t="s">
        <v>449</v>
      </c>
      <c r="Z335" s="114" t="s">
        <v>392</v>
      </c>
      <c r="AA335" t="s">
        <v>401</v>
      </c>
      <c r="AB335" t="s">
        <v>374</v>
      </c>
      <c r="AC335" t="s">
        <v>639</v>
      </c>
      <c r="AE335" t="s">
        <v>342</v>
      </c>
    </row>
    <row r="336" spans="1:31" x14ac:dyDescent="0.25">
      <c r="A336" s="74">
        <v>37902</v>
      </c>
      <c r="B336" s="74" t="s">
        <v>1202</v>
      </c>
      <c r="C336" s="74" t="s">
        <v>1203</v>
      </c>
      <c r="D336" s="108" t="s">
        <v>397</v>
      </c>
      <c r="E336" s="108" t="s">
        <v>388</v>
      </c>
      <c r="F336" s="108" t="s">
        <v>388</v>
      </c>
      <c r="G336" s="108" t="s">
        <v>397</v>
      </c>
      <c r="H336" s="108" t="s">
        <v>388</v>
      </c>
      <c r="I336" s="109" t="s">
        <v>397</v>
      </c>
      <c r="J336" s="110" t="s">
        <v>388</v>
      </c>
      <c r="K336" s="110" t="s">
        <v>388</v>
      </c>
      <c r="L336" s="110" t="s">
        <v>388</v>
      </c>
      <c r="M336" s="110" t="s">
        <v>388</v>
      </c>
      <c r="N336" s="110" t="s">
        <v>388</v>
      </c>
      <c r="O336" s="111" t="s">
        <v>388</v>
      </c>
      <c r="P336" s="111" t="s">
        <v>397</v>
      </c>
      <c r="Q336" s="111" t="s">
        <v>397</v>
      </c>
      <c r="R336" s="111" t="s">
        <v>397</v>
      </c>
      <c r="S336" s="111" t="s">
        <v>388</v>
      </c>
      <c r="T336" s="113" t="s">
        <v>1035</v>
      </c>
      <c r="U336" s="111" t="s">
        <v>470</v>
      </c>
      <c r="V336" s="114" t="s">
        <v>470</v>
      </c>
      <c r="W336" s="83" t="s">
        <v>399</v>
      </c>
      <c r="X336" s="114" t="s">
        <v>390</v>
      </c>
      <c r="Y336" s="114" t="s">
        <v>453</v>
      </c>
      <c r="Z336" s="114" t="s">
        <v>392</v>
      </c>
      <c r="AA336" t="s">
        <v>401</v>
      </c>
      <c r="AB336" t="s">
        <v>374</v>
      </c>
      <c r="AC336" t="s">
        <v>642</v>
      </c>
      <c r="AE336" t="s">
        <v>342</v>
      </c>
    </row>
    <row r="337" spans="1:31" x14ac:dyDescent="0.25">
      <c r="A337" s="74">
        <v>37903</v>
      </c>
      <c r="B337" s="74" t="s">
        <v>1204</v>
      </c>
      <c r="C337" s="74" t="s">
        <v>1205</v>
      </c>
      <c r="D337" s="108" t="s">
        <v>397</v>
      </c>
      <c r="E337" s="108" t="s">
        <v>388</v>
      </c>
      <c r="F337" s="108" t="s">
        <v>388</v>
      </c>
      <c r="G337" s="108" t="s">
        <v>397</v>
      </c>
      <c r="H337" s="108" t="s">
        <v>388</v>
      </c>
      <c r="I337" s="109" t="s">
        <v>397</v>
      </c>
      <c r="J337" s="110" t="s">
        <v>388</v>
      </c>
      <c r="K337" s="110" t="s">
        <v>388</v>
      </c>
      <c r="L337" s="110" t="s">
        <v>388</v>
      </c>
      <c r="M337" s="110" t="s">
        <v>388</v>
      </c>
      <c r="N337" s="110" t="s">
        <v>388</v>
      </c>
      <c r="O337" s="111" t="s">
        <v>388</v>
      </c>
      <c r="P337" s="111" t="s">
        <v>397</v>
      </c>
      <c r="Q337" s="111" t="s">
        <v>397</v>
      </c>
      <c r="R337" s="111" t="s">
        <v>397</v>
      </c>
      <c r="S337" s="111" t="s">
        <v>397</v>
      </c>
      <c r="T337" s="113" t="s">
        <v>1035</v>
      </c>
      <c r="U337" s="111" t="s">
        <v>470</v>
      </c>
      <c r="V337" s="114" t="s">
        <v>470</v>
      </c>
      <c r="W337" s="83" t="s">
        <v>399</v>
      </c>
      <c r="X337" s="114" t="s">
        <v>390</v>
      </c>
      <c r="Y337" s="114" t="s">
        <v>457</v>
      </c>
      <c r="Z337" s="114" t="s">
        <v>392</v>
      </c>
      <c r="AA337" t="s">
        <v>401</v>
      </c>
      <c r="AB337" t="s">
        <v>374</v>
      </c>
      <c r="AC337" t="s">
        <v>645</v>
      </c>
      <c r="AE337" t="s">
        <v>342</v>
      </c>
    </row>
    <row r="338" spans="1:31" x14ac:dyDescent="0.25">
      <c r="A338" s="74">
        <v>37904</v>
      </c>
      <c r="B338" s="74" t="s">
        <v>1206</v>
      </c>
      <c r="C338" s="74" t="s">
        <v>1207</v>
      </c>
      <c r="D338" s="108" t="s">
        <v>397</v>
      </c>
      <c r="E338" s="108" t="s">
        <v>388</v>
      </c>
      <c r="F338" s="108" t="s">
        <v>388</v>
      </c>
      <c r="G338" s="108" t="s">
        <v>397</v>
      </c>
      <c r="H338" s="108" t="s">
        <v>388</v>
      </c>
      <c r="I338" s="109" t="s">
        <v>397</v>
      </c>
      <c r="J338" s="110" t="s">
        <v>388</v>
      </c>
      <c r="K338" s="110" t="s">
        <v>388</v>
      </c>
      <c r="L338" s="110" t="s">
        <v>388</v>
      </c>
      <c r="M338" s="110" t="s">
        <v>388</v>
      </c>
      <c r="N338" s="110" t="s">
        <v>388</v>
      </c>
      <c r="O338" s="111" t="s">
        <v>397</v>
      </c>
      <c r="P338" s="111" t="s">
        <v>388</v>
      </c>
      <c r="Q338" s="111" t="s">
        <v>388</v>
      </c>
      <c r="R338" s="111" t="s">
        <v>388</v>
      </c>
      <c r="S338" s="111" t="s">
        <v>388</v>
      </c>
      <c r="T338" s="113" t="s">
        <v>1208</v>
      </c>
      <c r="U338" s="111" t="s">
        <v>470</v>
      </c>
      <c r="V338" s="114" t="s">
        <v>470</v>
      </c>
      <c r="W338" s="83" t="s">
        <v>399</v>
      </c>
      <c r="X338" s="114" t="s">
        <v>390</v>
      </c>
      <c r="Y338" s="114" t="s">
        <v>461</v>
      </c>
      <c r="Z338" s="114" t="s">
        <v>392</v>
      </c>
      <c r="AA338" t="s">
        <v>401</v>
      </c>
      <c r="AB338" t="s">
        <v>116</v>
      </c>
      <c r="AC338" t="s">
        <v>649</v>
      </c>
      <c r="AE338" t="s">
        <v>342</v>
      </c>
    </row>
    <row r="339" spans="1:31" x14ac:dyDescent="0.25">
      <c r="A339" s="74">
        <v>37905</v>
      </c>
      <c r="B339" s="74" t="s">
        <v>1209</v>
      </c>
      <c r="C339" s="74" t="s">
        <v>1210</v>
      </c>
      <c r="D339" s="108" t="s">
        <v>397</v>
      </c>
      <c r="E339" s="108" t="s">
        <v>388</v>
      </c>
      <c r="F339" s="108" t="s">
        <v>388</v>
      </c>
      <c r="G339" s="108" t="s">
        <v>397</v>
      </c>
      <c r="H339" s="108" t="s">
        <v>388</v>
      </c>
      <c r="I339" s="109" t="s">
        <v>397</v>
      </c>
      <c r="J339" s="110" t="s">
        <v>388</v>
      </c>
      <c r="K339" s="110" t="s">
        <v>388</v>
      </c>
      <c r="L339" s="110" t="s">
        <v>388</v>
      </c>
      <c r="M339" s="110" t="s">
        <v>388</v>
      </c>
      <c r="N339" s="110" t="s">
        <v>388</v>
      </c>
      <c r="O339" s="111" t="s">
        <v>397</v>
      </c>
      <c r="P339" s="111" t="s">
        <v>388</v>
      </c>
      <c r="Q339" s="111" t="s">
        <v>388</v>
      </c>
      <c r="R339" s="111" t="s">
        <v>388</v>
      </c>
      <c r="S339" s="111" t="s">
        <v>397</v>
      </c>
      <c r="T339" s="113" t="s">
        <v>1035</v>
      </c>
      <c r="U339" s="111" t="s">
        <v>470</v>
      </c>
      <c r="V339" s="114" t="s">
        <v>470</v>
      </c>
      <c r="W339" s="83" t="s">
        <v>399</v>
      </c>
      <c r="X339" s="114" t="s">
        <v>390</v>
      </c>
      <c r="Y339" s="114" t="s">
        <v>466</v>
      </c>
      <c r="Z339" s="114" t="s">
        <v>392</v>
      </c>
      <c r="AA339" t="s">
        <v>401</v>
      </c>
      <c r="AB339" t="s">
        <v>374</v>
      </c>
      <c r="AC339" t="s">
        <v>652</v>
      </c>
      <c r="AE339" t="s">
        <v>342</v>
      </c>
    </row>
    <row r="340" spans="1:31" x14ac:dyDescent="0.25">
      <c r="A340" s="74">
        <v>37906</v>
      </c>
      <c r="B340" s="74" t="s">
        <v>1211</v>
      </c>
      <c r="C340" s="74" t="s">
        <v>1212</v>
      </c>
      <c r="D340" s="108" t="s">
        <v>397</v>
      </c>
      <c r="E340" s="108" t="s">
        <v>388</v>
      </c>
      <c r="F340" s="108" t="s">
        <v>388</v>
      </c>
      <c r="G340" s="108" t="s">
        <v>397</v>
      </c>
      <c r="H340" s="108" t="s">
        <v>388</v>
      </c>
      <c r="I340" s="109" t="s">
        <v>397</v>
      </c>
      <c r="J340" s="110" t="s">
        <v>388</v>
      </c>
      <c r="K340" s="110" t="s">
        <v>388</v>
      </c>
      <c r="L340" s="110" t="s">
        <v>388</v>
      </c>
      <c r="M340" s="110" t="s">
        <v>388</v>
      </c>
      <c r="N340" s="110" t="s">
        <v>388</v>
      </c>
      <c r="O340" s="111" t="s">
        <v>397</v>
      </c>
      <c r="P340" s="111" t="s">
        <v>388</v>
      </c>
      <c r="Q340" s="111" t="s">
        <v>388</v>
      </c>
      <c r="R340" s="111" t="s">
        <v>397</v>
      </c>
      <c r="S340" s="111" t="s">
        <v>388</v>
      </c>
      <c r="T340" s="113" t="s">
        <v>1213</v>
      </c>
      <c r="U340" s="111" t="s">
        <v>470</v>
      </c>
      <c r="V340" s="114" t="s">
        <v>470</v>
      </c>
      <c r="W340" s="83" t="s">
        <v>399</v>
      </c>
      <c r="X340" s="114" t="s">
        <v>390</v>
      </c>
      <c r="Y340" s="114" t="s">
        <v>470</v>
      </c>
      <c r="Z340" s="114" t="s">
        <v>392</v>
      </c>
      <c r="AA340" t="s">
        <v>401</v>
      </c>
      <c r="AB340" t="s">
        <v>381</v>
      </c>
      <c r="AC340" t="s">
        <v>656</v>
      </c>
      <c r="AE340" t="s">
        <v>342</v>
      </c>
    </row>
    <row r="341" spans="1:31" x14ac:dyDescent="0.25">
      <c r="A341" s="74">
        <v>37907</v>
      </c>
      <c r="B341" s="74" t="s">
        <v>1214</v>
      </c>
      <c r="C341" s="74" t="s">
        <v>1215</v>
      </c>
      <c r="D341" s="108" t="s">
        <v>397</v>
      </c>
      <c r="E341" s="108" t="s">
        <v>388</v>
      </c>
      <c r="F341" s="108" t="s">
        <v>388</v>
      </c>
      <c r="G341" s="108" t="s">
        <v>397</v>
      </c>
      <c r="H341" s="108" t="s">
        <v>388</v>
      </c>
      <c r="I341" s="109" t="s">
        <v>397</v>
      </c>
      <c r="J341" s="110" t="s">
        <v>388</v>
      </c>
      <c r="K341" s="110" t="s">
        <v>388</v>
      </c>
      <c r="L341" s="110" t="s">
        <v>388</v>
      </c>
      <c r="M341" s="110" t="s">
        <v>388</v>
      </c>
      <c r="N341" s="110" t="s">
        <v>388</v>
      </c>
      <c r="O341" s="111" t="s">
        <v>397</v>
      </c>
      <c r="P341" s="111" t="s">
        <v>388</v>
      </c>
      <c r="Q341" s="111" t="s">
        <v>388</v>
      </c>
      <c r="R341" s="111" t="s">
        <v>397</v>
      </c>
      <c r="S341" s="111" t="s">
        <v>397</v>
      </c>
      <c r="T341" s="113" t="s">
        <v>1216</v>
      </c>
      <c r="U341" s="111" t="s">
        <v>470</v>
      </c>
      <c r="V341" s="114" t="s">
        <v>470</v>
      </c>
      <c r="W341" s="83" t="s">
        <v>399</v>
      </c>
      <c r="X341" s="114" t="s">
        <v>390</v>
      </c>
      <c r="Y341" s="114" t="s">
        <v>474</v>
      </c>
      <c r="Z341" s="114" t="s">
        <v>392</v>
      </c>
      <c r="AA341" t="s">
        <v>401</v>
      </c>
      <c r="AB341" t="s">
        <v>382</v>
      </c>
      <c r="AC341" t="s">
        <v>660</v>
      </c>
      <c r="AE341" t="s">
        <v>342</v>
      </c>
    </row>
    <row r="342" spans="1:31" x14ac:dyDescent="0.25">
      <c r="A342" s="74">
        <v>37908</v>
      </c>
      <c r="B342" s="74" t="s">
        <v>1217</v>
      </c>
      <c r="C342" s="74" t="s">
        <v>1218</v>
      </c>
      <c r="D342" s="108" t="s">
        <v>397</v>
      </c>
      <c r="E342" s="108" t="s">
        <v>388</v>
      </c>
      <c r="F342" s="108" t="s">
        <v>388</v>
      </c>
      <c r="G342" s="108" t="s">
        <v>397</v>
      </c>
      <c r="H342" s="108" t="s">
        <v>388</v>
      </c>
      <c r="I342" s="109" t="s">
        <v>397</v>
      </c>
      <c r="J342" s="110" t="s">
        <v>388</v>
      </c>
      <c r="K342" s="110" t="s">
        <v>388</v>
      </c>
      <c r="L342" s="110" t="s">
        <v>388</v>
      </c>
      <c r="M342" s="110" t="s">
        <v>388</v>
      </c>
      <c r="N342" s="110" t="s">
        <v>388</v>
      </c>
      <c r="O342" s="111" t="s">
        <v>397</v>
      </c>
      <c r="P342" s="111" t="s">
        <v>388</v>
      </c>
      <c r="Q342" s="111" t="s">
        <v>397</v>
      </c>
      <c r="R342" s="111" t="s">
        <v>388</v>
      </c>
      <c r="S342" s="111" t="s">
        <v>388</v>
      </c>
      <c r="T342" s="113" t="s">
        <v>1035</v>
      </c>
      <c r="U342" s="111" t="s">
        <v>470</v>
      </c>
      <c r="V342" s="114" t="s">
        <v>470</v>
      </c>
      <c r="W342" s="83" t="s">
        <v>399</v>
      </c>
      <c r="X342" s="114" t="s">
        <v>390</v>
      </c>
      <c r="Y342" s="114" t="s">
        <v>479</v>
      </c>
      <c r="Z342" s="114" t="s">
        <v>392</v>
      </c>
      <c r="AA342" t="s">
        <v>401</v>
      </c>
      <c r="AB342" t="s">
        <v>374</v>
      </c>
      <c r="AC342" t="s">
        <v>663</v>
      </c>
      <c r="AE342" t="s">
        <v>342</v>
      </c>
    </row>
    <row r="343" spans="1:31" x14ac:dyDescent="0.25">
      <c r="A343" s="74">
        <v>37909</v>
      </c>
      <c r="B343" s="74" t="s">
        <v>1219</v>
      </c>
      <c r="C343" s="74" t="s">
        <v>1220</v>
      </c>
      <c r="D343" s="108" t="s">
        <v>397</v>
      </c>
      <c r="E343" s="108" t="s">
        <v>388</v>
      </c>
      <c r="F343" s="108" t="s">
        <v>388</v>
      </c>
      <c r="G343" s="108" t="s">
        <v>397</v>
      </c>
      <c r="H343" s="108" t="s">
        <v>388</v>
      </c>
      <c r="I343" s="109" t="s">
        <v>397</v>
      </c>
      <c r="J343" s="110" t="s">
        <v>388</v>
      </c>
      <c r="K343" s="110" t="s">
        <v>388</v>
      </c>
      <c r="L343" s="110" t="s">
        <v>388</v>
      </c>
      <c r="M343" s="110" t="s">
        <v>388</v>
      </c>
      <c r="N343" s="110" t="s">
        <v>388</v>
      </c>
      <c r="O343" s="111" t="s">
        <v>397</v>
      </c>
      <c r="P343" s="111" t="s">
        <v>388</v>
      </c>
      <c r="Q343" s="111" t="s">
        <v>397</v>
      </c>
      <c r="R343" s="111" t="s">
        <v>388</v>
      </c>
      <c r="S343" s="111" t="s">
        <v>397</v>
      </c>
      <c r="T343" s="113" t="s">
        <v>1035</v>
      </c>
      <c r="U343" s="111" t="s">
        <v>470</v>
      </c>
      <c r="V343" s="114" t="s">
        <v>470</v>
      </c>
      <c r="W343" s="83" t="s">
        <v>399</v>
      </c>
      <c r="X343" s="114" t="s">
        <v>390</v>
      </c>
      <c r="Y343" s="114" t="s">
        <v>483</v>
      </c>
      <c r="Z343" s="114" t="s">
        <v>392</v>
      </c>
      <c r="AA343" t="s">
        <v>401</v>
      </c>
      <c r="AB343" t="s">
        <v>374</v>
      </c>
      <c r="AC343" t="s">
        <v>666</v>
      </c>
      <c r="AE343" t="s">
        <v>342</v>
      </c>
    </row>
    <row r="344" spans="1:31" x14ac:dyDescent="0.25">
      <c r="A344" s="74">
        <v>37910</v>
      </c>
      <c r="B344" s="74" t="s">
        <v>1221</v>
      </c>
      <c r="C344" s="74" t="s">
        <v>1222</v>
      </c>
      <c r="D344" s="108" t="s">
        <v>397</v>
      </c>
      <c r="E344" s="108" t="s">
        <v>388</v>
      </c>
      <c r="F344" s="108" t="s">
        <v>388</v>
      </c>
      <c r="G344" s="108" t="s">
        <v>397</v>
      </c>
      <c r="H344" s="108" t="s">
        <v>388</v>
      </c>
      <c r="I344" s="109" t="s">
        <v>397</v>
      </c>
      <c r="J344" s="110" t="s">
        <v>388</v>
      </c>
      <c r="K344" s="110" t="s">
        <v>388</v>
      </c>
      <c r="L344" s="110" t="s">
        <v>388</v>
      </c>
      <c r="M344" s="110" t="s">
        <v>388</v>
      </c>
      <c r="N344" s="110" t="s">
        <v>388</v>
      </c>
      <c r="O344" s="111" t="s">
        <v>397</v>
      </c>
      <c r="P344" s="111" t="s">
        <v>388</v>
      </c>
      <c r="Q344" s="111" t="s">
        <v>397</v>
      </c>
      <c r="R344" s="111" t="s">
        <v>397</v>
      </c>
      <c r="S344" s="111" t="s">
        <v>388</v>
      </c>
      <c r="T344" s="113" t="s">
        <v>1035</v>
      </c>
      <c r="U344" s="111" t="s">
        <v>470</v>
      </c>
      <c r="V344" s="114" t="s">
        <v>470</v>
      </c>
      <c r="W344" s="83" t="s">
        <v>399</v>
      </c>
      <c r="X344" s="114" t="s">
        <v>390</v>
      </c>
      <c r="Y344" s="114" t="s">
        <v>487</v>
      </c>
      <c r="Z344" s="114" t="s">
        <v>392</v>
      </c>
      <c r="AA344" t="s">
        <v>401</v>
      </c>
      <c r="AB344" t="s">
        <v>374</v>
      </c>
      <c r="AC344" t="s">
        <v>669</v>
      </c>
      <c r="AE344" t="s">
        <v>342</v>
      </c>
    </row>
    <row r="345" spans="1:31" x14ac:dyDescent="0.25">
      <c r="A345" s="74">
        <v>37911</v>
      </c>
      <c r="B345" s="74" t="s">
        <v>1223</v>
      </c>
      <c r="C345" s="74" t="s">
        <v>1224</v>
      </c>
      <c r="D345" s="108" t="s">
        <v>397</v>
      </c>
      <c r="E345" s="108" t="s">
        <v>388</v>
      </c>
      <c r="F345" s="108" t="s">
        <v>388</v>
      </c>
      <c r="G345" s="108" t="s">
        <v>397</v>
      </c>
      <c r="H345" s="108" t="s">
        <v>388</v>
      </c>
      <c r="I345" s="109" t="s">
        <v>397</v>
      </c>
      <c r="J345" s="110" t="s">
        <v>388</v>
      </c>
      <c r="K345" s="110" t="s">
        <v>388</v>
      </c>
      <c r="L345" s="110" t="s">
        <v>388</v>
      </c>
      <c r="M345" s="110" t="s">
        <v>388</v>
      </c>
      <c r="N345" s="110" t="s">
        <v>388</v>
      </c>
      <c r="O345" s="111" t="s">
        <v>397</v>
      </c>
      <c r="P345" s="111" t="s">
        <v>388</v>
      </c>
      <c r="Q345" s="111" t="s">
        <v>397</v>
      </c>
      <c r="R345" s="111" t="s">
        <v>397</v>
      </c>
      <c r="S345" s="111" t="s">
        <v>397</v>
      </c>
      <c r="T345" s="113" t="s">
        <v>1035</v>
      </c>
      <c r="U345" s="111" t="s">
        <v>470</v>
      </c>
      <c r="V345" s="114" t="s">
        <v>470</v>
      </c>
      <c r="W345" s="83" t="s">
        <v>399</v>
      </c>
      <c r="X345" s="114" t="s">
        <v>390</v>
      </c>
      <c r="Y345" s="114" t="s">
        <v>491</v>
      </c>
      <c r="Z345" s="114" t="s">
        <v>392</v>
      </c>
      <c r="AA345" t="s">
        <v>401</v>
      </c>
      <c r="AB345" t="s">
        <v>374</v>
      </c>
      <c r="AC345" t="s">
        <v>672</v>
      </c>
      <c r="AE345" t="s">
        <v>342</v>
      </c>
    </row>
    <row r="346" spans="1:31" x14ac:dyDescent="0.25">
      <c r="A346" s="74">
        <v>37912</v>
      </c>
      <c r="B346" s="74" t="s">
        <v>1225</v>
      </c>
      <c r="C346" s="74" t="s">
        <v>1226</v>
      </c>
      <c r="D346" s="108" t="s">
        <v>397</v>
      </c>
      <c r="E346" s="108" t="s">
        <v>388</v>
      </c>
      <c r="F346" s="108" t="s">
        <v>388</v>
      </c>
      <c r="G346" s="108" t="s">
        <v>397</v>
      </c>
      <c r="H346" s="108" t="s">
        <v>388</v>
      </c>
      <c r="I346" s="109" t="s">
        <v>397</v>
      </c>
      <c r="J346" s="110" t="s">
        <v>388</v>
      </c>
      <c r="K346" s="110" t="s">
        <v>388</v>
      </c>
      <c r="L346" s="110" t="s">
        <v>388</v>
      </c>
      <c r="M346" s="110" t="s">
        <v>388</v>
      </c>
      <c r="N346" s="110" t="s">
        <v>388</v>
      </c>
      <c r="O346" s="111" t="s">
        <v>397</v>
      </c>
      <c r="P346" s="111" t="s">
        <v>397</v>
      </c>
      <c r="Q346" s="111" t="s">
        <v>388</v>
      </c>
      <c r="R346" s="111" t="s">
        <v>388</v>
      </c>
      <c r="S346" s="111" t="s">
        <v>388</v>
      </c>
      <c r="T346" s="113" t="s">
        <v>1035</v>
      </c>
      <c r="U346" s="111" t="s">
        <v>470</v>
      </c>
      <c r="V346" s="114" t="s">
        <v>470</v>
      </c>
      <c r="W346" s="83" t="s">
        <v>399</v>
      </c>
      <c r="X346" s="114" t="s">
        <v>390</v>
      </c>
      <c r="Y346" s="114" t="s">
        <v>495</v>
      </c>
      <c r="Z346" s="114" t="s">
        <v>392</v>
      </c>
      <c r="AA346" t="s">
        <v>401</v>
      </c>
      <c r="AB346" t="s">
        <v>374</v>
      </c>
      <c r="AC346" t="s">
        <v>675</v>
      </c>
      <c r="AE346" t="s">
        <v>342</v>
      </c>
    </row>
    <row r="347" spans="1:31" x14ac:dyDescent="0.25">
      <c r="A347" s="74">
        <v>37913</v>
      </c>
      <c r="B347" s="74" t="s">
        <v>1227</v>
      </c>
      <c r="C347" s="74" t="s">
        <v>1228</v>
      </c>
      <c r="D347" s="108" t="s">
        <v>397</v>
      </c>
      <c r="E347" s="108" t="s">
        <v>388</v>
      </c>
      <c r="F347" s="108" t="s">
        <v>388</v>
      </c>
      <c r="G347" s="108" t="s">
        <v>397</v>
      </c>
      <c r="H347" s="108" t="s">
        <v>388</v>
      </c>
      <c r="I347" s="109" t="s">
        <v>397</v>
      </c>
      <c r="J347" s="110" t="s">
        <v>388</v>
      </c>
      <c r="K347" s="110" t="s">
        <v>388</v>
      </c>
      <c r="L347" s="110" t="s">
        <v>388</v>
      </c>
      <c r="M347" s="110" t="s">
        <v>388</v>
      </c>
      <c r="N347" s="110" t="s">
        <v>388</v>
      </c>
      <c r="O347" s="111" t="s">
        <v>397</v>
      </c>
      <c r="P347" s="111" t="s">
        <v>397</v>
      </c>
      <c r="Q347" s="111" t="s">
        <v>388</v>
      </c>
      <c r="R347" s="111" t="s">
        <v>388</v>
      </c>
      <c r="S347" s="111" t="s">
        <v>397</v>
      </c>
      <c r="T347" s="113" t="s">
        <v>1035</v>
      </c>
      <c r="U347" s="111" t="s">
        <v>470</v>
      </c>
      <c r="V347" s="114" t="s">
        <v>470</v>
      </c>
      <c r="W347" s="83" t="s">
        <v>399</v>
      </c>
      <c r="X347" s="114" t="s">
        <v>390</v>
      </c>
      <c r="Y347" s="114" t="s">
        <v>499</v>
      </c>
      <c r="Z347" s="114" t="s">
        <v>392</v>
      </c>
      <c r="AA347" t="s">
        <v>401</v>
      </c>
      <c r="AB347" t="s">
        <v>374</v>
      </c>
      <c r="AC347" t="s">
        <v>678</v>
      </c>
      <c r="AE347" t="s">
        <v>342</v>
      </c>
    </row>
    <row r="348" spans="1:31" x14ac:dyDescent="0.25">
      <c r="A348" s="74">
        <v>37914</v>
      </c>
      <c r="B348" s="74" t="s">
        <v>1229</v>
      </c>
      <c r="C348" s="74" t="s">
        <v>1230</v>
      </c>
      <c r="D348" s="108" t="s">
        <v>397</v>
      </c>
      <c r="E348" s="108" t="s">
        <v>388</v>
      </c>
      <c r="F348" s="108" t="s">
        <v>388</v>
      </c>
      <c r="G348" s="108" t="s">
        <v>397</v>
      </c>
      <c r="H348" s="108" t="s">
        <v>388</v>
      </c>
      <c r="I348" s="109" t="s">
        <v>397</v>
      </c>
      <c r="J348" s="110" t="s">
        <v>388</v>
      </c>
      <c r="K348" s="110" t="s">
        <v>388</v>
      </c>
      <c r="L348" s="110" t="s">
        <v>388</v>
      </c>
      <c r="M348" s="110" t="s">
        <v>388</v>
      </c>
      <c r="N348" s="110" t="s">
        <v>388</v>
      </c>
      <c r="O348" s="111" t="s">
        <v>397</v>
      </c>
      <c r="P348" s="111" t="s">
        <v>397</v>
      </c>
      <c r="Q348" s="111" t="s">
        <v>388</v>
      </c>
      <c r="R348" s="111" t="s">
        <v>397</v>
      </c>
      <c r="S348" s="111" t="s">
        <v>388</v>
      </c>
      <c r="T348" s="113" t="s">
        <v>1035</v>
      </c>
      <c r="U348" s="111" t="s">
        <v>470</v>
      </c>
      <c r="V348" s="114" t="s">
        <v>470</v>
      </c>
      <c r="W348" s="83" t="s">
        <v>399</v>
      </c>
      <c r="X348" s="114" t="s">
        <v>390</v>
      </c>
      <c r="Y348" s="114" t="s">
        <v>503</v>
      </c>
      <c r="Z348" s="114" t="s">
        <v>392</v>
      </c>
      <c r="AA348" t="s">
        <v>401</v>
      </c>
      <c r="AB348" t="s">
        <v>374</v>
      </c>
      <c r="AC348" t="s">
        <v>681</v>
      </c>
      <c r="AE348" t="s">
        <v>342</v>
      </c>
    </row>
    <row r="349" spans="1:31" x14ac:dyDescent="0.25">
      <c r="A349" s="74">
        <v>37915</v>
      </c>
      <c r="B349" s="74" t="s">
        <v>1231</v>
      </c>
      <c r="C349" s="74" t="s">
        <v>1232</v>
      </c>
      <c r="D349" s="108" t="s">
        <v>397</v>
      </c>
      <c r="E349" s="108" t="s">
        <v>388</v>
      </c>
      <c r="F349" s="108" t="s">
        <v>388</v>
      </c>
      <c r="G349" s="108" t="s">
        <v>397</v>
      </c>
      <c r="H349" s="108" t="s">
        <v>388</v>
      </c>
      <c r="I349" s="109" t="s">
        <v>397</v>
      </c>
      <c r="J349" s="110" t="s">
        <v>388</v>
      </c>
      <c r="K349" s="110" t="s">
        <v>388</v>
      </c>
      <c r="L349" s="110" t="s">
        <v>388</v>
      </c>
      <c r="M349" s="110" t="s">
        <v>388</v>
      </c>
      <c r="N349" s="110" t="s">
        <v>388</v>
      </c>
      <c r="O349" s="111" t="s">
        <v>397</v>
      </c>
      <c r="P349" s="111" t="s">
        <v>397</v>
      </c>
      <c r="Q349" s="111" t="s">
        <v>388</v>
      </c>
      <c r="R349" s="111" t="s">
        <v>397</v>
      </c>
      <c r="S349" s="111" t="s">
        <v>397</v>
      </c>
      <c r="T349" s="113" t="s">
        <v>1035</v>
      </c>
      <c r="U349" s="111" t="s">
        <v>470</v>
      </c>
      <c r="V349" s="114" t="s">
        <v>470</v>
      </c>
      <c r="W349" s="83" t="s">
        <v>399</v>
      </c>
      <c r="X349" s="114" t="s">
        <v>390</v>
      </c>
      <c r="Y349" s="114" t="s">
        <v>507</v>
      </c>
      <c r="Z349" s="114" t="s">
        <v>392</v>
      </c>
      <c r="AA349" t="s">
        <v>401</v>
      </c>
      <c r="AB349" t="s">
        <v>374</v>
      </c>
      <c r="AC349" t="s">
        <v>684</v>
      </c>
      <c r="AE349" t="s">
        <v>342</v>
      </c>
    </row>
    <row r="350" spans="1:31" x14ac:dyDescent="0.25">
      <c r="A350" s="74">
        <v>37916</v>
      </c>
      <c r="B350" s="74" t="s">
        <v>1233</v>
      </c>
      <c r="C350" s="74" t="s">
        <v>1234</v>
      </c>
      <c r="D350" s="108" t="s">
        <v>397</v>
      </c>
      <c r="E350" s="108" t="s">
        <v>388</v>
      </c>
      <c r="F350" s="108" t="s">
        <v>388</v>
      </c>
      <c r="G350" s="108" t="s">
        <v>397</v>
      </c>
      <c r="H350" s="108" t="s">
        <v>388</v>
      </c>
      <c r="I350" s="109" t="s">
        <v>397</v>
      </c>
      <c r="J350" s="110" t="s">
        <v>388</v>
      </c>
      <c r="K350" s="110" t="s">
        <v>388</v>
      </c>
      <c r="L350" s="110" t="s">
        <v>388</v>
      </c>
      <c r="M350" s="110" t="s">
        <v>388</v>
      </c>
      <c r="N350" s="110" t="s">
        <v>388</v>
      </c>
      <c r="O350" s="111" t="s">
        <v>397</v>
      </c>
      <c r="P350" s="111" t="s">
        <v>397</v>
      </c>
      <c r="Q350" s="111" t="s">
        <v>397</v>
      </c>
      <c r="R350" s="111" t="s">
        <v>388</v>
      </c>
      <c r="S350" s="111" t="s">
        <v>388</v>
      </c>
      <c r="T350" s="113" t="s">
        <v>1035</v>
      </c>
      <c r="U350" s="111" t="s">
        <v>470</v>
      </c>
      <c r="V350" s="114" t="s">
        <v>470</v>
      </c>
      <c r="W350" s="83" t="s">
        <v>399</v>
      </c>
      <c r="X350" s="114" t="s">
        <v>390</v>
      </c>
      <c r="Y350" s="114" t="s">
        <v>511</v>
      </c>
      <c r="Z350" s="114" t="s">
        <v>392</v>
      </c>
      <c r="AA350" t="s">
        <v>401</v>
      </c>
      <c r="AB350" t="s">
        <v>374</v>
      </c>
      <c r="AC350" t="s">
        <v>687</v>
      </c>
      <c r="AE350" t="s">
        <v>342</v>
      </c>
    </row>
    <row r="351" spans="1:31" x14ac:dyDescent="0.25">
      <c r="A351" s="74">
        <v>37917</v>
      </c>
      <c r="B351" s="74" t="s">
        <v>1235</v>
      </c>
      <c r="C351" s="74" t="s">
        <v>1236</v>
      </c>
      <c r="D351" s="108" t="s">
        <v>397</v>
      </c>
      <c r="E351" s="108" t="s">
        <v>388</v>
      </c>
      <c r="F351" s="108" t="s">
        <v>388</v>
      </c>
      <c r="G351" s="108" t="s">
        <v>397</v>
      </c>
      <c r="H351" s="108" t="s">
        <v>388</v>
      </c>
      <c r="I351" s="109" t="s">
        <v>397</v>
      </c>
      <c r="J351" s="110" t="s">
        <v>388</v>
      </c>
      <c r="K351" s="110" t="s">
        <v>388</v>
      </c>
      <c r="L351" s="110" t="s">
        <v>388</v>
      </c>
      <c r="M351" s="110" t="s">
        <v>388</v>
      </c>
      <c r="N351" s="110" t="s">
        <v>388</v>
      </c>
      <c r="O351" s="111" t="s">
        <v>397</v>
      </c>
      <c r="P351" s="111" t="s">
        <v>397</v>
      </c>
      <c r="Q351" s="111" t="s">
        <v>397</v>
      </c>
      <c r="R351" s="111" t="s">
        <v>388</v>
      </c>
      <c r="S351" s="111" t="s">
        <v>397</v>
      </c>
      <c r="T351" s="113" t="s">
        <v>1035</v>
      </c>
      <c r="U351" s="111" t="s">
        <v>470</v>
      </c>
      <c r="V351" s="114" t="s">
        <v>470</v>
      </c>
      <c r="W351" s="83" t="s">
        <v>399</v>
      </c>
      <c r="X351" s="114" t="s">
        <v>390</v>
      </c>
      <c r="Y351" s="114" t="s">
        <v>515</v>
      </c>
      <c r="Z351" s="114" t="s">
        <v>392</v>
      </c>
      <c r="AA351" t="s">
        <v>401</v>
      </c>
      <c r="AB351" t="s">
        <v>374</v>
      </c>
      <c r="AC351" t="s">
        <v>690</v>
      </c>
      <c r="AE351" t="s">
        <v>342</v>
      </c>
    </row>
    <row r="352" spans="1:31" x14ac:dyDescent="0.25">
      <c r="A352" s="74">
        <v>37918</v>
      </c>
      <c r="B352" s="74" t="s">
        <v>1237</v>
      </c>
      <c r="C352" s="74" t="s">
        <v>1238</v>
      </c>
      <c r="D352" s="108" t="s">
        <v>397</v>
      </c>
      <c r="E352" s="108" t="s">
        <v>388</v>
      </c>
      <c r="F352" s="108" t="s">
        <v>388</v>
      </c>
      <c r="G352" s="108" t="s">
        <v>397</v>
      </c>
      <c r="H352" s="108" t="s">
        <v>388</v>
      </c>
      <c r="I352" s="109" t="s">
        <v>397</v>
      </c>
      <c r="J352" s="110" t="s">
        <v>388</v>
      </c>
      <c r="K352" s="110" t="s">
        <v>388</v>
      </c>
      <c r="L352" s="110" t="s">
        <v>388</v>
      </c>
      <c r="M352" s="110" t="s">
        <v>388</v>
      </c>
      <c r="N352" s="110" t="s">
        <v>388</v>
      </c>
      <c r="O352" s="111" t="s">
        <v>397</v>
      </c>
      <c r="P352" s="111" t="s">
        <v>397</v>
      </c>
      <c r="Q352" s="111" t="s">
        <v>397</v>
      </c>
      <c r="R352" s="111" t="s">
        <v>397</v>
      </c>
      <c r="S352" s="111" t="s">
        <v>388</v>
      </c>
      <c r="T352" s="113" t="s">
        <v>1035</v>
      </c>
      <c r="U352" s="111" t="s">
        <v>470</v>
      </c>
      <c r="V352" s="114" t="s">
        <v>470</v>
      </c>
      <c r="W352" s="83" t="s">
        <v>399</v>
      </c>
      <c r="X352" s="114" t="s">
        <v>390</v>
      </c>
      <c r="Y352" s="114" t="s">
        <v>519</v>
      </c>
      <c r="Z352" s="114" t="s">
        <v>392</v>
      </c>
      <c r="AA352" t="s">
        <v>401</v>
      </c>
      <c r="AB352" t="s">
        <v>374</v>
      </c>
      <c r="AC352" t="s">
        <v>693</v>
      </c>
      <c r="AE352" t="s">
        <v>342</v>
      </c>
    </row>
    <row r="353" spans="1:31" x14ac:dyDescent="0.25">
      <c r="A353" s="74">
        <v>37919</v>
      </c>
      <c r="B353" s="74" t="s">
        <v>1239</v>
      </c>
      <c r="C353" s="74" t="s">
        <v>1240</v>
      </c>
      <c r="D353" s="108" t="s">
        <v>397</v>
      </c>
      <c r="E353" s="108" t="s">
        <v>388</v>
      </c>
      <c r="F353" s="108" t="s">
        <v>388</v>
      </c>
      <c r="G353" s="108" t="s">
        <v>397</v>
      </c>
      <c r="H353" s="108" t="s">
        <v>388</v>
      </c>
      <c r="I353" s="109" t="s">
        <v>397</v>
      </c>
      <c r="J353" s="110" t="s">
        <v>388</v>
      </c>
      <c r="K353" s="110" t="s">
        <v>388</v>
      </c>
      <c r="L353" s="110" t="s">
        <v>388</v>
      </c>
      <c r="M353" s="110" t="s">
        <v>388</v>
      </c>
      <c r="N353" s="110" t="s">
        <v>388</v>
      </c>
      <c r="O353" s="111" t="s">
        <v>397</v>
      </c>
      <c r="P353" s="111" t="s">
        <v>397</v>
      </c>
      <c r="Q353" s="111" t="s">
        <v>397</v>
      </c>
      <c r="R353" s="111" t="s">
        <v>397</v>
      </c>
      <c r="S353" s="111" t="s">
        <v>397</v>
      </c>
      <c r="T353" s="113" t="s">
        <v>1035</v>
      </c>
      <c r="U353" s="111" t="s">
        <v>470</v>
      </c>
      <c r="V353" s="114" t="s">
        <v>470</v>
      </c>
      <c r="W353" s="83" t="s">
        <v>399</v>
      </c>
      <c r="X353" s="114" t="s">
        <v>390</v>
      </c>
      <c r="Y353" s="114" t="s">
        <v>523</v>
      </c>
      <c r="Z353" s="114" t="s">
        <v>392</v>
      </c>
      <c r="AA353" t="s">
        <v>401</v>
      </c>
      <c r="AB353" t="s">
        <v>374</v>
      </c>
      <c r="AC353" t="s">
        <v>696</v>
      </c>
      <c r="AE353" t="s">
        <v>342</v>
      </c>
    </row>
    <row r="354" spans="1:31" x14ac:dyDescent="0.25">
      <c r="A354" s="74">
        <v>38880</v>
      </c>
      <c r="B354" s="74" t="s">
        <v>1241</v>
      </c>
      <c r="C354" s="74" t="s">
        <v>1242</v>
      </c>
      <c r="D354" s="108" t="s">
        <v>397</v>
      </c>
      <c r="E354" s="108" t="s">
        <v>388</v>
      </c>
      <c r="F354" s="108" t="s">
        <v>388</v>
      </c>
      <c r="G354" s="108" t="s">
        <v>397</v>
      </c>
      <c r="H354" s="108" t="s">
        <v>388</v>
      </c>
      <c r="I354" s="109" t="s">
        <v>397</v>
      </c>
      <c r="J354" s="110" t="s">
        <v>397</v>
      </c>
      <c r="K354" s="110" t="s">
        <v>397</v>
      </c>
      <c r="L354" s="110" t="s">
        <v>397</v>
      </c>
      <c r="M354" s="110" t="s">
        <v>397</v>
      </c>
      <c r="N354" s="110" t="s">
        <v>397</v>
      </c>
      <c r="O354" s="111" t="s">
        <v>388</v>
      </c>
      <c r="P354" s="111" t="s">
        <v>388</v>
      </c>
      <c r="Q354" s="111" t="s">
        <v>388</v>
      </c>
      <c r="R354" s="111" t="s">
        <v>388</v>
      </c>
      <c r="S354" s="111" t="s">
        <v>388</v>
      </c>
      <c r="T354" s="113" t="s">
        <v>1167</v>
      </c>
      <c r="U354" s="111" t="s">
        <v>470</v>
      </c>
      <c r="V354" s="114" t="s">
        <v>470</v>
      </c>
      <c r="W354" s="83" t="s">
        <v>399</v>
      </c>
      <c r="X354" s="114" t="s">
        <v>523</v>
      </c>
      <c r="Y354" s="114" t="s">
        <v>390</v>
      </c>
      <c r="Z354" s="114" t="s">
        <v>392</v>
      </c>
      <c r="AA354" t="s">
        <v>401</v>
      </c>
      <c r="AB354" t="s">
        <v>348</v>
      </c>
      <c r="AC354" t="s">
        <v>592</v>
      </c>
      <c r="AE354" t="s">
        <v>342</v>
      </c>
    </row>
    <row r="355" spans="1:31" x14ac:dyDescent="0.25">
      <c r="A355" s="74">
        <v>38881</v>
      </c>
      <c r="B355" s="74" t="s">
        <v>1243</v>
      </c>
      <c r="C355" s="74" t="s">
        <v>1244</v>
      </c>
      <c r="D355" s="108" t="s">
        <v>397</v>
      </c>
      <c r="E355" s="108" t="s">
        <v>388</v>
      </c>
      <c r="F355" s="108" t="s">
        <v>388</v>
      </c>
      <c r="G355" s="108" t="s">
        <v>397</v>
      </c>
      <c r="H355" s="108" t="s">
        <v>388</v>
      </c>
      <c r="I355" s="109" t="s">
        <v>397</v>
      </c>
      <c r="J355" s="110" t="s">
        <v>397</v>
      </c>
      <c r="K355" s="110" t="s">
        <v>397</v>
      </c>
      <c r="L355" s="110" t="s">
        <v>397</v>
      </c>
      <c r="M355" s="110" t="s">
        <v>397</v>
      </c>
      <c r="N355" s="110" t="s">
        <v>397</v>
      </c>
      <c r="O355" s="111" t="s">
        <v>388</v>
      </c>
      <c r="P355" s="111" t="s">
        <v>388</v>
      </c>
      <c r="Q355" s="111" t="s">
        <v>388</v>
      </c>
      <c r="R355" s="111" t="s">
        <v>388</v>
      </c>
      <c r="S355" s="111" t="s">
        <v>397</v>
      </c>
      <c r="T355" s="113" t="s">
        <v>1170</v>
      </c>
      <c r="U355" s="111" t="s">
        <v>470</v>
      </c>
      <c r="V355" s="114" t="s">
        <v>470</v>
      </c>
      <c r="W355" s="83" t="s">
        <v>399</v>
      </c>
      <c r="X355" s="114" t="s">
        <v>523</v>
      </c>
      <c r="Y355" s="114" t="s">
        <v>400</v>
      </c>
      <c r="Z355" s="114" t="s">
        <v>392</v>
      </c>
      <c r="AA355" t="s">
        <v>401</v>
      </c>
      <c r="AB355" t="s">
        <v>204</v>
      </c>
      <c r="AC355" t="s">
        <v>596</v>
      </c>
      <c r="AE355" t="s">
        <v>342</v>
      </c>
    </row>
    <row r="356" spans="1:31" x14ac:dyDescent="0.25">
      <c r="A356" s="74">
        <v>38882</v>
      </c>
      <c r="B356" s="74" t="s">
        <v>1245</v>
      </c>
      <c r="C356" s="74" t="s">
        <v>1246</v>
      </c>
      <c r="D356" s="108" t="s">
        <v>397</v>
      </c>
      <c r="E356" s="108" t="s">
        <v>388</v>
      </c>
      <c r="F356" s="108" t="s">
        <v>388</v>
      </c>
      <c r="G356" s="108" t="s">
        <v>397</v>
      </c>
      <c r="H356" s="108" t="s">
        <v>388</v>
      </c>
      <c r="I356" s="109" t="s">
        <v>397</v>
      </c>
      <c r="J356" s="110" t="s">
        <v>397</v>
      </c>
      <c r="K356" s="110" t="s">
        <v>397</v>
      </c>
      <c r="L356" s="110" t="s">
        <v>397</v>
      </c>
      <c r="M356" s="110" t="s">
        <v>397</v>
      </c>
      <c r="N356" s="110" t="s">
        <v>397</v>
      </c>
      <c r="O356" s="111" t="s">
        <v>388</v>
      </c>
      <c r="P356" s="111" t="s">
        <v>388</v>
      </c>
      <c r="Q356" s="111" t="s">
        <v>388</v>
      </c>
      <c r="R356" s="111" t="s">
        <v>397</v>
      </c>
      <c r="S356" s="111" t="s">
        <v>388</v>
      </c>
      <c r="T356" s="113" t="s">
        <v>1173</v>
      </c>
      <c r="U356" s="111" t="s">
        <v>470</v>
      </c>
      <c r="V356" s="114" t="s">
        <v>470</v>
      </c>
      <c r="W356" s="83" t="s">
        <v>399</v>
      </c>
      <c r="X356" s="114" t="s">
        <v>523</v>
      </c>
      <c r="Y356" s="114" t="s">
        <v>405</v>
      </c>
      <c r="Z356" s="114" t="s">
        <v>392</v>
      </c>
      <c r="AA356" t="s">
        <v>401</v>
      </c>
      <c r="AB356" t="s">
        <v>375</v>
      </c>
      <c r="AC356" t="s">
        <v>600</v>
      </c>
      <c r="AE356" t="s">
        <v>342</v>
      </c>
    </row>
    <row r="357" spans="1:31" x14ac:dyDescent="0.25">
      <c r="A357" s="74">
        <v>38883</v>
      </c>
      <c r="B357" s="74" t="s">
        <v>1247</v>
      </c>
      <c r="C357" s="74" t="s">
        <v>1248</v>
      </c>
      <c r="D357" s="108" t="s">
        <v>397</v>
      </c>
      <c r="E357" s="108" t="s">
        <v>388</v>
      </c>
      <c r="F357" s="108" t="s">
        <v>388</v>
      </c>
      <c r="G357" s="108" t="s">
        <v>397</v>
      </c>
      <c r="H357" s="108" t="s">
        <v>388</v>
      </c>
      <c r="I357" s="109" t="s">
        <v>397</v>
      </c>
      <c r="J357" s="110" t="s">
        <v>397</v>
      </c>
      <c r="K357" s="110" t="s">
        <v>397</v>
      </c>
      <c r="L357" s="110" t="s">
        <v>397</v>
      </c>
      <c r="M357" s="110" t="s">
        <v>397</v>
      </c>
      <c r="N357" s="110" t="s">
        <v>397</v>
      </c>
      <c r="O357" s="111" t="s">
        <v>388</v>
      </c>
      <c r="P357" s="111" t="s">
        <v>388</v>
      </c>
      <c r="Q357" s="111" t="s">
        <v>388</v>
      </c>
      <c r="R357" s="111" t="s">
        <v>397</v>
      </c>
      <c r="S357" s="111" t="s">
        <v>397</v>
      </c>
      <c r="T357" s="113" t="s">
        <v>1176</v>
      </c>
      <c r="U357" s="111" t="s">
        <v>470</v>
      </c>
      <c r="V357" s="114" t="s">
        <v>470</v>
      </c>
      <c r="W357" s="83" t="s">
        <v>399</v>
      </c>
      <c r="X357" s="114" t="s">
        <v>523</v>
      </c>
      <c r="Y357" s="114" t="s">
        <v>409</v>
      </c>
      <c r="Z357" s="114" t="s">
        <v>392</v>
      </c>
      <c r="AA357" t="s">
        <v>401</v>
      </c>
      <c r="AB357" t="s">
        <v>376</v>
      </c>
      <c r="AC357" t="s">
        <v>604</v>
      </c>
      <c r="AE357" t="s">
        <v>342</v>
      </c>
    </row>
    <row r="358" spans="1:31" x14ac:dyDescent="0.25">
      <c r="A358" s="74">
        <v>38884</v>
      </c>
      <c r="B358" s="74" t="s">
        <v>1249</v>
      </c>
      <c r="C358" s="74" t="s">
        <v>1250</v>
      </c>
      <c r="D358" s="108" t="s">
        <v>397</v>
      </c>
      <c r="E358" s="108" t="s">
        <v>388</v>
      </c>
      <c r="F358" s="108" t="s">
        <v>388</v>
      </c>
      <c r="G358" s="108" t="s">
        <v>397</v>
      </c>
      <c r="H358" s="108" t="s">
        <v>388</v>
      </c>
      <c r="I358" s="109" t="s">
        <v>397</v>
      </c>
      <c r="J358" s="110" t="s">
        <v>397</v>
      </c>
      <c r="K358" s="110" t="s">
        <v>397</v>
      </c>
      <c r="L358" s="110" t="s">
        <v>397</v>
      </c>
      <c r="M358" s="110" t="s">
        <v>397</v>
      </c>
      <c r="N358" s="110" t="s">
        <v>397</v>
      </c>
      <c r="O358" s="111" t="s">
        <v>388</v>
      </c>
      <c r="P358" s="111" t="s">
        <v>388</v>
      </c>
      <c r="Q358" s="111" t="s">
        <v>397</v>
      </c>
      <c r="R358" s="111" t="s">
        <v>388</v>
      </c>
      <c r="S358" s="111" t="s">
        <v>388</v>
      </c>
      <c r="T358" s="113" t="s">
        <v>1179</v>
      </c>
      <c r="U358" s="111" t="s">
        <v>470</v>
      </c>
      <c r="V358" s="114" t="s">
        <v>470</v>
      </c>
      <c r="W358" s="83" t="s">
        <v>399</v>
      </c>
      <c r="X358" s="114" t="s">
        <v>523</v>
      </c>
      <c r="Y358" s="114" t="s">
        <v>413</v>
      </c>
      <c r="Z358" s="114" t="s">
        <v>392</v>
      </c>
      <c r="AA358" t="s">
        <v>401</v>
      </c>
      <c r="AB358" t="s">
        <v>377</v>
      </c>
      <c r="AC358" t="s">
        <v>608</v>
      </c>
      <c r="AE358" t="s">
        <v>342</v>
      </c>
    </row>
    <row r="359" spans="1:31" x14ac:dyDescent="0.25">
      <c r="A359" s="74">
        <v>38885</v>
      </c>
      <c r="B359" s="74" t="s">
        <v>1251</v>
      </c>
      <c r="C359" s="74" t="s">
        <v>1252</v>
      </c>
      <c r="D359" s="108" t="s">
        <v>397</v>
      </c>
      <c r="E359" s="108" t="s">
        <v>388</v>
      </c>
      <c r="F359" s="108" t="s">
        <v>388</v>
      </c>
      <c r="G359" s="108" t="s">
        <v>397</v>
      </c>
      <c r="H359" s="108" t="s">
        <v>388</v>
      </c>
      <c r="I359" s="109" t="s">
        <v>397</v>
      </c>
      <c r="J359" s="110" t="s">
        <v>397</v>
      </c>
      <c r="K359" s="110" t="s">
        <v>397</v>
      </c>
      <c r="L359" s="110" t="s">
        <v>397</v>
      </c>
      <c r="M359" s="110" t="s">
        <v>397</v>
      </c>
      <c r="N359" s="110" t="s">
        <v>397</v>
      </c>
      <c r="O359" s="111" t="s">
        <v>388</v>
      </c>
      <c r="P359" s="111" t="s">
        <v>388</v>
      </c>
      <c r="Q359" s="111" t="s">
        <v>397</v>
      </c>
      <c r="R359" s="111" t="s">
        <v>388</v>
      </c>
      <c r="S359" s="111" t="s">
        <v>397</v>
      </c>
      <c r="T359" s="113" t="s">
        <v>1182</v>
      </c>
      <c r="U359" s="111" t="s">
        <v>470</v>
      </c>
      <c r="V359" s="114" t="s">
        <v>470</v>
      </c>
      <c r="W359" s="83" t="s">
        <v>399</v>
      </c>
      <c r="X359" s="114" t="s">
        <v>523</v>
      </c>
      <c r="Y359" s="114" t="s">
        <v>417</v>
      </c>
      <c r="Z359" s="114" t="s">
        <v>392</v>
      </c>
      <c r="AA359" t="s">
        <v>401</v>
      </c>
      <c r="AB359" t="s">
        <v>378</v>
      </c>
      <c r="AC359" t="s">
        <v>612</v>
      </c>
      <c r="AE359" t="s">
        <v>342</v>
      </c>
    </row>
    <row r="360" spans="1:31" x14ac:dyDescent="0.25">
      <c r="A360" s="74">
        <v>38886</v>
      </c>
      <c r="B360" s="74" t="s">
        <v>1253</v>
      </c>
      <c r="C360" s="74" t="s">
        <v>1254</v>
      </c>
      <c r="D360" s="108" t="s">
        <v>397</v>
      </c>
      <c r="E360" s="108" t="s">
        <v>388</v>
      </c>
      <c r="F360" s="108" t="s">
        <v>388</v>
      </c>
      <c r="G360" s="108" t="s">
        <v>397</v>
      </c>
      <c r="H360" s="108" t="s">
        <v>388</v>
      </c>
      <c r="I360" s="109" t="s">
        <v>397</v>
      </c>
      <c r="J360" s="110" t="s">
        <v>397</v>
      </c>
      <c r="K360" s="110" t="s">
        <v>397</v>
      </c>
      <c r="L360" s="110" t="s">
        <v>397</v>
      </c>
      <c r="M360" s="110" t="s">
        <v>397</v>
      </c>
      <c r="N360" s="110" t="s">
        <v>397</v>
      </c>
      <c r="O360" s="111" t="s">
        <v>388</v>
      </c>
      <c r="P360" s="111" t="s">
        <v>388</v>
      </c>
      <c r="Q360" s="111" t="s">
        <v>397</v>
      </c>
      <c r="R360" s="111" t="s">
        <v>397</v>
      </c>
      <c r="S360" s="111" t="s">
        <v>388</v>
      </c>
      <c r="T360" s="113" t="s">
        <v>1185</v>
      </c>
      <c r="U360" s="111" t="s">
        <v>470</v>
      </c>
      <c r="V360" s="114" t="s">
        <v>470</v>
      </c>
      <c r="W360" s="83" t="s">
        <v>399</v>
      </c>
      <c r="X360" s="114" t="s">
        <v>523</v>
      </c>
      <c r="Y360" s="114" t="s">
        <v>421</v>
      </c>
      <c r="Z360" s="114" t="s">
        <v>392</v>
      </c>
      <c r="AA360" t="s">
        <v>401</v>
      </c>
      <c r="AB360" t="s">
        <v>379</v>
      </c>
      <c r="AC360" t="s">
        <v>616</v>
      </c>
      <c r="AE360" t="s">
        <v>342</v>
      </c>
    </row>
    <row r="361" spans="1:31" x14ac:dyDescent="0.25">
      <c r="A361" s="74">
        <v>38887</v>
      </c>
      <c r="B361" s="74" t="s">
        <v>1255</v>
      </c>
      <c r="C361" s="74" t="s">
        <v>1256</v>
      </c>
      <c r="D361" s="108" t="s">
        <v>397</v>
      </c>
      <c r="E361" s="108" t="s">
        <v>388</v>
      </c>
      <c r="F361" s="108" t="s">
        <v>388</v>
      </c>
      <c r="G361" s="108" t="s">
        <v>397</v>
      </c>
      <c r="H361" s="108" t="s">
        <v>388</v>
      </c>
      <c r="I361" s="109" t="s">
        <v>397</v>
      </c>
      <c r="J361" s="110" t="s">
        <v>397</v>
      </c>
      <c r="K361" s="110" t="s">
        <v>397</v>
      </c>
      <c r="L361" s="110" t="s">
        <v>397</v>
      </c>
      <c r="M361" s="110" t="s">
        <v>397</v>
      </c>
      <c r="N361" s="110" t="s">
        <v>397</v>
      </c>
      <c r="O361" s="111" t="s">
        <v>388</v>
      </c>
      <c r="P361" s="111" t="s">
        <v>388</v>
      </c>
      <c r="Q361" s="111" t="s">
        <v>397</v>
      </c>
      <c r="R361" s="111" t="s">
        <v>397</v>
      </c>
      <c r="S361" s="111" t="s">
        <v>397</v>
      </c>
      <c r="T361" s="113" t="s">
        <v>1188</v>
      </c>
      <c r="U361" s="111" t="s">
        <v>470</v>
      </c>
      <c r="V361" s="114" t="s">
        <v>470</v>
      </c>
      <c r="W361" s="83" t="s">
        <v>399</v>
      </c>
      <c r="X361" s="114" t="s">
        <v>523</v>
      </c>
      <c r="Y361" s="114" t="s">
        <v>425</v>
      </c>
      <c r="Z361" s="114" t="s">
        <v>392</v>
      </c>
      <c r="AA361" t="s">
        <v>401</v>
      </c>
      <c r="AB361" t="s">
        <v>380</v>
      </c>
      <c r="AC361" t="s">
        <v>620</v>
      </c>
      <c r="AE361" t="s">
        <v>342</v>
      </c>
    </row>
    <row r="362" spans="1:31" x14ac:dyDescent="0.25">
      <c r="A362" s="74">
        <v>38888</v>
      </c>
      <c r="B362" s="74" t="s">
        <v>1257</v>
      </c>
      <c r="C362" s="74" t="s">
        <v>1258</v>
      </c>
      <c r="D362" s="108" t="s">
        <v>397</v>
      </c>
      <c r="E362" s="108" t="s">
        <v>388</v>
      </c>
      <c r="F362" s="108" t="s">
        <v>388</v>
      </c>
      <c r="G362" s="108" t="s">
        <v>397</v>
      </c>
      <c r="H362" s="108" t="s">
        <v>388</v>
      </c>
      <c r="I362" s="109" t="s">
        <v>397</v>
      </c>
      <c r="J362" s="110" t="s">
        <v>397</v>
      </c>
      <c r="K362" s="110" t="s">
        <v>397</v>
      </c>
      <c r="L362" s="110" t="s">
        <v>397</v>
      </c>
      <c r="M362" s="110" t="s">
        <v>397</v>
      </c>
      <c r="N362" s="110" t="s">
        <v>397</v>
      </c>
      <c r="O362" s="111" t="s">
        <v>388</v>
      </c>
      <c r="P362" s="111" t="s">
        <v>397</v>
      </c>
      <c r="Q362" s="111" t="s">
        <v>388</v>
      </c>
      <c r="R362" s="111" t="s">
        <v>388</v>
      </c>
      <c r="S362" s="111" t="s">
        <v>388</v>
      </c>
      <c r="T362" s="113" t="s">
        <v>1191</v>
      </c>
      <c r="U362" s="111" t="s">
        <v>470</v>
      </c>
      <c r="V362" s="114" t="s">
        <v>470</v>
      </c>
      <c r="W362" s="83" t="s">
        <v>399</v>
      </c>
      <c r="X362" s="114" t="s">
        <v>523</v>
      </c>
      <c r="Y362" s="114" t="s">
        <v>429</v>
      </c>
      <c r="Z362" s="114" t="s">
        <v>392</v>
      </c>
      <c r="AA362" t="s">
        <v>401</v>
      </c>
      <c r="AB362" t="s">
        <v>355</v>
      </c>
      <c r="AC362" t="s">
        <v>624</v>
      </c>
      <c r="AE362" t="s">
        <v>342</v>
      </c>
    </row>
    <row r="363" spans="1:31" x14ac:dyDescent="0.25">
      <c r="A363" s="74">
        <v>38889</v>
      </c>
      <c r="B363" s="74" t="s">
        <v>1259</v>
      </c>
      <c r="C363" s="74" t="s">
        <v>1260</v>
      </c>
      <c r="D363" s="108" t="s">
        <v>397</v>
      </c>
      <c r="E363" s="108" t="s">
        <v>388</v>
      </c>
      <c r="F363" s="108" t="s">
        <v>388</v>
      </c>
      <c r="G363" s="108" t="s">
        <v>397</v>
      </c>
      <c r="H363" s="108" t="s">
        <v>388</v>
      </c>
      <c r="I363" s="109" t="s">
        <v>397</v>
      </c>
      <c r="J363" s="110" t="s">
        <v>397</v>
      </c>
      <c r="K363" s="110" t="s">
        <v>397</v>
      </c>
      <c r="L363" s="110" t="s">
        <v>397</v>
      </c>
      <c r="M363" s="110" t="s">
        <v>397</v>
      </c>
      <c r="N363" s="110" t="s">
        <v>397</v>
      </c>
      <c r="O363" s="111" t="s">
        <v>388</v>
      </c>
      <c r="P363" s="111" t="s">
        <v>397</v>
      </c>
      <c r="Q363" s="111" t="s">
        <v>388</v>
      </c>
      <c r="R363" s="111" t="s">
        <v>388</v>
      </c>
      <c r="S363" s="111" t="s">
        <v>397</v>
      </c>
      <c r="T363" s="113" t="s">
        <v>1035</v>
      </c>
      <c r="U363" s="111" t="s">
        <v>470</v>
      </c>
      <c r="V363" s="114" t="s">
        <v>470</v>
      </c>
      <c r="W363" s="83" t="s">
        <v>399</v>
      </c>
      <c r="X363" s="114" t="s">
        <v>523</v>
      </c>
      <c r="Y363" s="114" t="s">
        <v>433</v>
      </c>
      <c r="Z363" s="114" t="s">
        <v>392</v>
      </c>
      <c r="AA363" t="s">
        <v>401</v>
      </c>
      <c r="AB363" t="s">
        <v>374</v>
      </c>
      <c r="AC363" t="s">
        <v>627</v>
      </c>
      <c r="AE363" t="s">
        <v>342</v>
      </c>
    </row>
    <row r="364" spans="1:31" x14ac:dyDescent="0.25">
      <c r="A364" s="74">
        <v>38890</v>
      </c>
      <c r="B364" s="74" t="s">
        <v>1261</v>
      </c>
      <c r="C364" s="74" t="s">
        <v>1262</v>
      </c>
      <c r="D364" s="108" t="s">
        <v>397</v>
      </c>
      <c r="E364" s="108" t="s">
        <v>388</v>
      </c>
      <c r="F364" s="108" t="s">
        <v>388</v>
      </c>
      <c r="G364" s="108" t="s">
        <v>397</v>
      </c>
      <c r="H364" s="108" t="s">
        <v>388</v>
      </c>
      <c r="I364" s="109" t="s">
        <v>397</v>
      </c>
      <c r="J364" s="110" t="s">
        <v>397</v>
      </c>
      <c r="K364" s="110" t="s">
        <v>397</v>
      </c>
      <c r="L364" s="110" t="s">
        <v>397</v>
      </c>
      <c r="M364" s="110" t="s">
        <v>397</v>
      </c>
      <c r="N364" s="110" t="s">
        <v>397</v>
      </c>
      <c r="O364" s="111" t="s">
        <v>388</v>
      </c>
      <c r="P364" s="111" t="s">
        <v>397</v>
      </c>
      <c r="Q364" s="111" t="s">
        <v>388</v>
      </c>
      <c r="R364" s="111" t="s">
        <v>397</v>
      </c>
      <c r="S364" s="111" t="s">
        <v>388</v>
      </c>
      <c r="T364" s="113" t="s">
        <v>1035</v>
      </c>
      <c r="U364" s="111" t="s">
        <v>470</v>
      </c>
      <c r="V364" s="114" t="s">
        <v>470</v>
      </c>
      <c r="W364" s="83" t="s">
        <v>399</v>
      </c>
      <c r="X364" s="114" t="s">
        <v>523</v>
      </c>
      <c r="Y364" s="114" t="s">
        <v>437</v>
      </c>
      <c r="Z364" s="114" t="s">
        <v>392</v>
      </c>
      <c r="AA364" t="s">
        <v>401</v>
      </c>
      <c r="AB364" t="s">
        <v>374</v>
      </c>
      <c r="AC364" t="s">
        <v>630</v>
      </c>
      <c r="AE364" t="s">
        <v>342</v>
      </c>
    </row>
    <row r="365" spans="1:31" x14ac:dyDescent="0.25">
      <c r="A365" s="74">
        <v>38891</v>
      </c>
      <c r="B365" s="74" t="s">
        <v>1263</v>
      </c>
      <c r="C365" s="74" t="s">
        <v>1264</v>
      </c>
      <c r="D365" s="108" t="s">
        <v>397</v>
      </c>
      <c r="E365" s="108" t="s">
        <v>388</v>
      </c>
      <c r="F365" s="108" t="s">
        <v>388</v>
      </c>
      <c r="G365" s="108" t="s">
        <v>397</v>
      </c>
      <c r="H365" s="108" t="s">
        <v>388</v>
      </c>
      <c r="I365" s="109" t="s">
        <v>397</v>
      </c>
      <c r="J365" s="110" t="s">
        <v>397</v>
      </c>
      <c r="K365" s="110" t="s">
        <v>397</v>
      </c>
      <c r="L365" s="110" t="s">
        <v>397</v>
      </c>
      <c r="M365" s="110" t="s">
        <v>397</v>
      </c>
      <c r="N365" s="110" t="s">
        <v>397</v>
      </c>
      <c r="O365" s="111" t="s">
        <v>388</v>
      </c>
      <c r="P365" s="111" t="s">
        <v>397</v>
      </c>
      <c r="Q365" s="111" t="s">
        <v>388</v>
      </c>
      <c r="R365" s="111" t="s">
        <v>397</v>
      </c>
      <c r="S365" s="111" t="s">
        <v>397</v>
      </c>
      <c r="T365" s="113" t="s">
        <v>1035</v>
      </c>
      <c r="U365" s="111" t="s">
        <v>470</v>
      </c>
      <c r="V365" s="114" t="s">
        <v>470</v>
      </c>
      <c r="W365" s="83" t="s">
        <v>399</v>
      </c>
      <c r="X365" s="114" t="s">
        <v>523</v>
      </c>
      <c r="Y365" s="114" t="s">
        <v>441</v>
      </c>
      <c r="Z365" s="114" t="s">
        <v>392</v>
      </c>
      <c r="AA365" t="s">
        <v>401</v>
      </c>
      <c r="AB365" t="s">
        <v>374</v>
      </c>
      <c r="AC365" t="s">
        <v>633</v>
      </c>
      <c r="AE365" t="s">
        <v>342</v>
      </c>
    </row>
    <row r="366" spans="1:31" x14ac:dyDescent="0.25">
      <c r="A366" s="74">
        <v>38892</v>
      </c>
      <c r="B366" s="74" t="s">
        <v>1265</v>
      </c>
      <c r="C366" s="74" t="s">
        <v>1266</v>
      </c>
      <c r="D366" s="108" t="s">
        <v>397</v>
      </c>
      <c r="E366" s="108" t="s">
        <v>388</v>
      </c>
      <c r="F366" s="108" t="s">
        <v>388</v>
      </c>
      <c r="G366" s="108" t="s">
        <v>397</v>
      </c>
      <c r="H366" s="108" t="s">
        <v>388</v>
      </c>
      <c r="I366" s="109" t="s">
        <v>397</v>
      </c>
      <c r="J366" s="110" t="s">
        <v>397</v>
      </c>
      <c r="K366" s="110" t="s">
        <v>397</v>
      </c>
      <c r="L366" s="110" t="s">
        <v>397</v>
      </c>
      <c r="M366" s="110" t="s">
        <v>397</v>
      </c>
      <c r="N366" s="110" t="s">
        <v>397</v>
      </c>
      <c r="O366" s="111" t="s">
        <v>388</v>
      </c>
      <c r="P366" s="111" t="s">
        <v>397</v>
      </c>
      <c r="Q366" s="111" t="s">
        <v>397</v>
      </c>
      <c r="R366" s="111" t="s">
        <v>388</v>
      </c>
      <c r="S366" s="111" t="s">
        <v>388</v>
      </c>
      <c r="T366" s="113" t="s">
        <v>1035</v>
      </c>
      <c r="U366" s="111" t="s">
        <v>470</v>
      </c>
      <c r="V366" s="114" t="s">
        <v>470</v>
      </c>
      <c r="W366" s="83" t="s">
        <v>399</v>
      </c>
      <c r="X366" s="114" t="s">
        <v>523</v>
      </c>
      <c r="Y366" s="114" t="s">
        <v>445</v>
      </c>
      <c r="Z366" s="114" t="s">
        <v>392</v>
      </c>
      <c r="AA366" t="s">
        <v>401</v>
      </c>
      <c r="AB366" t="s">
        <v>374</v>
      </c>
      <c r="AC366" t="s">
        <v>636</v>
      </c>
      <c r="AE366" t="s">
        <v>342</v>
      </c>
    </row>
    <row r="367" spans="1:31" x14ac:dyDescent="0.25">
      <c r="A367" s="74">
        <v>38893</v>
      </c>
      <c r="B367" s="74" t="s">
        <v>1267</v>
      </c>
      <c r="C367" s="74" t="s">
        <v>1268</v>
      </c>
      <c r="D367" s="108" t="s">
        <v>397</v>
      </c>
      <c r="E367" s="108" t="s">
        <v>388</v>
      </c>
      <c r="F367" s="108" t="s">
        <v>388</v>
      </c>
      <c r="G367" s="108" t="s">
        <v>397</v>
      </c>
      <c r="H367" s="108" t="s">
        <v>388</v>
      </c>
      <c r="I367" s="109" t="s">
        <v>397</v>
      </c>
      <c r="J367" s="110" t="s">
        <v>397</v>
      </c>
      <c r="K367" s="110" t="s">
        <v>397</v>
      </c>
      <c r="L367" s="110" t="s">
        <v>397</v>
      </c>
      <c r="M367" s="110" t="s">
        <v>397</v>
      </c>
      <c r="N367" s="110" t="s">
        <v>397</v>
      </c>
      <c r="O367" s="111" t="s">
        <v>388</v>
      </c>
      <c r="P367" s="111" t="s">
        <v>397</v>
      </c>
      <c r="Q367" s="111" t="s">
        <v>397</v>
      </c>
      <c r="R367" s="111" t="s">
        <v>388</v>
      </c>
      <c r="S367" s="111" t="s">
        <v>397</v>
      </c>
      <c r="T367" s="113" t="s">
        <v>1035</v>
      </c>
      <c r="U367" s="111" t="s">
        <v>470</v>
      </c>
      <c r="V367" s="114" t="s">
        <v>470</v>
      </c>
      <c r="W367" s="83" t="s">
        <v>399</v>
      </c>
      <c r="X367" s="114" t="s">
        <v>523</v>
      </c>
      <c r="Y367" s="114" t="s">
        <v>449</v>
      </c>
      <c r="Z367" s="114" t="s">
        <v>392</v>
      </c>
      <c r="AA367" t="s">
        <v>401</v>
      </c>
      <c r="AB367" t="s">
        <v>374</v>
      </c>
      <c r="AC367" t="s">
        <v>639</v>
      </c>
      <c r="AE367" t="s">
        <v>342</v>
      </c>
    </row>
    <row r="368" spans="1:31" x14ac:dyDescent="0.25">
      <c r="A368" s="74">
        <v>38894</v>
      </c>
      <c r="B368" s="74" t="s">
        <v>1269</v>
      </c>
      <c r="C368" s="74" t="s">
        <v>1270</v>
      </c>
      <c r="D368" s="108" t="s">
        <v>397</v>
      </c>
      <c r="E368" s="108" t="s">
        <v>388</v>
      </c>
      <c r="F368" s="108" t="s">
        <v>388</v>
      </c>
      <c r="G368" s="108" t="s">
        <v>397</v>
      </c>
      <c r="H368" s="108" t="s">
        <v>388</v>
      </c>
      <c r="I368" s="109" t="s">
        <v>397</v>
      </c>
      <c r="J368" s="110" t="s">
        <v>397</v>
      </c>
      <c r="K368" s="110" t="s">
        <v>397</v>
      </c>
      <c r="L368" s="110" t="s">
        <v>397</v>
      </c>
      <c r="M368" s="110" t="s">
        <v>397</v>
      </c>
      <c r="N368" s="110" t="s">
        <v>397</v>
      </c>
      <c r="O368" s="111" t="s">
        <v>388</v>
      </c>
      <c r="P368" s="111" t="s">
        <v>397</v>
      </c>
      <c r="Q368" s="111" t="s">
        <v>397</v>
      </c>
      <c r="R368" s="111" t="s">
        <v>397</v>
      </c>
      <c r="S368" s="111" t="s">
        <v>388</v>
      </c>
      <c r="T368" s="113" t="s">
        <v>1035</v>
      </c>
      <c r="U368" s="111" t="s">
        <v>470</v>
      </c>
      <c r="V368" s="114" t="s">
        <v>470</v>
      </c>
      <c r="W368" s="83" t="s">
        <v>399</v>
      </c>
      <c r="X368" s="114" t="s">
        <v>523</v>
      </c>
      <c r="Y368" s="114" t="s">
        <v>453</v>
      </c>
      <c r="Z368" s="114" t="s">
        <v>392</v>
      </c>
      <c r="AA368" t="s">
        <v>401</v>
      </c>
      <c r="AB368" t="s">
        <v>374</v>
      </c>
      <c r="AC368" t="s">
        <v>642</v>
      </c>
      <c r="AE368" t="s">
        <v>342</v>
      </c>
    </row>
    <row r="369" spans="1:31" x14ac:dyDescent="0.25">
      <c r="A369" s="74">
        <v>38895</v>
      </c>
      <c r="B369" s="74" t="s">
        <v>1271</v>
      </c>
      <c r="C369" s="74" t="s">
        <v>1272</v>
      </c>
      <c r="D369" s="108" t="s">
        <v>397</v>
      </c>
      <c r="E369" s="108" t="s">
        <v>388</v>
      </c>
      <c r="F369" s="108" t="s">
        <v>388</v>
      </c>
      <c r="G369" s="108" t="s">
        <v>397</v>
      </c>
      <c r="H369" s="108" t="s">
        <v>388</v>
      </c>
      <c r="I369" s="109" t="s">
        <v>397</v>
      </c>
      <c r="J369" s="110" t="s">
        <v>397</v>
      </c>
      <c r="K369" s="110" t="s">
        <v>397</v>
      </c>
      <c r="L369" s="110" t="s">
        <v>397</v>
      </c>
      <c r="M369" s="110" t="s">
        <v>397</v>
      </c>
      <c r="N369" s="110" t="s">
        <v>397</v>
      </c>
      <c r="O369" s="111" t="s">
        <v>388</v>
      </c>
      <c r="P369" s="111" t="s">
        <v>397</v>
      </c>
      <c r="Q369" s="111" t="s">
        <v>397</v>
      </c>
      <c r="R369" s="111" t="s">
        <v>397</v>
      </c>
      <c r="S369" s="111" t="s">
        <v>397</v>
      </c>
      <c r="T369" s="113" t="s">
        <v>1035</v>
      </c>
      <c r="U369" s="111" t="s">
        <v>470</v>
      </c>
      <c r="V369" s="114" t="s">
        <v>470</v>
      </c>
      <c r="W369" s="83" t="s">
        <v>399</v>
      </c>
      <c r="X369" s="114" t="s">
        <v>523</v>
      </c>
      <c r="Y369" s="114" t="s">
        <v>457</v>
      </c>
      <c r="Z369" s="114" t="s">
        <v>392</v>
      </c>
      <c r="AA369" t="s">
        <v>401</v>
      </c>
      <c r="AB369" t="s">
        <v>374</v>
      </c>
      <c r="AC369" t="s">
        <v>645</v>
      </c>
      <c r="AE369" t="s">
        <v>342</v>
      </c>
    </row>
    <row r="370" spans="1:31" x14ac:dyDescent="0.25">
      <c r="A370" s="74">
        <v>38896</v>
      </c>
      <c r="B370" s="74" t="s">
        <v>1273</v>
      </c>
      <c r="C370" s="74" t="s">
        <v>1274</v>
      </c>
      <c r="D370" s="108" t="s">
        <v>397</v>
      </c>
      <c r="E370" s="108" t="s">
        <v>388</v>
      </c>
      <c r="F370" s="108" t="s">
        <v>388</v>
      </c>
      <c r="G370" s="108" t="s">
        <v>397</v>
      </c>
      <c r="H370" s="108" t="s">
        <v>388</v>
      </c>
      <c r="I370" s="109" t="s">
        <v>397</v>
      </c>
      <c r="J370" s="110" t="s">
        <v>397</v>
      </c>
      <c r="K370" s="110" t="s">
        <v>397</v>
      </c>
      <c r="L370" s="110" t="s">
        <v>397</v>
      </c>
      <c r="M370" s="110" t="s">
        <v>397</v>
      </c>
      <c r="N370" s="110" t="s">
        <v>397</v>
      </c>
      <c r="O370" s="111" t="s">
        <v>397</v>
      </c>
      <c r="P370" s="111" t="s">
        <v>388</v>
      </c>
      <c r="Q370" s="111" t="s">
        <v>388</v>
      </c>
      <c r="R370" s="111" t="s">
        <v>388</v>
      </c>
      <c r="S370" s="111" t="s">
        <v>388</v>
      </c>
      <c r="T370" s="113" t="s">
        <v>1208</v>
      </c>
      <c r="U370" s="111" t="s">
        <v>470</v>
      </c>
      <c r="V370" s="114" t="s">
        <v>470</v>
      </c>
      <c r="W370" s="83" t="s">
        <v>399</v>
      </c>
      <c r="X370" s="114" t="s">
        <v>523</v>
      </c>
      <c r="Y370" s="114" t="s">
        <v>461</v>
      </c>
      <c r="Z370" s="114" t="s">
        <v>392</v>
      </c>
      <c r="AA370" t="s">
        <v>401</v>
      </c>
      <c r="AB370" t="s">
        <v>116</v>
      </c>
      <c r="AC370" t="s">
        <v>649</v>
      </c>
      <c r="AE370" t="s">
        <v>342</v>
      </c>
    </row>
    <row r="371" spans="1:31" x14ac:dyDescent="0.25">
      <c r="A371" s="74">
        <v>38897</v>
      </c>
      <c r="B371" s="74" t="s">
        <v>1275</v>
      </c>
      <c r="C371" s="74" t="s">
        <v>1276</v>
      </c>
      <c r="D371" s="108" t="s">
        <v>397</v>
      </c>
      <c r="E371" s="108" t="s">
        <v>388</v>
      </c>
      <c r="F371" s="108" t="s">
        <v>388</v>
      </c>
      <c r="G371" s="108" t="s">
        <v>397</v>
      </c>
      <c r="H371" s="108" t="s">
        <v>388</v>
      </c>
      <c r="I371" s="109" t="s">
        <v>397</v>
      </c>
      <c r="J371" s="110" t="s">
        <v>397</v>
      </c>
      <c r="K371" s="110" t="s">
        <v>397</v>
      </c>
      <c r="L371" s="110" t="s">
        <v>397</v>
      </c>
      <c r="M371" s="110" t="s">
        <v>397</v>
      </c>
      <c r="N371" s="110" t="s">
        <v>397</v>
      </c>
      <c r="O371" s="111" t="s">
        <v>397</v>
      </c>
      <c r="P371" s="111" t="s">
        <v>388</v>
      </c>
      <c r="Q371" s="111" t="s">
        <v>388</v>
      </c>
      <c r="R371" s="111" t="s">
        <v>388</v>
      </c>
      <c r="S371" s="111" t="s">
        <v>397</v>
      </c>
      <c r="T371" s="113" t="s">
        <v>1035</v>
      </c>
      <c r="U371" s="111" t="s">
        <v>470</v>
      </c>
      <c r="V371" s="114" t="s">
        <v>470</v>
      </c>
      <c r="W371" s="83" t="s">
        <v>399</v>
      </c>
      <c r="X371" s="114" t="s">
        <v>523</v>
      </c>
      <c r="Y371" s="114" t="s">
        <v>466</v>
      </c>
      <c r="Z371" s="114" t="s">
        <v>392</v>
      </c>
      <c r="AA371" t="s">
        <v>401</v>
      </c>
      <c r="AB371" t="s">
        <v>374</v>
      </c>
      <c r="AC371" t="s">
        <v>652</v>
      </c>
      <c r="AE371" t="s">
        <v>342</v>
      </c>
    </row>
    <row r="372" spans="1:31" x14ac:dyDescent="0.25">
      <c r="A372" s="74">
        <v>38898</v>
      </c>
      <c r="B372" s="74" t="s">
        <v>1277</v>
      </c>
      <c r="C372" s="74" t="s">
        <v>1278</v>
      </c>
      <c r="D372" s="108" t="s">
        <v>397</v>
      </c>
      <c r="E372" s="108" t="s">
        <v>388</v>
      </c>
      <c r="F372" s="108" t="s">
        <v>388</v>
      </c>
      <c r="G372" s="108" t="s">
        <v>397</v>
      </c>
      <c r="H372" s="108" t="s">
        <v>388</v>
      </c>
      <c r="I372" s="109" t="s">
        <v>397</v>
      </c>
      <c r="J372" s="110" t="s">
        <v>397</v>
      </c>
      <c r="K372" s="110" t="s">
        <v>397</v>
      </c>
      <c r="L372" s="110" t="s">
        <v>397</v>
      </c>
      <c r="M372" s="110" t="s">
        <v>397</v>
      </c>
      <c r="N372" s="110" t="s">
        <v>397</v>
      </c>
      <c r="O372" s="111" t="s">
        <v>397</v>
      </c>
      <c r="P372" s="111" t="s">
        <v>388</v>
      </c>
      <c r="Q372" s="111" t="s">
        <v>388</v>
      </c>
      <c r="R372" s="111" t="s">
        <v>397</v>
      </c>
      <c r="S372" s="111" t="s">
        <v>388</v>
      </c>
      <c r="T372" s="113" t="s">
        <v>1213</v>
      </c>
      <c r="U372" s="111" t="s">
        <v>470</v>
      </c>
      <c r="V372" s="114" t="s">
        <v>470</v>
      </c>
      <c r="W372" s="83" t="s">
        <v>399</v>
      </c>
      <c r="X372" s="114" t="s">
        <v>523</v>
      </c>
      <c r="Y372" s="114" t="s">
        <v>470</v>
      </c>
      <c r="Z372" s="114" t="s">
        <v>392</v>
      </c>
      <c r="AA372" t="s">
        <v>401</v>
      </c>
      <c r="AB372" t="s">
        <v>381</v>
      </c>
      <c r="AC372" t="s">
        <v>656</v>
      </c>
      <c r="AE372" t="s">
        <v>342</v>
      </c>
    </row>
    <row r="373" spans="1:31" x14ac:dyDescent="0.25">
      <c r="A373" s="74">
        <v>38899</v>
      </c>
      <c r="B373" s="74" t="s">
        <v>1279</v>
      </c>
      <c r="C373" s="74" t="s">
        <v>1280</v>
      </c>
      <c r="D373" s="108" t="s">
        <v>397</v>
      </c>
      <c r="E373" s="108" t="s">
        <v>388</v>
      </c>
      <c r="F373" s="108" t="s">
        <v>388</v>
      </c>
      <c r="G373" s="108" t="s">
        <v>397</v>
      </c>
      <c r="H373" s="108" t="s">
        <v>388</v>
      </c>
      <c r="I373" s="109" t="s">
        <v>397</v>
      </c>
      <c r="J373" s="110" t="s">
        <v>397</v>
      </c>
      <c r="K373" s="110" t="s">
        <v>397</v>
      </c>
      <c r="L373" s="110" t="s">
        <v>397</v>
      </c>
      <c r="M373" s="110" t="s">
        <v>397</v>
      </c>
      <c r="N373" s="110" t="s">
        <v>397</v>
      </c>
      <c r="O373" s="111" t="s">
        <v>397</v>
      </c>
      <c r="P373" s="111" t="s">
        <v>388</v>
      </c>
      <c r="Q373" s="111" t="s">
        <v>388</v>
      </c>
      <c r="R373" s="111" t="s">
        <v>397</v>
      </c>
      <c r="S373" s="111" t="s">
        <v>397</v>
      </c>
      <c r="T373" s="113" t="s">
        <v>1216</v>
      </c>
      <c r="U373" s="111" t="s">
        <v>470</v>
      </c>
      <c r="V373" s="114" t="s">
        <v>470</v>
      </c>
      <c r="W373" s="83" t="s">
        <v>399</v>
      </c>
      <c r="X373" s="114" t="s">
        <v>523</v>
      </c>
      <c r="Y373" s="114" t="s">
        <v>474</v>
      </c>
      <c r="Z373" s="114" t="s">
        <v>392</v>
      </c>
      <c r="AA373" t="s">
        <v>401</v>
      </c>
      <c r="AB373" t="s">
        <v>382</v>
      </c>
      <c r="AC373" t="s">
        <v>660</v>
      </c>
      <c r="AE373" t="s">
        <v>342</v>
      </c>
    </row>
    <row r="374" spans="1:31" x14ac:dyDescent="0.25">
      <c r="A374" s="74">
        <v>38900</v>
      </c>
      <c r="B374" s="74" t="s">
        <v>1281</v>
      </c>
      <c r="C374" s="74" t="s">
        <v>1282</v>
      </c>
      <c r="D374" s="108" t="s">
        <v>397</v>
      </c>
      <c r="E374" s="108" t="s">
        <v>388</v>
      </c>
      <c r="F374" s="108" t="s">
        <v>388</v>
      </c>
      <c r="G374" s="108" t="s">
        <v>397</v>
      </c>
      <c r="H374" s="108" t="s">
        <v>388</v>
      </c>
      <c r="I374" s="109" t="s">
        <v>397</v>
      </c>
      <c r="J374" s="110" t="s">
        <v>397</v>
      </c>
      <c r="K374" s="110" t="s">
        <v>397</v>
      </c>
      <c r="L374" s="110" t="s">
        <v>397</v>
      </c>
      <c r="M374" s="110" t="s">
        <v>397</v>
      </c>
      <c r="N374" s="110" t="s">
        <v>397</v>
      </c>
      <c r="O374" s="111" t="s">
        <v>397</v>
      </c>
      <c r="P374" s="111" t="s">
        <v>388</v>
      </c>
      <c r="Q374" s="111" t="s">
        <v>397</v>
      </c>
      <c r="R374" s="111" t="s">
        <v>388</v>
      </c>
      <c r="S374" s="111" t="s">
        <v>388</v>
      </c>
      <c r="T374" s="113" t="s">
        <v>1035</v>
      </c>
      <c r="U374" s="111" t="s">
        <v>470</v>
      </c>
      <c r="V374" s="114" t="s">
        <v>470</v>
      </c>
      <c r="W374" s="83" t="s">
        <v>399</v>
      </c>
      <c r="X374" s="114" t="s">
        <v>523</v>
      </c>
      <c r="Y374" s="114" t="s">
        <v>479</v>
      </c>
      <c r="Z374" s="114" t="s">
        <v>392</v>
      </c>
      <c r="AA374" t="s">
        <v>401</v>
      </c>
      <c r="AB374" t="s">
        <v>374</v>
      </c>
      <c r="AC374" t="s">
        <v>663</v>
      </c>
      <c r="AE374" t="s">
        <v>342</v>
      </c>
    </row>
    <row r="375" spans="1:31" x14ac:dyDescent="0.25">
      <c r="A375" s="74">
        <v>38901</v>
      </c>
      <c r="B375" s="74" t="s">
        <v>1283</v>
      </c>
      <c r="C375" s="74" t="s">
        <v>1284</v>
      </c>
      <c r="D375" s="108" t="s">
        <v>397</v>
      </c>
      <c r="E375" s="108" t="s">
        <v>388</v>
      </c>
      <c r="F375" s="108" t="s">
        <v>388</v>
      </c>
      <c r="G375" s="108" t="s">
        <v>397</v>
      </c>
      <c r="H375" s="108" t="s">
        <v>388</v>
      </c>
      <c r="I375" s="109" t="s">
        <v>397</v>
      </c>
      <c r="J375" s="110" t="s">
        <v>397</v>
      </c>
      <c r="K375" s="110" t="s">
        <v>397</v>
      </c>
      <c r="L375" s="110" t="s">
        <v>397</v>
      </c>
      <c r="M375" s="110" t="s">
        <v>397</v>
      </c>
      <c r="N375" s="110" t="s">
        <v>397</v>
      </c>
      <c r="O375" s="111" t="s">
        <v>397</v>
      </c>
      <c r="P375" s="111" t="s">
        <v>388</v>
      </c>
      <c r="Q375" s="111" t="s">
        <v>397</v>
      </c>
      <c r="R375" s="111" t="s">
        <v>388</v>
      </c>
      <c r="S375" s="111" t="s">
        <v>397</v>
      </c>
      <c r="T375" s="113" t="s">
        <v>1035</v>
      </c>
      <c r="U375" s="111" t="s">
        <v>470</v>
      </c>
      <c r="V375" s="114" t="s">
        <v>470</v>
      </c>
      <c r="W375" s="83" t="s">
        <v>399</v>
      </c>
      <c r="X375" s="114" t="s">
        <v>523</v>
      </c>
      <c r="Y375" s="114" t="s">
        <v>483</v>
      </c>
      <c r="Z375" s="114" t="s">
        <v>392</v>
      </c>
      <c r="AA375" t="s">
        <v>401</v>
      </c>
      <c r="AB375" t="s">
        <v>374</v>
      </c>
      <c r="AC375" t="s">
        <v>666</v>
      </c>
      <c r="AE375" t="s">
        <v>342</v>
      </c>
    </row>
    <row r="376" spans="1:31" x14ac:dyDescent="0.25">
      <c r="A376" s="74">
        <v>38902</v>
      </c>
      <c r="B376" s="74" t="s">
        <v>1285</v>
      </c>
      <c r="C376" s="74" t="s">
        <v>1286</v>
      </c>
      <c r="D376" s="108" t="s">
        <v>397</v>
      </c>
      <c r="E376" s="108" t="s">
        <v>388</v>
      </c>
      <c r="F376" s="108" t="s">
        <v>388</v>
      </c>
      <c r="G376" s="108" t="s">
        <v>397</v>
      </c>
      <c r="H376" s="108" t="s">
        <v>388</v>
      </c>
      <c r="I376" s="109" t="s">
        <v>397</v>
      </c>
      <c r="J376" s="110" t="s">
        <v>397</v>
      </c>
      <c r="K376" s="110" t="s">
        <v>397</v>
      </c>
      <c r="L376" s="110" t="s">
        <v>397</v>
      </c>
      <c r="M376" s="110" t="s">
        <v>397</v>
      </c>
      <c r="N376" s="110" t="s">
        <v>397</v>
      </c>
      <c r="O376" s="111" t="s">
        <v>397</v>
      </c>
      <c r="P376" s="111" t="s">
        <v>388</v>
      </c>
      <c r="Q376" s="111" t="s">
        <v>397</v>
      </c>
      <c r="R376" s="111" t="s">
        <v>397</v>
      </c>
      <c r="S376" s="111" t="s">
        <v>388</v>
      </c>
      <c r="T376" s="113" t="s">
        <v>1035</v>
      </c>
      <c r="U376" s="111" t="s">
        <v>470</v>
      </c>
      <c r="V376" s="114" t="s">
        <v>470</v>
      </c>
      <c r="W376" s="83" t="s">
        <v>399</v>
      </c>
      <c r="X376" s="114" t="s">
        <v>523</v>
      </c>
      <c r="Y376" s="114" t="s">
        <v>487</v>
      </c>
      <c r="Z376" s="114" t="s">
        <v>392</v>
      </c>
      <c r="AA376" t="s">
        <v>401</v>
      </c>
      <c r="AB376" t="s">
        <v>374</v>
      </c>
      <c r="AC376" t="s">
        <v>669</v>
      </c>
      <c r="AE376" t="s">
        <v>342</v>
      </c>
    </row>
    <row r="377" spans="1:31" x14ac:dyDescent="0.25">
      <c r="A377" s="74">
        <v>38903</v>
      </c>
      <c r="B377" s="74" t="s">
        <v>1287</v>
      </c>
      <c r="C377" s="74" t="s">
        <v>1288</v>
      </c>
      <c r="D377" s="108" t="s">
        <v>397</v>
      </c>
      <c r="E377" s="108" t="s">
        <v>388</v>
      </c>
      <c r="F377" s="108" t="s">
        <v>388</v>
      </c>
      <c r="G377" s="108" t="s">
        <v>397</v>
      </c>
      <c r="H377" s="108" t="s">
        <v>388</v>
      </c>
      <c r="I377" s="109" t="s">
        <v>397</v>
      </c>
      <c r="J377" s="110" t="s">
        <v>397</v>
      </c>
      <c r="K377" s="110" t="s">
        <v>397</v>
      </c>
      <c r="L377" s="110" t="s">
        <v>397</v>
      </c>
      <c r="M377" s="110" t="s">
        <v>397</v>
      </c>
      <c r="N377" s="110" t="s">
        <v>397</v>
      </c>
      <c r="O377" s="111" t="s">
        <v>397</v>
      </c>
      <c r="P377" s="111" t="s">
        <v>388</v>
      </c>
      <c r="Q377" s="111" t="s">
        <v>397</v>
      </c>
      <c r="R377" s="111" t="s">
        <v>397</v>
      </c>
      <c r="S377" s="111" t="s">
        <v>397</v>
      </c>
      <c r="T377" s="113" t="s">
        <v>1035</v>
      </c>
      <c r="U377" s="111" t="s">
        <v>470</v>
      </c>
      <c r="V377" s="114" t="s">
        <v>470</v>
      </c>
      <c r="W377" s="83" t="s">
        <v>399</v>
      </c>
      <c r="X377" s="114" t="s">
        <v>523</v>
      </c>
      <c r="Y377" s="114" t="s">
        <v>491</v>
      </c>
      <c r="Z377" s="114" t="s">
        <v>392</v>
      </c>
      <c r="AA377" t="s">
        <v>401</v>
      </c>
      <c r="AB377" t="s">
        <v>374</v>
      </c>
      <c r="AC377" t="s">
        <v>672</v>
      </c>
      <c r="AE377" t="s">
        <v>342</v>
      </c>
    </row>
    <row r="378" spans="1:31" x14ac:dyDescent="0.25">
      <c r="A378" s="74">
        <v>38904</v>
      </c>
      <c r="B378" s="74" t="s">
        <v>1289</v>
      </c>
      <c r="C378" s="74" t="s">
        <v>1290</v>
      </c>
      <c r="D378" s="108" t="s">
        <v>397</v>
      </c>
      <c r="E378" s="108" t="s">
        <v>388</v>
      </c>
      <c r="F378" s="108" t="s">
        <v>388</v>
      </c>
      <c r="G378" s="108" t="s">
        <v>397</v>
      </c>
      <c r="H378" s="108" t="s">
        <v>388</v>
      </c>
      <c r="I378" s="109" t="s">
        <v>397</v>
      </c>
      <c r="J378" s="110" t="s">
        <v>397</v>
      </c>
      <c r="K378" s="110" t="s">
        <v>397</v>
      </c>
      <c r="L378" s="110" t="s">
        <v>397</v>
      </c>
      <c r="M378" s="110" t="s">
        <v>397</v>
      </c>
      <c r="N378" s="110" t="s">
        <v>397</v>
      </c>
      <c r="O378" s="111" t="s">
        <v>397</v>
      </c>
      <c r="P378" s="111" t="s">
        <v>397</v>
      </c>
      <c r="Q378" s="111" t="s">
        <v>388</v>
      </c>
      <c r="R378" s="111" t="s">
        <v>388</v>
      </c>
      <c r="S378" s="111" t="s">
        <v>388</v>
      </c>
      <c r="T378" s="113" t="s">
        <v>1035</v>
      </c>
      <c r="U378" s="111" t="s">
        <v>470</v>
      </c>
      <c r="V378" s="114" t="s">
        <v>470</v>
      </c>
      <c r="W378" s="83" t="s">
        <v>399</v>
      </c>
      <c r="X378" s="114" t="s">
        <v>523</v>
      </c>
      <c r="Y378" s="114" t="s">
        <v>495</v>
      </c>
      <c r="Z378" s="114" t="s">
        <v>392</v>
      </c>
      <c r="AA378" t="s">
        <v>401</v>
      </c>
      <c r="AB378" t="s">
        <v>374</v>
      </c>
      <c r="AC378" t="s">
        <v>675</v>
      </c>
      <c r="AE378" t="s">
        <v>342</v>
      </c>
    </row>
    <row r="379" spans="1:31" x14ac:dyDescent="0.25">
      <c r="A379" s="74">
        <v>38905</v>
      </c>
      <c r="B379" s="74" t="s">
        <v>1291</v>
      </c>
      <c r="C379" s="74" t="s">
        <v>1292</v>
      </c>
      <c r="D379" s="108" t="s">
        <v>397</v>
      </c>
      <c r="E379" s="108" t="s">
        <v>388</v>
      </c>
      <c r="F379" s="108" t="s">
        <v>388</v>
      </c>
      <c r="G379" s="108" t="s">
        <v>397</v>
      </c>
      <c r="H379" s="108" t="s">
        <v>388</v>
      </c>
      <c r="I379" s="109" t="s">
        <v>397</v>
      </c>
      <c r="J379" s="110" t="s">
        <v>397</v>
      </c>
      <c r="K379" s="110" t="s">
        <v>397</v>
      </c>
      <c r="L379" s="110" t="s">
        <v>397</v>
      </c>
      <c r="M379" s="110" t="s">
        <v>397</v>
      </c>
      <c r="N379" s="110" t="s">
        <v>397</v>
      </c>
      <c r="O379" s="111" t="s">
        <v>397</v>
      </c>
      <c r="P379" s="111" t="s">
        <v>397</v>
      </c>
      <c r="Q379" s="111" t="s">
        <v>388</v>
      </c>
      <c r="R379" s="111" t="s">
        <v>388</v>
      </c>
      <c r="S379" s="111" t="s">
        <v>397</v>
      </c>
      <c r="T379" s="113" t="s">
        <v>1035</v>
      </c>
      <c r="U379" s="111" t="s">
        <v>470</v>
      </c>
      <c r="V379" s="114" t="s">
        <v>470</v>
      </c>
      <c r="W379" s="83" t="s">
        <v>399</v>
      </c>
      <c r="X379" s="114" t="s">
        <v>523</v>
      </c>
      <c r="Y379" s="114" t="s">
        <v>499</v>
      </c>
      <c r="Z379" s="114" t="s">
        <v>392</v>
      </c>
      <c r="AA379" t="s">
        <v>401</v>
      </c>
      <c r="AB379" t="s">
        <v>374</v>
      </c>
      <c r="AC379" t="s">
        <v>678</v>
      </c>
      <c r="AE379" t="s">
        <v>342</v>
      </c>
    </row>
    <row r="380" spans="1:31" x14ac:dyDescent="0.25">
      <c r="A380" s="74">
        <v>38906</v>
      </c>
      <c r="B380" s="74" t="s">
        <v>1293</v>
      </c>
      <c r="C380" s="74" t="s">
        <v>1294</v>
      </c>
      <c r="D380" s="108" t="s">
        <v>397</v>
      </c>
      <c r="E380" s="108" t="s">
        <v>388</v>
      </c>
      <c r="F380" s="108" t="s">
        <v>388</v>
      </c>
      <c r="G380" s="108" t="s">
        <v>397</v>
      </c>
      <c r="H380" s="108" t="s">
        <v>388</v>
      </c>
      <c r="I380" s="109" t="s">
        <v>397</v>
      </c>
      <c r="J380" s="110" t="s">
        <v>397</v>
      </c>
      <c r="K380" s="110" t="s">
        <v>397</v>
      </c>
      <c r="L380" s="110" t="s">
        <v>397</v>
      </c>
      <c r="M380" s="110" t="s">
        <v>397</v>
      </c>
      <c r="N380" s="110" t="s">
        <v>397</v>
      </c>
      <c r="O380" s="111" t="s">
        <v>397</v>
      </c>
      <c r="P380" s="111" t="s">
        <v>397</v>
      </c>
      <c r="Q380" s="111" t="s">
        <v>388</v>
      </c>
      <c r="R380" s="111" t="s">
        <v>397</v>
      </c>
      <c r="S380" s="111" t="s">
        <v>388</v>
      </c>
      <c r="T380" s="113" t="s">
        <v>1035</v>
      </c>
      <c r="U380" s="111" t="s">
        <v>470</v>
      </c>
      <c r="V380" s="114" t="s">
        <v>470</v>
      </c>
      <c r="W380" s="83" t="s">
        <v>399</v>
      </c>
      <c r="X380" s="114" t="s">
        <v>523</v>
      </c>
      <c r="Y380" s="114" t="s">
        <v>503</v>
      </c>
      <c r="Z380" s="114" t="s">
        <v>392</v>
      </c>
      <c r="AA380" t="s">
        <v>401</v>
      </c>
      <c r="AB380" t="s">
        <v>374</v>
      </c>
      <c r="AC380" t="s">
        <v>681</v>
      </c>
      <c r="AE380" t="s">
        <v>342</v>
      </c>
    </row>
    <row r="381" spans="1:31" x14ac:dyDescent="0.25">
      <c r="A381" s="74">
        <v>38907</v>
      </c>
      <c r="B381" s="74" t="s">
        <v>1295</v>
      </c>
      <c r="C381" s="74" t="s">
        <v>1296</v>
      </c>
      <c r="D381" s="108" t="s">
        <v>397</v>
      </c>
      <c r="E381" s="108" t="s">
        <v>388</v>
      </c>
      <c r="F381" s="108" t="s">
        <v>388</v>
      </c>
      <c r="G381" s="108" t="s">
        <v>397</v>
      </c>
      <c r="H381" s="108" t="s">
        <v>388</v>
      </c>
      <c r="I381" s="109" t="s">
        <v>397</v>
      </c>
      <c r="J381" s="110" t="s">
        <v>397</v>
      </c>
      <c r="K381" s="110" t="s">
        <v>397</v>
      </c>
      <c r="L381" s="110" t="s">
        <v>397</v>
      </c>
      <c r="M381" s="110" t="s">
        <v>397</v>
      </c>
      <c r="N381" s="110" t="s">
        <v>397</v>
      </c>
      <c r="O381" s="111" t="s">
        <v>397</v>
      </c>
      <c r="P381" s="111" t="s">
        <v>397</v>
      </c>
      <c r="Q381" s="111" t="s">
        <v>388</v>
      </c>
      <c r="R381" s="111" t="s">
        <v>397</v>
      </c>
      <c r="S381" s="111" t="s">
        <v>397</v>
      </c>
      <c r="T381" s="113" t="s">
        <v>1035</v>
      </c>
      <c r="U381" s="111" t="s">
        <v>470</v>
      </c>
      <c r="V381" s="114" t="s">
        <v>470</v>
      </c>
      <c r="W381" s="83" t="s">
        <v>399</v>
      </c>
      <c r="X381" s="114" t="s">
        <v>523</v>
      </c>
      <c r="Y381" s="114" t="s">
        <v>507</v>
      </c>
      <c r="Z381" s="114" t="s">
        <v>392</v>
      </c>
      <c r="AA381" t="s">
        <v>401</v>
      </c>
      <c r="AB381" t="s">
        <v>374</v>
      </c>
      <c r="AC381" t="s">
        <v>684</v>
      </c>
      <c r="AE381" t="s">
        <v>342</v>
      </c>
    </row>
    <row r="382" spans="1:31" x14ac:dyDescent="0.25">
      <c r="A382" s="74">
        <v>38908</v>
      </c>
      <c r="B382" s="74" t="s">
        <v>1297</v>
      </c>
      <c r="C382" s="74" t="s">
        <v>1298</v>
      </c>
      <c r="D382" s="108" t="s">
        <v>397</v>
      </c>
      <c r="E382" s="108" t="s">
        <v>388</v>
      </c>
      <c r="F382" s="108" t="s">
        <v>388</v>
      </c>
      <c r="G382" s="108" t="s">
        <v>397</v>
      </c>
      <c r="H382" s="108" t="s">
        <v>388</v>
      </c>
      <c r="I382" s="109" t="s">
        <v>397</v>
      </c>
      <c r="J382" s="110" t="s">
        <v>397</v>
      </c>
      <c r="K382" s="110" t="s">
        <v>397</v>
      </c>
      <c r="L382" s="110" t="s">
        <v>397</v>
      </c>
      <c r="M382" s="110" t="s">
        <v>397</v>
      </c>
      <c r="N382" s="110" t="s">
        <v>397</v>
      </c>
      <c r="O382" s="111" t="s">
        <v>397</v>
      </c>
      <c r="P382" s="111" t="s">
        <v>397</v>
      </c>
      <c r="Q382" s="111" t="s">
        <v>397</v>
      </c>
      <c r="R382" s="111" t="s">
        <v>388</v>
      </c>
      <c r="S382" s="111" t="s">
        <v>388</v>
      </c>
      <c r="T382" s="113" t="s">
        <v>1035</v>
      </c>
      <c r="U382" s="111" t="s">
        <v>470</v>
      </c>
      <c r="V382" s="114" t="s">
        <v>470</v>
      </c>
      <c r="W382" s="83" t="s">
        <v>399</v>
      </c>
      <c r="X382" s="114" t="s">
        <v>523</v>
      </c>
      <c r="Y382" s="114" t="s">
        <v>511</v>
      </c>
      <c r="Z382" s="114" t="s">
        <v>392</v>
      </c>
      <c r="AA382" t="s">
        <v>401</v>
      </c>
      <c r="AB382" t="s">
        <v>374</v>
      </c>
      <c r="AC382" t="s">
        <v>687</v>
      </c>
      <c r="AE382" t="s">
        <v>342</v>
      </c>
    </row>
    <row r="383" spans="1:31" x14ac:dyDescent="0.25">
      <c r="A383" s="74">
        <v>38909</v>
      </c>
      <c r="B383" s="74" t="s">
        <v>1299</v>
      </c>
      <c r="C383" s="74" t="s">
        <v>1300</v>
      </c>
      <c r="D383" s="108" t="s">
        <v>397</v>
      </c>
      <c r="E383" s="108" t="s">
        <v>388</v>
      </c>
      <c r="F383" s="108" t="s">
        <v>388</v>
      </c>
      <c r="G383" s="108" t="s">
        <v>397</v>
      </c>
      <c r="H383" s="108" t="s">
        <v>388</v>
      </c>
      <c r="I383" s="109" t="s">
        <v>397</v>
      </c>
      <c r="J383" s="110" t="s">
        <v>397</v>
      </c>
      <c r="K383" s="110" t="s">
        <v>397</v>
      </c>
      <c r="L383" s="110" t="s">
        <v>397</v>
      </c>
      <c r="M383" s="110" t="s">
        <v>397</v>
      </c>
      <c r="N383" s="110" t="s">
        <v>397</v>
      </c>
      <c r="O383" s="111" t="s">
        <v>397</v>
      </c>
      <c r="P383" s="111" t="s">
        <v>397</v>
      </c>
      <c r="Q383" s="111" t="s">
        <v>397</v>
      </c>
      <c r="R383" s="111" t="s">
        <v>388</v>
      </c>
      <c r="S383" s="111" t="s">
        <v>397</v>
      </c>
      <c r="T383" s="113" t="s">
        <v>1035</v>
      </c>
      <c r="U383" s="111" t="s">
        <v>470</v>
      </c>
      <c r="V383" s="114" t="s">
        <v>470</v>
      </c>
      <c r="W383" s="83" t="s">
        <v>399</v>
      </c>
      <c r="X383" s="114" t="s">
        <v>523</v>
      </c>
      <c r="Y383" s="114" t="s">
        <v>515</v>
      </c>
      <c r="Z383" s="114" t="s">
        <v>392</v>
      </c>
      <c r="AA383" t="s">
        <v>401</v>
      </c>
      <c r="AB383" t="s">
        <v>374</v>
      </c>
      <c r="AC383" t="s">
        <v>690</v>
      </c>
      <c r="AE383" t="s">
        <v>342</v>
      </c>
    </row>
    <row r="384" spans="1:31" x14ac:dyDescent="0.25">
      <c r="A384" s="74">
        <v>38910</v>
      </c>
      <c r="B384" s="74" t="s">
        <v>1301</v>
      </c>
      <c r="C384" s="74" t="s">
        <v>1302</v>
      </c>
      <c r="D384" s="108" t="s">
        <v>397</v>
      </c>
      <c r="E384" s="108" t="s">
        <v>388</v>
      </c>
      <c r="F384" s="108" t="s">
        <v>388</v>
      </c>
      <c r="G384" s="108" t="s">
        <v>397</v>
      </c>
      <c r="H384" s="108" t="s">
        <v>388</v>
      </c>
      <c r="I384" s="109" t="s">
        <v>397</v>
      </c>
      <c r="J384" s="110" t="s">
        <v>397</v>
      </c>
      <c r="K384" s="110" t="s">
        <v>397</v>
      </c>
      <c r="L384" s="110" t="s">
        <v>397</v>
      </c>
      <c r="M384" s="110" t="s">
        <v>397</v>
      </c>
      <c r="N384" s="110" t="s">
        <v>397</v>
      </c>
      <c r="O384" s="111" t="s">
        <v>397</v>
      </c>
      <c r="P384" s="111" t="s">
        <v>397</v>
      </c>
      <c r="Q384" s="111" t="s">
        <v>397</v>
      </c>
      <c r="R384" s="111" t="s">
        <v>397</v>
      </c>
      <c r="S384" s="111" t="s">
        <v>388</v>
      </c>
      <c r="T384" s="113" t="s">
        <v>1035</v>
      </c>
      <c r="U384" s="111" t="s">
        <v>470</v>
      </c>
      <c r="V384" s="114" t="s">
        <v>470</v>
      </c>
      <c r="W384" s="83" t="s">
        <v>399</v>
      </c>
      <c r="X384" s="114" t="s">
        <v>523</v>
      </c>
      <c r="Y384" s="114" t="s">
        <v>519</v>
      </c>
      <c r="Z384" s="114" t="s">
        <v>392</v>
      </c>
      <c r="AA384" t="s">
        <v>401</v>
      </c>
      <c r="AB384" t="s">
        <v>374</v>
      </c>
      <c r="AC384" t="s">
        <v>693</v>
      </c>
      <c r="AE384" t="s">
        <v>342</v>
      </c>
    </row>
    <row r="385" spans="1:31" x14ac:dyDescent="0.25">
      <c r="A385" s="74">
        <v>38911</v>
      </c>
      <c r="B385" s="74" t="s">
        <v>1303</v>
      </c>
      <c r="C385" s="74" t="s">
        <v>1304</v>
      </c>
      <c r="D385" s="108" t="s">
        <v>397</v>
      </c>
      <c r="E385" s="108" t="s">
        <v>388</v>
      </c>
      <c r="F385" s="108" t="s">
        <v>388</v>
      </c>
      <c r="G385" s="108" t="s">
        <v>397</v>
      </c>
      <c r="H385" s="108" t="s">
        <v>388</v>
      </c>
      <c r="I385" s="109" t="s">
        <v>397</v>
      </c>
      <c r="J385" s="110" t="s">
        <v>397</v>
      </c>
      <c r="K385" s="110" t="s">
        <v>397</v>
      </c>
      <c r="L385" s="110" t="s">
        <v>397</v>
      </c>
      <c r="M385" s="110" t="s">
        <v>397</v>
      </c>
      <c r="N385" s="110" t="s">
        <v>397</v>
      </c>
      <c r="O385" s="111" t="s">
        <v>397</v>
      </c>
      <c r="P385" s="111" t="s">
        <v>397</v>
      </c>
      <c r="Q385" s="111" t="s">
        <v>397</v>
      </c>
      <c r="R385" s="111" t="s">
        <v>397</v>
      </c>
      <c r="S385" s="111" t="s">
        <v>397</v>
      </c>
      <c r="T385" s="113" t="s">
        <v>1035</v>
      </c>
      <c r="U385" s="111" t="s">
        <v>470</v>
      </c>
      <c r="V385" s="114" t="s">
        <v>470</v>
      </c>
      <c r="W385" s="83" t="s">
        <v>399</v>
      </c>
      <c r="X385" s="114" t="s">
        <v>523</v>
      </c>
      <c r="Y385" s="114" t="s">
        <v>523</v>
      </c>
      <c r="Z385" s="114" t="s">
        <v>392</v>
      </c>
      <c r="AA385" t="s">
        <v>401</v>
      </c>
      <c r="AB385" t="s">
        <v>374</v>
      </c>
      <c r="AC385" t="s">
        <v>696</v>
      </c>
      <c r="AE385" t="s">
        <v>342</v>
      </c>
    </row>
    <row r="386" spans="1:31" x14ac:dyDescent="0.25">
      <c r="A386" s="74">
        <v>38912</v>
      </c>
      <c r="B386" s="74" t="s">
        <v>1305</v>
      </c>
      <c r="C386" s="74" t="s">
        <v>1306</v>
      </c>
      <c r="D386" s="108" t="s">
        <v>397</v>
      </c>
      <c r="E386" s="108" t="s">
        <v>388</v>
      </c>
      <c r="F386" s="108" t="s">
        <v>388</v>
      </c>
      <c r="G386" s="108" t="s">
        <v>397</v>
      </c>
      <c r="H386" s="108" t="s">
        <v>397</v>
      </c>
      <c r="I386" s="109" t="s">
        <v>388</v>
      </c>
      <c r="J386" s="110" t="s">
        <v>388</v>
      </c>
      <c r="K386" s="110" t="s">
        <v>388</v>
      </c>
      <c r="L386" s="110" t="s">
        <v>388</v>
      </c>
      <c r="M386" s="110" t="s">
        <v>388</v>
      </c>
      <c r="N386" s="110" t="s">
        <v>388</v>
      </c>
      <c r="O386" s="111" t="s">
        <v>388</v>
      </c>
      <c r="P386" s="111" t="s">
        <v>388</v>
      </c>
      <c r="Q386" s="111" t="s">
        <v>388</v>
      </c>
      <c r="R386" s="111" t="s">
        <v>388</v>
      </c>
      <c r="S386" s="111" t="s">
        <v>388</v>
      </c>
      <c r="T386" s="113" t="s">
        <v>1307</v>
      </c>
      <c r="U386" s="111" t="s">
        <v>474</v>
      </c>
      <c r="V386" s="114" t="s">
        <v>474</v>
      </c>
      <c r="W386" s="83" t="s">
        <v>399</v>
      </c>
      <c r="X386" s="114" t="s">
        <v>390</v>
      </c>
      <c r="Y386" s="114" t="s">
        <v>390</v>
      </c>
      <c r="Z386" s="114" t="s">
        <v>392</v>
      </c>
      <c r="AA386" t="s">
        <v>401</v>
      </c>
      <c r="AB386" t="s">
        <v>374</v>
      </c>
      <c r="AC386" t="s">
        <v>394</v>
      </c>
      <c r="AE386" t="s">
        <v>342</v>
      </c>
    </row>
    <row r="387" spans="1:31" x14ac:dyDescent="0.25">
      <c r="A387" s="74">
        <v>38913</v>
      </c>
      <c r="B387" s="74" t="s">
        <v>1308</v>
      </c>
      <c r="C387" s="74" t="s">
        <v>1309</v>
      </c>
      <c r="D387" s="108" t="s">
        <v>397</v>
      </c>
      <c r="E387" s="108" t="s">
        <v>388</v>
      </c>
      <c r="F387" s="108" t="s">
        <v>388</v>
      </c>
      <c r="G387" s="108" t="s">
        <v>397</v>
      </c>
      <c r="H387" s="108" t="s">
        <v>397</v>
      </c>
      <c r="I387" s="109" t="s">
        <v>388</v>
      </c>
      <c r="J387" s="110" t="s">
        <v>388</v>
      </c>
      <c r="K387" s="110" t="s">
        <v>388</v>
      </c>
      <c r="L387" s="110" t="s">
        <v>388</v>
      </c>
      <c r="M387" s="110" t="s">
        <v>388</v>
      </c>
      <c r="N387" s="110" t="s">
        <v>388</v>
      </c>
      <c r="O387" s="111" t="s">
        <v>388</v>
      </c>
      <c r="P387" s="111" t="s">
        <v>388</v>
      </c>
      <c r="Q387" s="111" t="s">
        <v>388</v>
      </c>
      <c r="R387" s="111" t="s">
        <v>388</v>
      </c>
      <c r="S387" s="111" t="s">
        <v>397</v>
      </c>
      <c r="T387" s="113" t="s">
        <v>1307</v>
      </c>
      <c r="U387" s="111" t="s">
        <v>474</v>
      </c>
      <c r="V387" s="114" t="s">
        <v>474</v>
      </c>
      <c r="W387" s="83" t="s">
        <v>399</v>
      </c>
      <c r="X387" s="114" t="s">
        <v>390</v>
      </c>
      <c r="Y387" s="114" t="s">
        <v>400</v>
      </c>
      <c r="Z387" s="114" t="s">
        <v>392</v>
      </c>
      <c r="AA387" t="s">
        <v>401</v>
      </c>
      <c r="AB387" t="s">
        <v>374</v>
      </c>
      <c r="AC387" t="s">
        <v>402</v>
      </c>
      <c r="AE387" t="s">
        <v>342</v>
      </c>
    </row>
    <row r="388" spans="1:31" x14ac:dyDescent="0.25">
      <c r="A388" s="74">
        <v>38914</v>
      </c>
      <c r="B388" s="74" t="s">
        <v>1310</v>
      </c>
      <c r="C388" s="74" t="s">
        <v>1311</v>
      </c>
      <c r="D388" s="108" t="s">
        <v>397</v>
      </c>
      <c r="E388" s="108" t="s">
        <v>388</v>
      </c>
      <c r="F388" s="108" t="s">
        <v>388</v>
      </c>
      <c r="G388" s="108" t="s">
        <v>397</v>
      </c>
      <c r="H388" s="108" t="s">
        <v>397</v>
      </c>
      <c r="I388" s="109" t="s">
        <v>388</v>
      </c>
      <c r="J388" s="110" t="s">
        <v>388</v>
      </c>
      <c r="K388" s="110" t="s">
        <v>388</v>
      </c>
      <c r="L388" s="110" t="s">
        <v>388</v>
      </c>
      <c r="M388" s="110" t="s">
        <v>388</v>
      </c>
      <c r="N388" s="110" t="s">
        <v>388</v>
      </c>
      <c r="O388" s="111" t="s">
        <v>388</v>
      </c>
      <c r="P388" s="111" t="s">
        <v>388</v>
      </c>
      <c r="Q388" s="111" t="s">
        <v>388</v>
      </c>
      <c r="R388" s="111" t="s">
        <v>397</v>
      </c>
      <c r="S388" s="111" t="s">
        <v>388</v>
      </c>
      <c r="T388" s="113" t="s">
        <v>1307</v>
      </c>
      <c r="U388" s="111" t="s">
        <v>474</v>
      </c>
      <c r="V388" s="114" t="s">
        <v>474</v>
      </c>
      <c r="W388" s="83" t="s">
        <v>399</v>
      </c>
      <c r="X388" s="114" t="s">
        <v>390</v>
      </c>
      <c r="Y388" s="114" t="s">
        <v>405</v>
      </c>
      <c r="Z388" s="114" t="s">
        <v>392</v>
      </c>
      <c r="AA388" t="s">
        <v>401</v>
      </c>
      <c r="AB388" t="s">
        <v>374</v>
      </c>
      <c r="AC388" t="s">
        <v>406</v>
      </c>
      <c r="AE388" t="s">
        <v>342</v>
      </c>
    </row>
    <row r="389" spans="1:31" x14ac:dyDescent="0.25">
      <c r="A389" s="74">
        <v>38915</v>
      </c>
      <c r="B389" s="74" t="s">
        <v>1312</v>
      </c>
      <c r="C389" s="74" t="s">
        <v>1313</v>
      </c>
      <c r="D389" s="108" t="s">
        <v>397</v>
      </c>
      <c r="E389" s="108" t="s">
        <v>388</v>
      </c>
      <c r="F389" s="108" t="s">
        <v>388</v>
      </c>
      <c r="G389" s="108" t="s">
        <v>397</v>
      </c>
      <c r="H389" s="108" t="s">
        <v>397</v>
      </c>
      <c r="I389" s="109" t="s">
        <v>388</v>
      </c>
      <c r="J389" s="110" t="s">
        <v>388</v>
      </c>
      <c r="K389" s="110" t="s">
        <v>388</v>
      </c>
      <c r="L389" s="110" t="s">
        <v>388</v>
      </c>
      <c r="M389" s="110" t="s">
        <v>388</v>
      </c>
      <c r="N389" s="110" t="s">
        <v>388</v>
      </c>
      <c r="O389" s="111" t="s">
        <v>388</v>
      </c>
      <c r="P389" s="111" t="s">
        <v>388</v>
      </c>
      <c r="Q389" s="111" t="s">
        <v>388</v>
      </c>
      <c r="R389" s="111" t="s">
        <v>397</v>
      </c>
      <c r="S389" s="111" t="s">
        <v>397</v>
      </c>
      <c r="T389" s="113" t="s">
        <v>1307</v>
      </c>
      <c r="U389" s="111" t="s">
        <v>474</v>
      </c>
      <c r="V389" s="114" t="s">
        <v>474</v>
      </c>
      <c r="W389" s="83" t="s">
        <v>399</v>
      </c>
      <c r="X389" s="114" t="s">
        <v>390</v>
      </c>
      <c r="Y389" s="114" t="s">
        <v>409</v>
      </c>
      <c r="Z389" s="114" t="s">
        <v>392</v>
      </c>
      <c r="AA389" t="s">
        <v>401</v>
      </c>
      <c r="AB389" t="s">
        <v>374</v>
      </c>
      <c r="AC389" t="s">
        <v>410</v>
      </c>
      <c r="AE389" t="s">
        <v>342</v>
      </c>
    </row>
    <row r="390" spans="1:31" x14ac:dyDescent="0.25">
      <c r="A390" s="74">
        <v>38916</v>
      </c>
      <c r="B390" s="74" t="s">
        <v>1314</v>
      </c>
      <c r="C390" s="74" t="s">
        <v>1315</v>
      </c>
      <c r="D390" s="108" t="s">
        <v>397</v>
      </c>
      <c r="E390" s="108" t="s">
        <v>388</v>
      </c>
      <c r="F390" s="108" t="s">
        <v>388</v>
      </c>
      <c r="G390" s="108" t="s">
        <v>397</v>
      </c>
      <c r="H390" s="108" t="s">
        <v>397</v>
      </c>
      <c r="I390" s="109" t="s">
        <v>388</v>
      </c>
      <c r="J390" s="110" t="s">
        <v>388</v>
      </c>
      <c r="K390" s="110" t="s">
        <v>388</v>
      </c>
      <c r="L390" s="110" t="s">
        <v>388</v>
      </c>
      <c r="M390" s="110" t="s">
        <v>388</v>
      </c>
      <c r="N390" s="110" t="s">
        <v>388</v>
      </c>
      <c r="O390" s="111" t="s">
        <v>388</v>
      </c>
      <c r="P390" s="111" t="s">
        <v>388</v>
      </c>
      <c r="Q390" s="111" t="s">
        <v>397</v>
      </c>
      <c r="R390" s="111" t="s">
        <v>388</v>
      </c>
      <c r="S390" s="111" t="s">
        <v>388</v>
      </c>
      <c r="T390" s="113" t="s">
        <v>1307</v>
      </c>
      <c r="U390" s="111" t="s">
        <v>474</v>
      </c>
      <c r="V390" s="114" t="s">
        <v>474</v>
      </c>
      <c r="W390" s="83" t="s">
        <v>399</v>
      </c>
      <c r="X390" s="114" t="s">
        <v>390</v>
      </c>
      <c r="Y390" s="114" t="s">
        <v>413</v>
      </c>
      <c r="Z390" s="114" t="s">
        <v>392</v>
      </c>
      <c r="AA390" t="s">
        <v>401</v>
      </c>
      <c r="AB390" t="s">
        <v>374</v>
      </c>
      <c r="AC390" t="s">
        <v>414</v>
      </c>
      <c r="AE390" t="s">
        <v>342</v>
      </c>
    </row>
    <row r="391" spans="1:31" x14ac:dyDescent="0.25">
      <c r="A391" s="74">
        <v>38917</v>
      </c>
      <c r="B391" s="74" t="s">
        <v>1316</v>
      </c>
      <c r="C391" s="74" t="s">
        <v>1317</v>
      </c>
      <c r="D391" s="108" t="s">
        <v>397</v>
      </c>
      <c r="E391" s="108" t="s">
        <v>388</v>
      </c>
      <c r="F391" s="108" t="s">
        <v>388</v>
      </c>
      <c r="G391" s="108" t="s">
        <v>397</v>
      </c>
      <c r="H391" s="108" t="s">
        <v>397</v>
      </c>
      <c r="I391" s="109" t="s">
        <v>388</v>
      </c>
      <c r="J391" s="110" t="s">
        <v>388</v>
      </c>
      <c r="K391" s="110" t="s">
        <v>388</v>
      </c>
      <c r="L391" s="110" t="s">
        <v>388</v>
      </c>
      <c r="M391" s="110" t="s">
        <v>388</v>
      </c>
      <c r="N391" s="110" t="s">
        <v>388</v>
      </c>
      <c r="O391" s="111" t="s">
        <v>388</v>
      </c>
      <c r="P391" s="111" t="s">
        <v>388</v>
      </c>
      <c r="Q391" s="111" t="s">
        <v>397</v>
      </c>
      <c r="R391" s="111" t="s">
        <v>388</v>
      </c>
      <c r="S391" s="111" t="s">
        <v>397</v>
      </c>
      <c r="T391" s="113" t="s">
        <v>1307</v>
      </c>
      <c r="U391" s="111" t="s">
        <v>474</v>
      </c>
      <c r="V391" s="114" t="s">
        <v>474</v>
      </c>
      <c r="W391" s="83" t="s">
        <v>399</v>
      </c>
      <c r="X391" s="114" t="s">
        <v>390</v>
      </c>
      <c r="Y391" s="114" t="s">
        <v>417</v>
      </c>
      <c r="Z391" s="114" t="s">
        <v>392</v>
      </c>
      <c r="AA391" t="s">
        <v>401</v>
      </c>
      <c r="AB391" t="s">
        <v>374</v>
      </c>
      <c r="AC391" t="s">
        <v>418</v>
      </c>
      <c r="AE391" t="s">
        <v>342</v>
      </c>
    </row>
    <row r="392" spans="1:31" x14ac:dyDescent="0.25">
      <c r="A392" s="74">
        <v>38918</v>
      </c>
      <c r="B392" s="74" t="s">
        <v>1318</v>
      </c>
      <c r="C392" s="74" t="s">
        <v>1319</v>
      </c>
      <c r="D392" s="108" t="s">
        <v>397</v>
      </c>
      <c r="E392" s="108" t="s">
        <v>388</v>
      </c>
      <c r="F392" s="108" t="s">
        <v>388</v>
      </c>
      <c r="G392" s="108" t="s">
        <v>397</v>
      </c>
      <c r="H392" s="108" t="s">
        <v>397</v>
      </c>
      <c r="I392" s="109" t="s">
        <v>388</v>
      </c>
      <c r="J392" s="110" t="s">
        <v>388</v>
      </c>
      <c r="K392" s="110" t="s">
        <v>388</v>
      </c>
      <c r="L392" s="110" t="s">
        <v>388</v>
      </c>
      <c r="M392" s="110" t="s">
        <v>388</v>
      </c>
      <c r="N392" s="110" t="s">
        <v>388</v>
      </c>
      <c r="O392" s="111" t="s">
        <v>388</v>
      </c>
      <c r="P392" s="111" t="s">
        <v>388</v>
      </c>
      <c r="Q392" s="111" t="s">
        <v>397</v>
      </c>
      <c r="R392" s="111" t="s">
        <v>397</v>
      </c>
      <c r="S392" s="111" t="s">
        <v>388</v>
      </c>
      <c r="T392" s="113" t="s">
        <v>1307</v>
      </c>
      <c r="U392" s="111" t="s">
        <v>474</v>
      </c>
      <c r="V392" s="114" t="s">
        <v>474</v>
      </c>
      <c r="W392" s="83" t="s">
        <v>399</v>
      </c>
      <c r="X392" s="114" t="s">
        <v>390</v>
      </c>
      <c r="Y392" s="114" t="s">
        <v>421</v>
      </c>
      <c r="Z392" s="114" t="s">
        <v>392</v>
      </c>
      <c r="AA392" t="s">
        <v>401</v>
      </c>
      <c r="AB392" t="s">
        <v>374</v>
      </c>
      <c r="AC392" t="s">
        <v>422</v>
      </c>
      <c r="AE392" t="s">
        <v>342</v>
      </c>
    </row>
    <row r="393" spans="1:31" x14ac:dyDescent="0.25">
      <c r="A393" s="74">
        <v>38919</v>
      </c>
      <c r="B393" s="74" t="s">
        <v>1320</v>
      </c>
      <c r="C393" s="74" t="s">
        <v>1321</v>
      </c>
      <c r="D393" s="108" t="s">
        <v>397</v>
      </c>
      <c r="E393" s="108" t="s">
        <v>388</v>
      </c>
      <c r="F393" s="108" t="s">
        <v>388</v>
      </c>
      <c r="G393" s="108" t="s">
        <v>397</v>
      </c>
      <c r="H393" s="108" t="s">
        <v>397</v>
      </c>
      <c r="I393" s="109" t="s">
        <v>388</v>
      </c>
      <c r="J393" s="110" t="s">
        <v>388</v>
      </c>
      <c r="K393" s="110" t="s">
        <v>388</v>
      </c>
      <c r="L393" s="110" t="s">
        <v>388</v>
      </c>
      <c r="M393" s="110" t="s">
        <v>388</v>
      </c>
      <c r="N393" s="110" t="s">
        <v>388</v>
      </c>
      <c r="O393" s="111" t="s">
        <v>388</v>
      </c>
      <c r="P393" s="111" t="s">
        <v>388</v>
      </c>
      <c r="Q393" s="111" t="s">
        <v>397</v>
      </c>
      <c r="R393" s="111" t="s">
        <v>397</v>
      </c>
      <c r="S393" s="111" t="s">
        <v>397</v>
      </c>
      <c r="T393" s="113" t="s">
        <v>1307</v>
      </c>
      <c r="U393" s="111" t="s">
        <v>474</v>
      </c>
      <c r="V393" s="114" t="s">
        <v>474</v>
      </c>
      <c r="W393" s="83" t="s">
        <v>399</v>
      </c>
      <c r="X393" s="114" t="s">
        <v>390</v>
      </c>
      <c r="Y393" s="114" t="s">
        <v>425</v>
      </c>
      <c r="Z393" s="114" t="s">
        <v>392</v>
      </c>
      <c r="AA393" t="s">
        <v>401</v>
      </c>
      <c r="AB393" t="s">
        <v>374</v>
      </c>
      <c r="AC393" t="s">
        <v>426</v>
      </c>
      <c r="AE393" t="s">
        <v>342</v>
      </c>
    </row>
    <row r="394" spans="1:31" x14ac:dyDescent="0.25">
      <c r="A394" s="74">
        <v>38920</v>
      </c>
      <c r="B394" s="74" t="s">
        <v>1322</v>
      </c>
      <c r="C394" s="74" t="s">
        <v>1323</v>
      </c>
      <c r="D394" s="108" t="s">
        <v>397</v>
      </c>
      <c r="E394" s="108" t="s">
        <v>388</v>
      </c>
      <c r="F394" s="108" t="s">
        <v>388</v>
      </c>
      <c r="G394" s="108" t="s">
        <v>397</v>
      </c>
      <c r="H394" s="108" t="s">
        <v>397</v>
      </c>
      <c r="I394" s="109" t="s">
        <v>388</v>
      </c>
      <c r="J394" s="110" t="s">
        <v>388</v>
      </c>
      <c r="K394" s="110" t="s">
        <v>388</v>
      </c>
      <c r="L394" s="110" t="s">
        <v>388</v>
      </c>
      <c r="M394" s="110" t="s">
        <v>388</v>
      </c>
      <c r="N394" s="110" t="s">
        <v>388</v>
      </c>
      <c r="O394" s="111" t="s">
        <v>388</v>
      </c>
      <c r="P394" s="111" t="s">
        <v>397</v>
      </c>
      <c r="Q394" s="111" t="s">
        <v>388</v>
      </c>
      <c r="R394" s="111" t="s">
        <v>388</v>
      </c>
      <c r="S394" s="111" t="s">
        <v>388</v>
      </c>
      <c r="T394" s="113" t="s">
        <v>1307</v>
      </c>
      <c r="U394" s="111" t="s">
        <v>474</v>
      </c>
      <c r="V394" s="114" t="s">
        <v>474</v>
      </c>
      <c r="W394" s="83" t="s">
        <v>399</v>
      </c>
      <c r="X394" s="114" t="s">
        <v>390</v>
      </c>
      <c r="Y394" s="114" t="s">
        <v>429</v>
      </c>
      <c r="Z394" s="114" t="s">
        <v>392</v>
      </c>
      <c r="AA394" t="s">
        <v>401</v>
      </c>
      <c r="AB394" t="s">
        <v>374</v>
      </c>
      <c r="AC394" t="s">
        <v>430</v>
      </c>
      <c r="AE394" t="s">
        <v>342</v>
      </c>
    </row>
    <row r="395" spans="1:31" x14ac:dyDescent="0.25">
      <c r="A395" s="74">
        <v>38921</v>
      </c>
      <c r="B395" s="74" t="s">
        <v>1324</v>
      </c>
      <c r="C395" s="74" t="s">
        <v>1325</v>
      </c>
      <c r="D395" s="108" t="s">
        <v>397</v>
      </c>
      <c r="E395" s="108" t="s">
        <v>388</v>
      </c>
      <c r="F395" s="108" t="s">
        <v>388</v>
      </c>
      <c r="G395" s="108" t="s">
        <v>397</v>
      </c>
      <c r="H395" s="108" t="s">
        <v>397</v>
      </c>
      <c r="I395" s="109" t="s">
        <v>388</v>
      </c>
      <c r="J395" s="110" t="s">
        <v>388</v>
      </c>
      <c r="K395" s="110" t="s">
        <v>388</v>
      </c>
      <c r="L395" s="110" t="s">
        <v>388</v>
      </c>
      <c r="M395" s="110" t="s">
        <v>388</v>
      </c>
      <c r="N395" s="110" t="s">
        <v>388</v>
      </c>
      <c r="O395" s="111" t="s">
        <v>388</v>
      </c>
      <c r="P395" s="111" t="s">
        <v>397</v>
      </c>
      <c r="Q395" s="111" t="s">
        <v>388</v>
      </c>
      <c r="R395" s="111" t="s">
        <v>388</v>
      </c>
      <c r="S395" s="111" t="s">
        <v>397</v>
      </c>
      <c r="T395" s="113" t="s">
        <v>1307</v>
      </c>
      <c r="U395" s="111" t="s">
        <v>474</v>
      </c>
      <c r="V395" s="114" t="s">
        <v>474</v>
      </c>
      <c r="W395" s="83" t="s">
        <v>399</v>
      </c>
      <c r="X395" s="114" t="s">
        <v>390</v>
      </c>
      <c r="Y395" s="114" t="s">
        <v>433</v>
      </c>
      <c r="Z395" s="114" t="s">
        <v>392</v>
      </c>
      <c r="AA395" t="s">
        <v>401</v>
      </c>
      <c r="AB395" t="s">
        <v>374</v>
      </c>
      <c r="AC395" t="s">
        <v>434</v>
      </c>
      <c r="AE395" t="s">
        <v>342</v>
      </c>
    </row>
    <row r="396" spans="1:31" x14ac:dyDescent="0.25">
      <c r="A396" s="74">
        <v>38922</v>
      </c>
      <c r="B396" s="74" t="s">
        <v>1326</v>
      </c>
      <c r="C396" s="74" t="s">
        <v>1327</v>
      </c>
      <c r="D396" s="108" t="s">
        <v>397</v>
      </c>
      <c r="E396" s="108" t="s">
        <v>388</v>
      </c>
      <c r="F396" s="108" t="s">
        <v>388</v>
      </c>
      <c r="G396" s="108" t="s">
        <v>397</v>
      </c>
      <c r="H396" s="108" t="s">
        <v>397</v>
      </c>
      <c r="I396" s="109" t="s">
        <v>388</v>
      </c>
      <c r="J396" s="110" t="s">
        <v>388</v>
      </c>
      <c r="K396" s="110" t="s">
        <v>388</v>
      </c>
      <c r="L396" s="110" t="s">
        <v>388</v>
      </c>
      <c r="M396" s="110" t="s">
        <v>388</v>
      </c>
      <c r="N396" s="110" t="s">
        <v>388</v>
      </c>
      <c r="O396" s="111" t="s">
        <v>388</v>
      </c>
      <c r="P396" s="111" t="s">
        <v>397</v>
      </c>
      <c r="Q396" s="111" t="s">
        <v>388</v>
      </c>
      <c r="R396" s="111" t="s">
        <v>397</v>
      </c>
      <c r="S396" s="111" t="s">
        <v>388</v>
      </c>
      <c r="T396" s="113" t="s">
        <v>1307</v>
      </c>
      <c r="U396" s="111" t="s">
        <v>474</v>
      </c>
      <c r="V396" s="114" t="s">
        <v>474</v>
      </c>
      <c r="W396" s="83" t="s">
        <v>399</v>
      </c>
      <c r="X396" s="114" t="s">
        <v>390</v>
      </c>
      <c r="Y396" s="114" t="s">
        <v>437</v>
      </c>
      <c r="Z396" s="114" t="s">
        <v>392</v>
      </c>
      <c r="AA396" t="s">
        <v>401</v>
      </c>
      <c r="AB396" t="s">
        <v>374</v>
      </c>
      <c r="AC396" t="s">
        <v>438</v>
      </c>
      <c r="AE396" t="s">
        <v>342</v>
      </c>
    </row>
    <row r="397" spans="1:31" x14ac:dyDescent="0.25">
      <c r="A397" s="74">
        <v>38923</v>
      </c>
      <c r="B397" s="74" t="s">
        <v>1328</v>
      </c>
      <c r="C397" s="74" t="s">
        <v>1329</v>
      </c>
      <c r="D397" s="108" t="s">
        <v>397</v>
      </c>
      <c r="E397" s="108" t="s">
        <v>388</v>
      </c>
      <c r="F397" s="108" t="s">
        <v>388</v>
      </c>
      <c r="G397" s="108" t="s">
        <v>397</v>
      </c>
      <c r="H397" s="108" t="s">
        <v>397</v>
      </c>
      <c r="I397" s="109" t="s">
        <v>388</v>
      </c>
      <c r="J397" s="110" t="s">
        <v>388</v>
      </c>
      <c r="K397" s="110" t="s">
        <v>388</v>
      </c>
      <c r="L397" s="110" t="s">
        <v>388</v>
      </c>
      <c r="M397" s="110" t="s">
        <v>388</v>
      </c>
      <c r="N397" s="110" t="s">
        <v>388</v>
      </c>
      <c r="O397" s="111" t="s">
        <v>388</v>
      </c>
      <c r="P397" s="111" t="s">
        <v>397</v>
      </c>
      <c r="Q397" s="111" t="s">
        <v>388</v>
      </c>
      <c r="R397" s="111" t="s">
        <v>397</v>
      </c>
      <c r="S397" s="111" t="s">
        <v>397</v>
      </c>
      <c r="T397" s="113" t="s">
        <v>1307</v>
      </c>
      <c r="U397" s="111" t="s">
        <v>474</v>
      </c>
      <c r="V397" s="114" t="s">
        <v>474</v>
      </c>
      <c r="W397" s="83" t="s">
        <v>399</v>
      </c>
      <c r="X397" s="114" t="s">
        <v>390</v>
      </c>
      <c r="Y397" s="114" t="s">
        <v>441</v>
      </c>
      <c r="Z397" s="114" t="s">
        <v>392</v>
      </c>
      <c r="AA397" t="s">
        <v>401</v>
      </c>
      <c r="AB397" t="s">
        <v>374</v>
      </c>
      <c r="AC397" t="s">
        <v>442</v>
      </c>
      <c r="AE397" t="s">
        <v>342</v>
      </c>
    </row>
    <row r="398" spans="1:31" x14ac:dyDescent="0.25">
      <c r="A398" s="74">
        <v>38924</v>
      </c>
      <c r="B398" s="74" t="s">
        <v>1330</v>
      </c>
      <c r="C398" s="74" t="s">
        <v>1331</v>
      </c>
      <c r="D398" s="108" t="s">
        <v>397</v>
      </c>
      <c r="E398" s="108" t="s">
        <v>388</v>
      </c>
      <c r="F398" s="108" t="s">
        <v>388</v>
      </c>
      <c r="G398" s="108" t="s">
        <v>397</v>
      </c>
      <c r="H398" s="108" t="s">
        <v>397</v>
      </c>
      <c r="I398" s="109" t="s">
        <v>388</v>
      </c>
      <c r="J398" s="110" t="s">
        <v>388</v>
      </c>
      <c r="K398" s="110" t="s">
        <v>388</v>
      </c>
      <c r="L398" s="110" t="s">
        <v>388</v>
      </c>
      <c r="M398" s="110" t="s">
        <v>388</v>
      </c>
      <c r="N398" s="110" t="s">
        <v>388</v>
      </c>
      <c r="O398" s="111" t="s">
        <v>388</v>
      </c>
      <c r="P398" s="111" t="s">
        <v>397</v>
      </c>
      <c r="Q398" s="111" t="s">
        <v>397</v>
      </c>
      <c r="R398" s="111" t="s">
        <v>388</v>
      </c>
      <c r="S398" s="111" t="s">
        <v>388</v>
      </c>
      <c r="T398" s="113" t="s">
        <v>1307</v>
      </c>
      <c r="U398" s="111" t="s">
        <v>474</v>
      </c>
      <c r="V398" s="114" t="s">
        <v>474</v>
      </c>
      <c r="W398" s="83" t="s">
        <v>399</v>
      </c>
      <c r="X398" s="114" t="s">
        <v>390</v>
      </c>
      <c r="Y398" s="114" t="s">
        <v>445</v>
      </c>
      <c r="Z398" s="114" t="s">
        <v>392</v>
      </c>
      <c r="AA398" t="s">
        <v>401</v>
      </c>
      <c r="AB398" t="s">
        <v>374</v>
      </c>
      <c r="AC398" t="s">
        <v>446</v>
      </c>
      <c r="AE398" t="s">
        <v>342</v>
      </c>
    </row>
    <row r="399" spans="1:31" x14ac:dyDescent="0.25">
      <c r="A399" s="74">
        <v>38925</v>
      </c>
      <c r="B399" s="74" t="s">
        <v>1332</v>
      </c>
      <c r="C399" s="74" t="s">
        <v>1333</v>
      </c>
      <c r="D399" s="108" t="s">
        <v>397</v>
      </c>
      <c r="E399" s="108" t="s">
        <v>388</v>
      </c>
      <c r="F399" s="108" t="s">
        <v>388</v>
      </c>
      <c r="G399" s="108" t="s">
        <v>397</v>
      </c>
      <c r="H399" s="108" t="s">
        <v>397</v>
      </c>
      <c r="I399" s="109" t="s">
        <v>388</v>
      </c>
      <c r="J399" s="110" t="s">
        <v>388</v>
      </c>
      <c r="K399" s="110" t="s">
        <v>388</v>
      </c>
      <c r="L399" s="110" t="s">
        <v>388</v>
      </c>
      <c r="M399" s="110" t="s">
        <v>388</v>
      </c>
      <c r="N399" s="110" t="s">
        <v>388</v>
      </c>
      <c r="O399" s="111" t="s">
        <v>388</v>
      </c>
      <c r="P399" s="111" t="s">
        <v>397</v>
      </c>
      <c r="Q399" s="111" t="s">
        <v>397</v>
      </c>
      <c r="R399" s="111" t="s">
        <v>388</v>
      </c>
      <c r="S399" s="111" t="s">
        <v>397</v>
      </c>
      <c r="T399" s="113" t="s">
        <v>1307</v>
      </c>
      <c r="U399" s="111" t="s">
        <v>474</v>
      </c>
      <c r="V399" s="114" t="s">
        <v>474</v>
      </c>
      <c r="W399" s="83" t="s">
        <v>399</v>
      </c>
      <c r="X399" s="114" t="s">
        <v>390</v>
      </c>
      <c r="Y399" s="114" t="s">
        <v>449</v>
      </c>
      <c r="Z399" s="114" t="s">
        <v>392</v>
      </c>
      <c r="AA399" t="s">
        <v>401</v>
      </c>
      <c r="AB399" t="s">
        <v>374</v>
      </c>
      <c r="AC399" t="s">
        <v>450</v>
      </c>
      <c r="AE399" t="s">
        <v>342</v>
      </c>
    </row>
    <row r="400" spans="1:31" x14ac:dyDescent="0.25">
      <c r="A400" s="74">
        <v>38926</v>
      </c>
      <c r="B400" s="74" t="s">
        <v>1334</v>
      </c>
      <c r="C400" s="74" t="s">
        <v>1335</v>
      </c>
      <c r="D400" s="108" t="s">
        <v>397</v>
      </c>
      <c r="E400" s="108" t="s">
        <v>388</v>
      </c>
      <c r="F400" s="108" t="s">
        <v>388</v>
      </c>
      <c r="G400" s="108" t="s">
        <v>397</v>
      </c>
      <c r="H400" s="108" t="s">
        <v>397</v>
      </c>
      <c r="I400" s="109" t="s">
        <v>388</v>
      </c>
      <c r="J400" s="110" t="s">
        <v>388</v>
      </c>
      <c r="K400" s="110" t="s">
        <v>388</v>
      </c>
      <c r="L400" s="110" t="s">
        <v>388</v>
      </c>
      <c r="M400" s="110" t="s">
        <v>388</v>
      </c>
      <c r="N400" s="110" t="s">
        <v>388</v>
      </c>
      <c r="O400" s="111" t="s">
        <v>388</v>
      </c>
      <c r="P400" s="111" t="s">
        <v>397</v>
      </c>
      <c r="Q400" s="111" t="s">
        <v>397</v>
      </c>
      <c r="R400" s="111" t="s">
        <v>397</v>
      </c>
      <c r="S400" s="111" t="s">
        <v>388</v>
      </c>
      <c r="T400" s="113" t="s">
        <v>1307</v>
      </c>
      <c r="U400" s="111" t="s">
        <v>474</v>
      </c>
      <c r="V400" s="114" t="s">
        <v>474</v>
      </c>
      <c r="W400" s="83" t="s">
        <v>399</v>
      </c>
      <c r="X400" s="114" t="s">
        <v>390</v>
      </c>
      <c r="Y400" s="114" t="s">
        <v>453</v>
      </c>
      <c r="Z400" s="114" t="s">
        <v>392</v>
      </c>
      <c r="AA400" t="s">
        <v>401</v>
      </c>
      <c r="AB400" t="s">
        <v>374</v>
      </c>
      <c r="AC400" t="s">
        <v>454</v>
      </c>
      <c r="AE400" t="s">
        <v>342</v>
      </c>
    </row>
    <row r="401" spans="1:31" x14ac:dyDescent="0.25">
      <c r="A401" s="74">
        <v>38927</v>
      </c>
      <c r="B401" s="74" t="s">
        <v>1336</v>
      </c>
      <c r="C401" s="74" t="s">
        <v>1337</v>
      </c>
      <c r="D401" s="108" t="s">
        <v>397</v>
      </c>
      <c r="E401" s="108" t="s">
        <v>388</v>
      </c>
      <c r="F401" s="108" t="s">
        <v>388</v>
      </c>
      <c r="G401" s="108" t="s">
        <v>397</v>
      </c>
      <c r="H401" s="108" t="s">
        <v>397</v>
      </c>
      <c r="I401" s="109" t="s">
        <v>388</v>
      </c>
      <c r="J401" s="110" t="s">
        <v>388</v>
      </c>
      <c r="K401" s="110" t="s">
        <v>388</v>
      </c>
      <c r="L401" s="110" t="s">
        <v>388</v>
      </c>
      <c r="M401" s="110" t="s">
        <v>388</v>
      </c>
      <c r="N401" s="110" t="s">
        <v>388</v>
      </c>
      <c r="O401" s="111" t="s">
        <v>388</v>
      </c>
      <c r="P401" s="111" t="s">
        <v>397</v>
      </c>
      <c r="Q401" s="111" t="s">
        <v>397</v>
      </c>
      <c r="R401" s="111" t="s">
        <v>397</v>
      </c>
      <c r="S401" s="111" t="s">
        <v>397</v>
      </c>
      <c r="T401" s="113" t="s">
        <v>1307</v>
      </c>
      <c r="U401" s="111" t="s">
        <v>474</v>
      </c>
      <c r="V401" s="114" t="s">
        <v>474</v>
      </c>
      <c r="W401" s="83" t="s">
        <v>399</v>
      </c>
      <c r="X401" s="114" t="s">
        <v>390</v>
      </c>
      <c r="Y401" s="114" t="s">
        <v>457</v>
      </c>
      <c r="Z401" s="114" t="s">
        <v>392</v>
      </c>
      <c r="AA401" t="s">
        <v>401</v>
      </c>
      <c r="AB401" t="s">
        <v>374</v>
      </c>
      <c r="AC401" t="s">
        <v>458</v>
      </c>
      <c r="AE401" t="s">
        <v>342</v>
      </c>
    </row>
    <row r="402" spans="1:31" x14ac:dyDescent="0.25">
      <c r="A402" s="74">
        <v>38928</v>
      </c>
      <c r="B402" s="74" t="s">
        <v>1338</v>
      </c>
      <c r="C402" s="74" t="s">
        <v>1339</v>
      </c>
      <c r="D402" s="108" t="s">
        <v>397</v>
      </c>
      <c r="E402" s="108" t="s">
        <v>388</v>
      </c>
      <c r="F402" s="108" t="s">
        <v>388</v>
      </c>
      <c r="G402" s="108" t="s">
        <v>397</v>
      </c>
      <c r="H402" s="108" t="s">
        <v>397</v>
      </c>
      <c r="I402" s="109" t="s">
        <v>388</v>
      </c>
      <c r="J402" s="110" t="s">
        <v>388</v>
      </c>
      <c r="K402" s="110" t="s">
        <v>388</v>
      </c>
      <c r="L402" s="110" t="s">
        <v>388</v>
      </c>
      <c r="M402" s="110" t="s">
        <v>388</v>
      </c>
      <c r="N402" s="110" t="s">
        <v>388</v>
      </c>
      <c r="O402" s="111" t="s">
        <v>397</v>
      </c>
      <c r="P402" s="111" t="s">
        <v>388</v>
      </c>
      <c r="Q402" s="111" t="s">
        <v>388</v>
      </c>
      <c r="R402" s="111" t="s">
        <v>388</v>
      </c>
      <c r="S402" s="111" t="s">
        <v>388</v>
      </c>
      <c r="T402" s="113" t="s">
        <v>1307</v>
      </c>
      <c r="U402" s="111" t="s">
        <v>474</v>
      </c>
      <c r="V402" s="114" t="s">
        <v>474</v>
      </c>
      <c r="W402" s="83" t="s">
        <v>399</v>
      </c>
      <c r="X402" s="114" t="s">
        <v>390</v>
      </c>
      <c r="Y402" s="114" t="s">
        <v>461</v>
      </c>
      <c r="Z402" s="114" t="s">
        <v>392</v>
      </c>
      <c r="AA402" t="s">
        <v>401</v>
      </c>
      <c r="AB402" t="s">
        <v>374</v>
      </c>
      <c r="AC402" t="s">
        <v>462</v>
      </c>
      <c r="AE402" t="s">
        <v>342</v>
      </c>
    </row>
    <row r="403" spans="1:31" x14ac:dyDescent="0.25">
      <c r="A403" s="74">
        <v>38929</v>
      </c>
      <c r="B403" s="74" t="s">
        <v>1340</v>
      </c>
      <c r="C403" s="74" t="s">
        <v>1341</v>
      </c>
      <c r="D403" s="108" t="s">
        <v>397</v>
      </c>
      <c r="E403" s="108" t="s">
        <v>388</v>
      </c>
      <c r="F403" s="108" t="s">
        <v>388</v>
      </c>
      <c r="G403" s="108" t="s">
        <v>397</v>
      </c>
      <c r="H403" s="108" t="s">
        <v>397</v>
      </c>
      <c r="I403" s="109" t="s">
        <v>388</v>
      </c>
      <c r="J403" s="110" t="s">
        <v>388</v>
      </c>
      <c r="K403" s="110" t="s">
        <v>388</v>
      </c>
      <c r="L403" s="110" t="s">
        <v>388</v>
      </c>
      <c r="M403" s="110" t="s">
        <v>388</v>
      </c>
      <c r="N403" s="110" t="s">
        <v>388</v>
      </c>
      <c r="O403" s="111" t="s">
        <v>397</v>
      </c>
      <c r="P403" s="111" t="s">
        <v>388</v>
      </c>
      <c r="Q403" s="111" t="s">
        <v>388</v>
      </c>
      <c r="R403" s="111" t="s">
        <v>388</v>
      </c>
      <c r="S403" s="111" t="s">
        <v>397</v>
      </c>
      <c r="T403" s="113" t="s">
        <v>1342</v>
      </c>
      <c r="U403" s="111" t="s">
        <v>474</v>
      </c>
      <c r="V403" s="114" t="s">
        <v>474</v>
      </c>
      <c r="W403" s="83" t="s">
        <v>399</v>
      </c>
      <c r="X403" s="114" t="s">
        <v>390</v>
      </c>
      <c r="Y403" s="114" t="s">
        <v>466</v>
      </c>
      <c r="Z403" s="114" t="s">
        <v>392</v>
      </c>
      <c r="AA403" t="s">
        <v>401</v>
      </c>
      <c r="AB403" t="s">
        <v>114</v>
      </c>
      <c r="AC403" t="s">
        <v>467</v>
      </c>
      <c r="AE403" t="s">
        <v>342</v>
      </c>
    </row>
    <row r="404" spans="1:31" x14ac:dyDescent="0.25">
      <c r="A404" s="74">
        <v>38930</v>
      </c>
      <c r="B404" s="74" t="s">
        <v>1343</v>
      </c>
      <c r="C404" s="74" t="s">
        <v>1344</v>
      </c>
      <c r="D404" s="108" t="s">
        <v>397</v>
      </c>
      <c r="E404" s="108" t="s">
        <v>388</v>
      </c>
      <c r="F404" s="108" t="s">
        <v>388</v>
      </c>
      <c r="G404" s="108" t="s">
        <v>397</v>
      </c>
      <c r="H404" s="108" t="s">
        <v>397</v>
      </c>
      <c r="I404" s="109" t="s">
        <v>388</v>
      </c>
      <c r="J404" s="110" t="s">
        <v>388</v>
      </c>
      <c r="K404" s="110" t="s">
        <v>388</v>
      </c>
      <c r="L404" s="110" t="s">
        <v>388</v>
      </c>
      <c r="M404" s="110" t="s">
        <v>388</v>
      </c>
      <c r="N404" s="110" t="s">
        <v>388</v>
      </c>
      <c r="O404" s="111" t="s">
        <v>397</v>
      </c>
      <c r="P404" s="111" t="s">
        <v>388</v>
      </c>
      <c r="Q404" s="111" t="s">
        <v>388</v>
      </c>
      <c r="R404" s="111" t="s">
        <v>397</v>
      </c>
      <c r="S404" s="111" t="s">
        <v>388</v>
      </c>
      <c r="T404" s="113" t="s">
        <v>1307</v>
      </c>
      <c r="U404" s="111" t="s">
        <v>474</v>
      </c>
      <c r="V404" s="114" t="s">
        <v>474</v>
      </c>
      <c r="W404" s="83" t="s">
        <v>399</v>
      </c>
      <c r="X404" s="114" t="s">
        <v>390</v>
      </c>
      <c r="Y404" s="114" t="s">
        <v>470</v>
      </c>
      <c r="Z404" s="114" t="s">
        <v>392</v>
      </c>
      <c r="AA404" t="s">
        <v>401</v>
      </c>
      <c r="AB404" t="s">
        <v>374</v>
      </c>
      <c r="AC404" t="s">
        <v>471</v>
      </c>
      <c r="AE404" t="s">
        <v>342</v>
      </c>
    </row>
    <row r="405" spans="1:31" x14ac:dyDescent="0.25">
      <c r="A405" s="74">
        <v>38931</v>
      </c>
      <c r="B405" s="74" t="s">
        <v>1345</v>
      </c>
      <c r="C405" s="74" t="s">
        <v>1346</v>
      </c>
      <c r="D405" s="108" t="s">
        <v>397</v>
      </c>
      <c r="E405" s="108" t="s">
        <v>388</v>
      </c>
      <c r="F405" s="108" t="s">
        <v>388</v>
      </c>
      <c r="G405" s="108" t="s">
        <v>397</v>
      </c>
      <c r="H405" s="108" t="s">
        <v>397</v>
      </c>
      <c r="I405" s="109" t="s">
        <v>388</v>
      </c>
      <c r="J405" s="110" t="s">
        <v>388</v>
      </c>
      <c r="K405" s="110" t="s">
        <v>388</v>
      </c>
      <c r="L405" s="110" t="s">
        <v>388</v>
      </c>
      <c r="M405" s="110" t="s">
        <v>388</v>
      </c>
      <c r="N405" s="110" t="s">
        <v>388</v>
      </c>
      <c r="O405" s="111" t="s">
        <v>397</v>
      </c>
      <c r="P405" s="111" t="s">
        <v>388</v>
      </c>
      <c r="Q405" s="111" t="s">
        <v>388</v>
      </c>
      <c r="R405" s="111" t="s">
        <v>397</v>
      </c>
      <c r="S405" s="111" t="s">
        <v>397</v>
      </c>
      <c r="T405" s="113" t="s">
        <v>1307</v>
      </c>
      <c r="U405" s="111" t="s">
        <v>474</v>
      </c>
      <c r="V405" s="114" t="s">
        <v>474</v>
      </c>
      <c r="W405" s="83" t="s">
        <v>399</v>
      </c>
      <c r="X405" s="114" t="s">
        <v>390</v>
      </c>
      <c r="Y405" s="114" t="s">
        <v>474</v>
      </c>
      <c r="Z405" s="114" t="s">
        <v>392</v>
      </c>
      <c r="AA405" t="s">
        <v>401</v>
      </c>
      <c r="AB405" t="s">
        <v>374</v>
      </c>
      <c r="AC405" t="s">
        <v>475</v>
      </c>
      <c r="AE405" t="s">
        <v>342</v>
      </c>
    </row>
    <row r="406" spans="1:31" x14ac:dyDescent="0.25">
      <c r="A406" s="74">
        <v>38932</v>
      </c>
      <c r="B406" s="74" t="s">
        <v>1347</v>
      </c>
      <c r="C406" s="74" t="s">
        <v>1348</v>
      </c>
      <c r="D406" s="108" t="s">
        <v>397</v>
      </c>
      <c r="E406" s="108" t="s">
        <v>388</v>
      </c>
      <c r="F406" s="108" t="s">
        <v>388</v>
      </c>
      <c r="G406" s="108" t="s">
        <v>397</v>
      </c>
      <c r="H406" s="108" t="s">
        <v>397</v>
      </c>
      <c r="I406" s="109" t="s">
        <v>388</v>
      </c>
      <c r="J406" s="110" t="s">
        <v>388</v>
      </c>
      <c r="K406" s="110" t="s">
        <v>388</v>
      </c>
      <c r="L406" s="110" t="s">
        <v>388</v>
      </c>
      <c r="M406" s="110" t="s">
        <v>388</v>
      </c>
      <c r="N406" s="110" t="s">
        <v>388</v>
      </c>
      <c r="O406" s="111" t="s">
        <v>397</v>
      </c>
      <c r="P406" s="111" t="s">
        <v>388</v>
      </c>
      <c r="Q406" s="111" t="s">
        <v>397</v>
      </c>
      <c r="R406" s="111" t="s">
        <v>388</v>
      </c>
      <c r="S406" s="111" t="s">
        <v>388</v>
      </c>
      <c r="T406" s="113" t="s">
        <v>1349</v>
      </c>
      <c r="U406" s="111" t="s">
        <v>474</v>
      </c>
      <c r="V406" s="114" t="s">
        <v>474</v>
      </c>
      <c r="W406" s="83" t="s">
        <v>399</v>
      </c>
      <c r="X406" s="114" t="s">
        <v>390</v>
      </c>
      <c r="Y406" s="114" t="s">
        <v>479</v>
      </c>
      <c r="Z406" s="114" t="s">
        <v>392</v>
      </c>
      <c r="AA406" t="s">
        <v>401</v>
      </c>
      <c r="AB406" t="s">
        <v>372</v>
      </c>
      <c r="AC406" t="s">
        <v>386</v>
      </c>
      <c r="AE406" t="s">
        <v>342</v>
      </c>
    </row>
    <row r="407" spans="1:31" x14ac:dyDescent="0.25">
      <c r="A407" s="74">
        <v>38933</v>
      </c>
      <c r="B407" s="74" t="s">
        <v>1350</v>
      </c>
      <c r="C407" s="74" t="s">
        <v>1351</v>
      </c>
      <c r="D407" s="108" t="s">
        <v>397</v>
      </c>
      <c r="E407" s="108" t="s">
        <v>388</v>
      </c>
      <c r="F407" s="108" t="s">
        <v>388</v>
      </c>
      <c r="G407" s="108" t="s">
        <v>397</v>
      </c>
      <c r="H407" s="108" t="s">
        <v>397</v>
      </c>
      <c r="I407" s="109" t="s">
        <v>388</v>
      </c>
      <c r="J407" s="110" t="s">
        <v>388</v>
      </c>
      <c r="K407" s="110" t="s">
        <v>388</v>
      </c>
      <c r="L407" s="110" t="s">
        <v>388</v>
      </c>
      <c r="M407" s="110" t="s">
        <v>388</v>
      </c>
      <c r="N407" s="110" t="s">
        <v>388</v>
      </c>
      <c r="O407" s="111" t="s">
        <v>397</v>
      </c>
      <c r="P407" s="111" t="s">
        <v>388</v>
      </c>
      <c r="Q407" s="111" t="s">
        <v>397</v>
      </c>
      <c r="R407" s="111" t="s">
        <v>388</v>
      </c>
      <c r="S407" s="111" t="s">
        <v>397</v>
      </c>
      <c r="T407" s="113" t="s">
        <v>1352</v>
      </c>
      <c r="U407" s="111" t="s">
        <v>474</v>
      </c>
      <c r="V407" s="114" t="s">
        <v>474</v>
      </c>
      <c r="W407" s="83" t="s">
        <v>399</v>
      </c>
      <c r="X407" s="114" t="s">
        <v>390</v>
      </c>
      <c r="Y407" s="114" t="s">
        <v>483</v>
      </c>
      <c r="Z407" s="114" t="s">
        <v>392</v>
      </c>
      <c r="AA407" t="s">
        <v>401</v>
      </c>
      <c r="AB407" t="s">
        <v>373</v>
      </c>
      <c r="AC407" t="s">
        <v>484</v>
      </c>
      <c r="AE407" t="s">
        <v>342</v>
      </c>
    </row>
    <row r="408" spans="1:31" x14ac:dyDescent="0.25">
      <c r="A408" s="74">
        <v>38934</v>
      </c>
      <c r="B408" s="74" t="s">
        <v>1353</v>
      </c>
      <c r="C408" s="74" t="s">
        <v>1354</v>
      </c>
      <c r="D408" s="108" t="s">
        <v>397</v>
      </c>
      <c r="E408" s="108" t="s">
        <v>388</v>
      </c>
      <c r="F408" s="108" t="s">
        <v>388</v>
      </c>
      <c r="G408" s="108" t="s">
        <v>397</v>
      </c>
      <c r="H408" s="108" t="s">
        <v>397</v>
      </c>
      <c r="I408" s="109" t="s">
        <v>388</v>
      </c>
      <c r="J408" s="110" t="s">
        <v>388</v>
      </c>
      <c r="K408" s="110" t="s">
        <v>388</v>
      </c>
      <c r="L408" s="110" t="s">
        <v>388</v>
      </c>
      <c r="M408" s="110" t="s">
        <v>388</v>
      </c>
      <c r="N408" s="110" t="s">
        <v>388</v>
      </c>
      <c r="O408" s="111" t="s">
        <v>397</v>
      </c>
      <c r="P408" s="111" t="s">
        <v>388</v>
      </c>
      <c r="Q408" s="111" t="s">
        <v>397</v>
      </c>
      <c r="R408" s="111" t="s">
        <v>397</v>
      </c>
      <c r="S408" s="111" t="s">
        <v>388</v>
      </c>
      <c r="T408" s="113" t="s">
        <v>1307</v>
      </c>
      <c r="U408" s="111" t="s">
        <v>474</v>
      </c>
      <c r="V408" s="114" t="s">
        <v>474</v>
      </c>
      <c r="W408" s="83" t="s">
        <v>399</v>
      </c>
      <c r="X408" s="114" t="s">
        <v>390</v>
      </c>
      <c r="Y408" s="114" t="s">
        <v>487</v>
      </c>
      <c r="Z408" s="114" t="s">
        <v>392</v>
      </c>
      <c r="AA408" t="s">
        <v>401</v>
      </c>
      <c r="AB408" t="s">
        <v>374</v>
      </c>
      <c r="AC408" t="s">
        <v>488</v>
      </c>
      <c r="AE408" t="s">
        <v>342</v>
      </c>
    </row>
    <row r="409" spans="1:31" x14ac:dyDescent="0.25">
      <c r="A409" s="74">
        <v>38935</v>
      </c>
      <c r="B409" s="74" t="s">
        <v>1355</v>
      </c>
      <c r="C409" s="74" t="s">
        <v>1356</v>
      </c>
      <c r="D409" s="108" t="s">
        <v>397</v>
      </c>
      <c r="E409" s="108" t="s">
        <v>388</v>
      </c>
      <c r="F409" s="108" t="s">
        <v>388</v>
      </c>
      <c r="G409" s="108" t="s">
        <v>397</v>
      </c>
      <c r="H409" s="108" t="s">
        <v>397</v>
      </c>
      <c r="I409" s="109" t="s">
        <v>388</v>
      </c>
      <c r="J409" s="110" t="s">
        <v>388</v>
      </c>
      <c r="K409" s="110" t="s">
        <v>388</v>
      </c>
      <c r="L409" s="110" t="s">
        <v>388</v>
      </c>
      <c r="M409" s="110" t="s">
        <v>388</v>
      </c>
      <c r="N409" s="110" t="s">
        <v>388</v>
      </c>
      <c r="O409" s="111" t="s">
        <v>397</v>
      </c>
      <c r="P409" s="111" t="s">
        <v>388</v>
      </c>
      <c r="Q409" s="111" t="s">
        <v>397</v>
      </c>
      <c r="R409" s="111" t="s">
        <v>397</v>
      </c>
      <c r="S409" s="111" t="s">
        <v>397</v>
      </c>
      <c r="T409" s="113" t="s">
        <v>1307</v>
      </c>
      <c r="U409" s="111" t="s">
        <v>474</v>
      </c>
      <c r="V409" s="114" t="s">
        <v>474</v>
      </c>
      <c r="W409" s="83" t="s">
        <v>399</v>
      </c>
      <c r="X409" s="114" t="s">
        <v>390</v>
      </c>
      <c r="Y409" s="114" t="s">
        <v>491</v>
      </c>
      <c r="Z409" s="114" t="s">
        <v>392</v>
      </c>
      <c r="AA409" t="s">
        <v>401</v>
      </c>
      <c r="AB409" t="s">
        <v>374</v>
      </c>
      <c r="AC409" t="s">
        <v>492</v>
      </c>
      <c r="AE409" t="s">
        <v>342</v>
      </c>
    </row>
    <row r="410" spans="1:31" x14ac:dyDescent="0.25">
      <c r="A410" s="74">
        <v>38936</v>
      </c>
      <c r="B410" s="74" t="s">
        <v>1357</v>
      </c>
      <c r="C410" s="74" t="s">
        <v>1358</v>
      </c>
      <c r="D410" s="108" t="s">
        <v>397</v>
      </c>
      <c r="E410" s="108" t="s">
        <v>388</v>
      </c>
      <c r="F410" s="108" t="s">
        <v>388</v>
      </c>
      <c r="G410" s="108" t="s">
        <v>397</v>
      </c>
      <c r="H410" s="108" t="s">
        <v>397</v>
      </c>
      <c r="I410" s="109" t="s">
        <v>388</v>
      </c>
      <c r="J410" s="110" t="s">
        <v>388</v>
      </c>
      <c r="K410" s="110" t="s">
        <v>388</v>
      </c>
      <c r="L410" s="110" t="s">
        <v>388</v>
      </c>
      <c r="M410" s="110" t="s">
        <v>388</v>
      </c>
      <c r="N410" s="110" t="s">
        <v>388</v>
      </c>
      <c r="O410" s="111" t="s">
        <v>397</v>
      </c>
      <c r="P410" s="111" t="s">
        <v>397</v>
      </c>
      <c r="Q410" s="111" t="s">
        <v>388</v>
      </c>
      <c r="R410" s="111" t="s">
        <v>388</v>
      </c>
      <c r="S410" s="111" t="s">
        <v>388</v>
      </c>
      <c r="T410" s="113" t="s">
        <v>1307</v>
      </c>
      <c r="U410" s="111" t="s">
        <v>474</v>
      </c>
      <c r="V410" s="114" t="s">
        <v>474</v>
      </c>
      <c r="W410" s="83" t="s">
        <v>399</v>
      </c>
      <c r="X410" s="114" t="s">
        <v>390</v>
      </c>
      <c r="Y410" s="114" t="s">
        <v>495</v>
      </c>
      <c r="Z410" s="114" t="s">
        <v>392</v>
      </c>
      <c r="AA410" t="s">
        <v>401</v>
      </c>
      <c r="AB410" t="s">
        <v>374</v>
      </c>
      <c r="AC410" t="s">
        <v>496</v>
      </c>
      <c r="AE410" t="s">
        <v>342</v>
      </c>
    </row>
    <row r="411" spans="1:31" x14ac:dyDescent="0.25">
      <c r="A411" s="74">
        <v>38937</v>
      </c>
      <c r="B411" s="74" t="s">
        <v>1359</v>
      </c>
      <c r="C411" s="74" t="s">
        <v>1360</v>
      </c>
      <c r="D411" s="108" t="s">
        <v>397</v>
      </c>
      <c r="E411" s="108" t="s">
        <v>388</v>
      </c>
      <c r="F411" s="108" t="s">
        <v>388</v>
      </c>
      <c r="G411" s="108" t="s">
        <v>397</v>
      </c>
      <c r="H411" s="108" t="s">
        <v>397</v>
      </c>
      <c r="I411" s="109" t="s">
        <v>388</v>
      </c>
      <c r="J411" s="110" t="s">
        <v>388</v>
      </c>
      <c r="K411" s="110" t="s">
        <v>388</v>
      </c>
      <c r="L411" s="110" t="s">
        <v>388</v>
      </c>
      <c r="M411" s="110" t="s">
        <v>388</v>
      </c>
      <c r="N411" s="110" t="s">
        <v>388</v>
      </c>
      <c r="O411" s="111" t="s">
        <v>397</v>
      </c>
      <c r="P411" s="111" t="s">
        <v>397</v>
      </c>
      <c r="Q411" s="111" t="s">
        <v>388</v>
      </c>
      <c r="R411" s="111" t="s">
        <v>388</v>
      </c>
      <c r="S411" s="111" t="s">
        <v>397</v>
      </c>
      <c r="T411" s="113" t="s">
        <v>1307</v>
      </c>
      <c r="U411" s="111" t="s">
        <v>474</v>
      </c>
      <c r="V411" s="114" t="s">
        <v>474</v>
      </c>
      <c r="W411" s="83" t="s">
        <v>399</v>
      </c>
      <c r="X411" s="114" t="s">
        <v>390</v>
      </c>
      <c r="Y411" s="114" t="s">
        <v>499</v>
      </c>
      <c r="Z411" s="114" t="s">
        <v>392</v>
      </c>
      <c r="AA411" t="s">
        <v>401</v>
      </c>
      <c r="AB411" t="s">
        <v>374</v>
      </c>
      <c r="AC411" t="s">
        <v>500</v>
      </c>
      <c r="AE411" t="s">
        <v>342</v>
      </c>
    </row>
    <row r="412" spans="1:31" x14ac:dyDescent="0.25">
      <c r="A412" s="74">
        <v>38938</v>
      </c>
      <c r="B412" s="74" t="s">
        <v>1361</v>
      </c>
      <c r="C412" s="74" t="s">
        <v>1362</v>
      </c>
      <c r="D412" s="108" t="s">
        <v>397</v>
      </c>
      <c r="E412" s="108" t="s">
        <v>388</v>
      </c>
      <c r="F412" s="108" t="s">
        <v>388</v>
      </c>
      <c r="G412" s="108" t="s">
        <v>397</v>
      </c>
      <c r="H412" s="108" t="s">
        <v>397</v>
      </c>
      <c r="I412" s="109" t="s">
        <v>388</v>
      </c>
      <c r="J412" s="110" t="s">
        <v>388</v>
      </c>
      <c r="K412" s="110" t="s">
        <v>388</v>
      </c>
      <c r="L412" s="110" t="s">
        <v>388</v>
      </c>
      <c r="M412" s="110" t="s">
        <v>388</v>
      </c>
      <c r="N412" s="110" t="s">
        <v>388</v>
      </c>
      <c r="O412" s="111" t="s">
        <v>397</v>
      </c>
      <c r="P412" s="111" t="s">
        <v>397</v>
      </c>
      <c r="Q412" s="111" t="s">
        <v>388</v>
      </c>
      <c r="R412" s="111" t="s">
        <v>397</v>
      </c>
      <c r="S412" s="111" t="s">
        <v>388</v>
      </c>
      <c r="T412" s="113" t="s">
        <v>1307</v>
      </c>
      <c r="U412" s="111" t="s">
        <v>474</v>
      </c>
      <c r="V412" s="114" t="s">
        <v>474</v>
      </c>
      <c r="W412" s="83" t="s">
        <v>399</v>
      </c>
      <c r="X412" s="114" t="s">
        <v>390</v>
      </c>
      <c r="Y412" s="114" t="s">
        <v>503</v>
      </c>
      <c r="Z412" s="114" t="s">
        <v>392</v>
      </c>
      <c r="AA412" t="s">
        <v>401</v>
      </c>
      <c r="AB412" t="s">
        <v>374</v>
      </c>
      <c r="AC412" t="s">
        <v>504</v>
      </c>
      <c r="AE412" t="s">
        <v>342</v>
      </c>
    </row>
    <row r="413" spans="1:31" x14ac:dyDescent="0.25">
      <c r="A413" s="74">
        <v>38939</v>
      </c>
      <c r="B413" s="74" t="s">
        <v>1363</v>
      </c>
      <c r="C413" s="74" t="s">
        <v>1364</v>
      </c>
      <c r="D413" s="108" t="s">
        <v>397</v>
      </c>
      <c r="E413" s="108" t="s">
        <v>388</v>
      </c>
      <c r="F413" s="108" t="s">
        <v>388</v>
      </c>
      <c r="G413" s="108" t="s">
        <v>397</v>
      </c>
      <c r="H413" s="108" t="s">
        <v>397</v>
      </c>
      <c r="I413" s="109" t="s">
        <v>388</v>
      </c>
      <c r="J413" s="110" t="s">
        <v>388</v>
      </c>
      <c r="K413" s="110" t="s">
        <v>388</v>
      </c>
      <c r="L413" s="110" t="s">
        <v>388</v>
      </c>
      <c r="M413" s="110" t="s">
        <v>388</v>
      </c>
      <c r="N413" s="110" t="s">
        <v>388</v>
      </c>
      <c r="O413" s="111" t="s">
        <v>397</v>
      </c>
      <c r="P413" s="111" t="s">
        <v>397</v>
      </c>
      <c r="Q413" s="111" t="s">
        <v>388</v>
      </c>
      <c r="R413" s="111" t="s">
        <v>397</v>
      </c>
      <c r="S413" s="111" t="s">
        <v>397</v>
      </c>
      <c r="T413" s="113" t="s">
        <v>1307</v>
      </c>
      <c r="U413" s="111" t="s">
        <v>474</v>
      </c>
      <c r="V413" s="114" t="s">
        <v>474</v>
      </c>
      <c r="W413" s="83" t="s">
        <v>399</v>
      </c>
      <c r="X413" s="114" t="s">
        <v>390</v>
      </c>
      <c r="Y413" s="114" t="s">
        <v>507</v>
      </c>
      <c r="Z413" s="114" t="s">
        <v>392</v>
      </c>
      <c r="AA413" t="s">
        <v>401</v>
      </c>
      <c r="AB413" t="s">
        <v>374</v>
      </c>
      <c r="AC413" t="s">
        <v>508</v>
      </c>
      <c r="AE413" t="s">
        <v>342</v>
      </c>
    </row>
    <row r="414" spans="1:31" x14ac:dyDescent="0.25">
      <c r="A414" s="74">
        <v>38940</v>
      </c>
      <c r="B414" s="74" t="s">
        <v>1365</v>
      </c>
      <c r="C414" s="74" t="s">
        <v>1366</v>
      </c>
      <c r="D414" s="108" t="s">
        <v>397</v>
      </c>
      <c r="E414" s="108" t="s">
        <v>388</v>
      </c>
      <c r="F414" s="108" t="s">
        <v>388</v>
      </c>
      <c r="G414" s="108" t="s">
        <v>397</v>
      </c>
      <c r="H414" s="108" t="s">
        <v>397</v>
      </c>
      <c r="I414" s="109" t="s">
        <v>388</v>
      </c>
      <c r="J414" s="110" t="s">
        <v>388</v>
      </c>
      <c r="K414" s="110" t="s">
        <v>388</v>
      </c>
      <c r="L414" s="110" t="s">
        <v>388</v>
      </c>
      <c r="M414" s="110" t="s">
        <v>388</v>
      </c>
      <c r="N414" s="110" t="s">
        <v>388</v>
      </c>
      <c r="O414" s="111" t="s">
        <v>397</v>
      </c>
      <c r="P414" s="111" t="s">
        <v>397</v>
      </c>
      <c r="Q414" s="111" t="s">
        <v>397</v>
      </c>
      <c r="R414" s="111" t="s">
        <v>388</v>
      </c>
      <c r="S414" s="111" t="s">
        <v>388</v>
      </c>
      <c r="T414" s="113" t="s">
        <v>1307</v>
      </c>
      <c r="U414" s="111" t="s">
        <v>474</v>
      </c>
      <c r="V414" s="114" t="s">
        <v>474</v>
      </c>
      <c r="W414" s="83" t="s">
        <v>399</v>
      </c>
      <c r="X414" s="114" t="s">
        <v>390</v>
      </c>
      <c r="Y414" s="114" t="s">
        <v>511</v>
      </c>
      <c r="Z414" s="114" t="s">
        <v>392</v>
      </c>
      <c r="AA414" t="s">
        <v>401</v>
      </c>
      <c r="AB414" t="s">
        <v>374</v>
      </c>
      <c r="AC414" t="s">
        <v>512</v>
      </c>
      <c r="AE414" t="s">
        <v>342</v>
      </c>
    </row>
    <row r="415" spans="1:31" x14ac:dyDescent="0.25">
      <c r="A415" s="74">
        <v>38941</v>
      </c>
      <c r="B415" s="74" t="s">
        <v>1367</v>
      </c>
      <c r="C415" s="74" t="s">
        <v>1368</v>
      </c>
      <c r="D415" s="108" t="s">
        <v>397</v>
      </c>
      <c r="E415" s="108" t="s">
        <v>388</v>
      </c>
      <c r="F415" s="108" t="s">
        <v>388</v>
      </c>
      <c r="G415" s="108" t="s">
        <v>397</v>
      </c>
      <c r="H415" s="108" t="s">
        <v>397</v>
      </c>
      <c r="I415" s="109" t="s">
        <v>388</v>
      </c>
      <c r="J415" s="110" t="s">
        <v>388</v>
      </c>
      <c r="K415" s="110" t="s">
        <v>388</v>
      </c>
      <c r="L415" s="110" t="s">
        <v>388</v>
      </c>
      <c r="M415" s="110" t="s">
        <v>388</v>
      </c>
      <c r="N415" s="110" t="s">
        <v>388</v>
      </c>
      <c r="O415" s="111" t="s">
        <v>397</v>
      </c>
      <c r="P415" s="111" t="s">
        <v>397</v>
      </c>
      <c r="Q415" s="111" t="s">
        <v>397</v>
      </c>
      <c r="R415" s="111" t="s">
        <v>388</v>
      </c>
      <c r="S415" s="111" t="s">
        <v>397</v>
      </c>
      <c r="T415" s="113" t="s">
        <v>1307</v>
      </c>
      <c r="U415" s="111" t="s">
        <v>474</v>
      </c>
      <c r="V415" s="114" t="s">
        <v>474</v>
      </c>
      <c r="W415" s="83" t="s">
        <v>399</v>
      </c>
      <c r="X415" s="114" t="s">
        <v>390</v>
      </c>
      <c r="Y415" s="114" t="s">
        <v>515</v>
      </c>
      <c r="Z415" s="114" t="s">
        <v>392</v>
      </c>
      <c r="AA415" t="s">
        <v>401</v>
      </c>
      <c r="AB415" t="s">
        <v>374</v>
      </c>
      <c r="AC415" t="s">
        <v>516</v>
      </c>
      <c r="AE415" t="s">
        <v>342</v>
      </c>
    </row>
    <row r="416" spans="1:31" x14ac:dyDescent="0.25">
      <c r="A416" s="74">
        <v>38942</v>
      </c>
      <c r="B416" s="74" t="s">
        <v>1369</v>
      </c>
      <c r="C416" s="74" t="s">
        <v>1370</v>
      </c>
      <c r="D416" s="108" t="s">
        <v>397</v>
      </c>
      <c r="E416" s="108" t="s">
        <v>388</v>
      </c>
      <c r="F416" s="108" t="s">
        <v>388</v>
      </c>
      <c r="G416" s="108" t="s">
        <v>397</v>
      </c>
      <c r="H416" s="108" t="s">
        <v>397</v>
      </c>
      <c r="I416" s="109" t="s">
        <v>388</v>
      </c>
      <c r="J416" s="110" t="s">
        <v>388</v>
      </c>
      <c r="K416" s="110" t="s">
        <v>388</v>
      </c>
      <c r="L416" s="110" t="s">
        <v>388</v>
      </c>
      <c r="M416" s="110" t="s">
        <v>388</v>
      </c>
      <c r="N416" s="110" t="s">
        <v>388</v>
      </c>
      <c r="O416" s="111" t="s">
        <v>397</v>
      </c>
      <c r="P416" s="111" t="s">
        <v>397</v>
      </c>
      <c r="Q416" s="111" t="s">
        <v>397</v>
      </c>
      <c r="R416" s="111" t="s">
        <v>397</v>
      </c>
      <c r="S416" s="111" t="s">
        <v>388</v>
      </c>
      <c r="T416" s="113" t="s">
        <v>1307</v>
      </c>
      <c r="U416" s="111" t="s">
        <v>474</v>
      </c>
      <c r="V416" s="114" t="s">
        <v>474</v>
      </c>
      <c r="W416" s="83" t="s">
        <v>399</v>
      </c>
      <c r="X416" s="114" t="s">
        <v>390</v>
      </c>
      <c r="Y416" s="114" t="s">
        <v>519</v>
      </c>
      <c r="Z416" s="114" t="s">
        <v>392</v>
      </c>
      <c r="AA416" t="s">
        <v>401</v>
      </c>
      <c r="AB416" t="s">
        <v>374</v>
      </c>
      <c r="AC416" t="s">
        <v>520</v>
      </c>
      <c r="AE416" t="s">
        <v>342</v>
      </c>
    </row>
    <row r="417" spans="1:31" x14ac:dyDescent="0.25">
      <c r="A417" s="74">
        <v>38943</v>
      </c>
      <c r="B417" s="74" t="s">
        <v>1371</v>
      </c>
      <c r="C417" s="74" t="s">
        <v>1372</v>
      </c>
      <c r="D417" s="108" t="s">
        <v>397</v>
      </c>
      <c r="E417" s="108" t="s">
        <v>388</v>
      </c>
      <c r="F417" s="108" t="s">
        <v>388</v>
      </c>
      <c r="G417" s="108" t="s">
        <v>397</v>
      </c>
      <c r="H417" s="108" t="s">
        <v>397</v>
      </c>
      <c r="I417" s="109" t="s">
        <v>388</v>
      </c>
      <c r="J417" s="110" t="s">
        <v>388</v>
      </c>
      <c r="K417" s="110" t="s">
        <v>388</v>
      </c>
      <c r="L417" s="110" t="s">
        <v>388</v>
      </c>
      <c r="M417" s="110" t="s">
        <v>388</v>
      </c>
      <c r="N417" s="110" t="s">
        <v>388</v>
      </c>
      <c r="O417" s="111" t="s">
        <v>397</v>
      </c>
      <c r="P417" s="111" t="s">
        <v>397</v>
      </c>
      <c r="Q417" s="111" t="s">
        <v>397</v>
      </c>
      <c r="R417" s="111" t="s">
        <v>397</v>
      </c>
      <c r="S417" s="111" t="s">
        <v>397</v>
      </c>
      <c r="T417" s="113" t="s">
        <v>1307</v>
      </c>
      <c r="U417" s="111" t="s">
        <v>474</v>
      </c>
      <c r="V417" s="114" t="s">
        <v>474</v>
      </c>
      <c r="W417" s="83" t="s">
        <v>399</v>
      </c>
      <c r="X417" s="114" t="s">
        <v>390</v>
      </c>
      <c r="Y417" s="114" t="s">
        <v>523</v>
      </c>
      <c r="Z417" s="114" t="s">
        <v>392</v>
      </c>
      <c r="AA417" t="s">
        <v>401</v>
      </c>
      <c r="AB417" t="s">
        <v>374</v>
      </c>
      <c r="AC417" t="s">
        <v>524</v>
      </c>
      <c r="AE417" t="s">
        <v>342</v>
      </c>
    </row>
    <row r="418" spans="1:31" x14ac:dyDescent="0.25">
      <c r="A418" s="74">
        <v>39904</v>
      </c>
      <c r="B418" s="74" t="s">
        <v>1373</v>
      </c>
      <c r="C418" s="74" t="s">
        <v>1374</v>
      </c>
      <c r="D418" s="108" t="s">
        <v>397</v>
      </c>
      <c r="E418" s="108" t="s">
        <v>388</v>
      </c>
      <c r="F418" s="108" t="s">
        <v>388</v>
      </c>
      <c r="G418" s="108" t="s">
        <v>397</v>
      </c>
      <c r="H418" s="108" t="s">
        <v>397</v>
      </c>
      <c r="I418" s="109" t="s">
        <v>388</v>
      </c>
      <c r="J418" s="110" t="s">
        <v>397</v>
      </c>
      <c r="K418" s="110" t="s">
        <v>397</v>
      </c>
      <c r="L418" s="110" t="s">
        <v>397</v>
      </c>
      <c r="M418" s="110" t="s">
        <v>397</v>
      </c>
      <c r="N418" s="110" t="s">
        <v>397</v>
      </c>
      <c r="O418" s="111" t="s">
        <v>388</v>
      </c>
      <c r="P418" s="111" t="s">
        <v>388</v>
      </c>
      <c r="Q418" s="111" t="s">
        <v>388</v>
      </c>
      <c r="R418" s="111" t="s">
        <v>388</v>
      </c>
      <c r="S418" s="111" t="s">
        <v>388</v>
      </c>
      <c r="T418" s="113" t="s">
        <v>1307</v>
      </c>
      <c r="U418" s="111" t="s">
        <v>474</v>
      </c>
      <c r="V418" s="114" t="s">
        <v>474</v>
      </c>
      <c r="W418" s="83" t="s">
        <v>399</v>
      </c>
      <c r="X418" s="114" t="s">
        <v>523</v>
      </c>
      <c r="Y418" s="114" t="s">
        <v>390</v>
      </c>
      <c r="Z418" s="114" t="s">
        <v>392</v>
      </c>
      <c r="AA418" t="s">
        <v>401</v>
      </c>
      <c r="AB418" t="s">
        <v>374</v>
      </c>
      <c r="AC418" t="s">
        <v>394</v>
      </c>
      <c r="AE418" t="s">
        <v>342</v>
      </c>
    </row>
    <row r="419" spans="1:31" x14ac:dyDescent="0.25">
      <c r="A419" s="74">
        <v>39905</v>
      </c>
      <c r="B419" s="74" t="s">
        <v>1375</v>
      </c>
      <c r="C419" s="74" t="s">
        <v>1376</v>
      </c>
      <c r="D419" s="108" t="s">
        <v>397</v>
      </c>
      <c r="E419" s="108" t="s">
        <v>388</v>
      </c>
      <c r="F419" s="108" t="s">
        <v>388</v>
      </c>
      <c r="G419" s="108" t="s">
        <v>397</v>
      </c>
      <c r="H419" s="108" t="s">
        <v>397</v>
      </c>
      <c r="I419" s="109" t="s">
        <v>388</v>
      </c>
      <c r="J419" s="110" t="s">
        <v>397</v>
      </c>
      <c r="K419" s="110" t="s">
        <v>397</v>
      </c>
      <c r="L419" s="110" t="s">
        <v>397</v>
      </c>
      <c r="M419" s="110" t="s">
        <v>397</v>
      </c>
      <c r="N419" s="110" t="s">
        <v>397</v>
      </c>
      <c r="O419" s="111" t="s">
        <v>388</v>
      </c>
      <c r="P419" s="111" t="s">
        <v>388</v>
      </c>
      <c r="Q419" s="111" t="s">
        <v>388</v>
      </c>
      <c r="R419" s="111" t="s">
        <v>388</v>
      </c>
      <c r="S419" s="111" t="s">
        <v>397</v>
      </c>
      <c r="T419" s="113" t="s">
        <v>1307</v>
      </c>
      <c r="U419" s="111" t="s">
        <v>474</v>
      </c>
      <c r="V419" s="114" t="s">
        <v>474</v>
      </c>
      <c r="W419" s="83" t="s">
        <v>399</v>
      </c>
      <c r="X419" s="114" t="s">
        <v>523</v>
      </c>
      <c r="Y419" s="114" t="s">
        <v>400</v>
      </c>
      <c r="Z419" s="114" t="s">
        <v>392</v>
      </c>
      <c r="AA419" t="s">
        <v>401</v>
      </c>
      <c r="AB419" t="s">
        <v>374</v>
      </c>
      <c r="AC419" t="s">
        <v>402</v>
      </c>
      <c r="AE419" t="s">
        <v>342</v>
      </c>
    </row>
    <row r="420" spans="1:31" x14ac:dyDescent="0.25">
      <c r="A420" s="74">
        <v>39906</v>
      </c>
      <c r="B420" s="74" t="s">
        <v>1377</v>
      </c>
      <c r="C420" s="74" t="s">
        <v>1378</v>
      </c>
      <c r="D420" s="108" t="s">
        <v>397</v>
      </c>
      <c r="E420" s="108" t="s">
        <v>388</v>
      </c>
      <c r="F420" s="108" t="s">
        <v>388</v>
      </c>
      <c r="G420" s="108" t="s">
        <v>397</v>
      </c>
      <c r="H420" s="108" t="s">
        <v>397</v>
      </c>
      <c r="I420" s="109" t="s">
        <v>388</v>
      </c>
      <c r="J420" s="110" t="s">
        <v>397</v>
      </c>
      <c r="K420" s="110" t="s">
        <v>397</v>
      </c>
      <c r="L420" s="110" t="s">
        <v>397</v>
      </c>
      <c r="M420" s="110" t="s">
        <v>397</v>
      </c>
      <c r="N420" s="110" t="s">
        <v>397</v>
      </c>
      <c r="O420" s="111" t="s">
        <v>388</v>
      </c>
      <c r="P420" s="111" t="s">
        <v>388</v>
      </c>
      <c r="Q420" s="111" t="s">
        <v>388</v>
      </c>
      <c r="R420" s="111" t="s">
        <v>397</v>
      </c>
      <c r="S420" s="111" t="s">
        <v>388</v>
      </c>
      <c r="T420" s="113" t="s">
        <v>1307</v>
      </c>
      <c r="U420" s="111" t="s">
        <v>474</v>
      </c>
      <c r="V420" s="114" t="s">
        <v>474</v>
      </c>
      <c r="W420" s="83" t="s">
        <v>399</v>
      </c>
      <c r="X420" s="114" t="s">
        <v>523</v>
      </c>
      <c r="Y420" s="114" t="s">
        <v>405</v>
      </c>
      <c r="Z420" s="114" t="s">
        <v>392</v>
      </c>
      <c r="AA420" t="s">
        <v>401</v>
      </c>
      <c r="AB420" t="s">
        <v>374</v>
      </c>
      <c r="AC420" t="s">
        <v>406</v>
      </c>
      <c r="AE420" t="s">
        <v>342</v>
      </c>
    </row>
    <row r="421" spans="1:31" x14ac:dyDescent="0.25">
      <c r="A421" s="74">
        <v>39907</v>
      </c>
      <c r="B421" s="74" t="s">
        <v>1379</v>
      </c>
      <c r="C421" s="74" t="s">
        <v>1380</v>
      </c>
      <c r="D421" s="108" t="s">
        <v>397</v>
      </c>
      <c r="E421" s="108" t="s">
        <v>388</v>
      </c>
      <c r="F421" s="108" t="s">
        <v>388</v>
      </c>
      <c r="G421" s="108" t="s">
        <v>397</v>
      </c>
      <c r="H421" s="108" t="s">
        <v>397</v>
      </c>
      <c r="I421" s="109" t="s">
        <v>388</v>
      </c>
      <c r="J421" s="110" t="s">
        <v>397</v>
      </c>
      <c r="K421" s="110" t="s">
        <v>397</v>
      </c>
      <c r="L421" s="110" t="s">
        <v>397</v>
      </c>
      <c r="M421" s="110" t="s">
        <v>397</v>
      </c>
      <c r="N421" s="110" t="s">
        <v>397</v>
      </c>
      <c r="O421" s="111" t="s">
        <v>388</v>
      </c>
      <c r="P421" s="111" t="s">
        <v>388</v>
      </c>
      <c r="Q421" s="111" t="s">
        <v>388</v>
      </c>
      <c r="R421" s="111" t="s">
        <v>397</v>
      </c>
      <c r="S421" s="111" t="s">
        <v>397</v>
      </c>
      <c r="T421" s="113" t="s">
        <v>1307</v>
      </c>
      <c r="U421" s="111" t="s">
        <v>474</v>
      </c>
      <c r="V421" s="114" t="s">
        <v>474</v>
      </c>
      <c r="W421" s="83" t="s">
        <v>399</v>
      </c>
      <c r="X421" s="114" t="s">
        <v>523</v>
      </c>
      <c r="Y421" s="114" t="s">
        <v>409</v>
      </c>
      <c r="Z421" s="114" t="s">
        <v>392</v>
      </c>
      <c r="AA421" t="s">
        <v>401</v>
      </c>
      <c r="AB421" t="s">
        <v>374</v>
      </c>
      <c r="AC421" t="s">
        <v>410</v>
      </c>
      <c r="AE421" t="s">
        <v>342</v>
      </c>
    </row>
    <row r="422" spans="1:31" x14ac:dyDescent="0.25">
      <c r="A422" s="74">
        <v>39908</v>
      </c>
      <c r="B422" s="74" t="s">
        <v>1381</v>
      </c>
      <c r="C422" s="74" t="s">
        <v>1382</v>
      </c>
      <c r="D422" s="108" t="s">
        <v>397</v>
      </c>
      <c r="E422" s="108" t="s">
        <v>388</v>
      </c>
      <c r="F422" s="108" t="s">
        <v>388</v>
      </c>
      <c r="G422" s="108" t="s">
        <v>397</v>
      </c>
      <c r="H422" s="108" t="s">
        <v>397</v>
      </c>
      <c r="I422" s="109" t="s">
        <v>388</v>
      </c>
      <c r="J422" s="110" t="s">
        <v>397</v>
      </c>
      <c r="K422" s="110" t="s">
        <v>397</v>
      </c>
      <c r="L422" s="110" t="s">
        <v>397</v>
      </c>
      <c r="M422" s="110" t="s">
        <v>397</v>
      </c>
      <c r="N422" s="110" t="s">
        <v>397</v>
      </c>
      <c r="O422" s="111" t="s">
        <v>388</v>
      </c>
      <c r="P422" s="111" t="s">
        <v>388</v>
      </c>
      <c r="Q422" s="111" t="s">
        <v>397</v>
      </c>
      <c r="R422" s="111" t="s">
        <v>388</v>
      </c>
      <c r="S422" s="111" t="s">
        <v>388</v>
      </c>
      <c r="T422" s="113" t="s">
        <v>1307</v>
      </c>
      <c r="U422" s="111" t="s">
        <v>474</v>
      </c>
      <c r="V422" s="114" t="s">
        <v>474</v>
      </c>
      <c r="W422" s="83" t="s">
        <v>399</v>
      </c>
      <c r="X422" s="114" t="s">
        <v>523</v>
      </c>
      <c r="Y422" s="114" t="s">
        <v>413</v>
      </c>
      <c r="Z422" s="114" t="s">
        <v>392</v>
      </c>
      <c r="AA422" t="s">
        <v>401</v>
      </c>
      <c r="AB422" t="s">
        <v>374</v>
      </c>
      <c r="AC422" t="s">
        <v>414</v>
      </c>
      <c r="AE422" t="s">
        <v>342</v>
      </c>
    </row>
    <row r="423" spans="1:31" x14ac:dyDescent="0.25">
      <c r="A423" s="74">
        <v>39909</v>
      </c>
      <c r="B423" s="74" t="s">
        <v>1383</v>
      </c>
      <c r="C423" s="74" t="s">
        <v>1384</v>
      </c>
      <c r="D423" s="108" t="s">
        <v>397</v>
      </c>
      <c r="E423" s="108" t="s">
        <v>388</v>
      </c>
      <c r="F423" s="108" t="s">
        <v>388</v>
      </c>
      <c r="G423" s="108" t="s">
        <v>397</v>
      </c>
      <c r="H423" s="108" t="s">
        <v>397</v>
      </c>
      <c r="I423" s="109" t="s">
        <v>388</v>
      </c>
      <c r="J423" s="110" t="s">
        <v>397</v>
      </c>
      <c r="K423" s="110" t="s">
        <v>397</v>
      </c>
      <c r="L423" s="110" t="s">
        <v>397</v>
      </c>
      <c r="M423" s="110" t="s">
        <v>397</v>
      </c>
      <c r="N423" s="110" t="s">
        <v>397</v>
      </c>
      <c r="O423" s="111" t="s">
        <v>388</v>
      </c>
      <c r="P423" s="111" t="s">
        <v>388</v>
      </c>
      <c r="Q423" s="111" t="s">
        <v>397</v>
      </c>
      <c r="R423" s="111" t="s">
        <v>388</v>
      </c>
      <c r="S423" s="111" t="s">
        <v>397</v>
      </c>
      <c r="T423" s="113" t="s">
        <v>1307</v>
      </c>
      <c r="U423" s="111" t="s">
        <v>474</v>
      </c>
      <c r="V423" s="114" t="s">
        <v>474</v>
      </c>
      <c r="W423" s="83" t="s">
        <v>399</v>
      </c>
      <c r="X423" s="114" t="s">
        <v>523</v>
      </c>
      <c r="Y423" s="114" t="s">
        <v>417</v>
      </c>
      <c r="Z423" s="114" t="s">
        <v>392</v>
      </c>
      <c r="AA423" t="s">
        <v>401</v>
      </c>
      <c r="AB423" t="s">
        <v>374</v>
      </c>
      <c r="AC423" t="s">
        <v>418</v>
      </c>
      <c r="AE423" t="s">
        <v>342</v>
      </c>
    </row>
    <row r="424" spans="1:31" x14ac:dyDescent="0.25">
      <c r="A424" s="74">
        <v>39910</v>
      </c>
      <c r="B424" s="74" t="s">
        <v>1385</v>
      </c>
      <c r="C424" s="74" t="s">
        <v>1386</v>
      </c>
      <c r="D424" s="108" t="s">
        <v>397</v>
      </c>
      <c r="E424" s="108" t="s">
        <v>388</v>
      </c>
      <c r="F424" s="108" t="s">
        <v>388</v>
      </c>
      <c r="G424" s="108" t="s">
        <v>397</v>
      </c>
      <c r="H424" s="108" t="s">
        <v>397</v>
      </c>
      <c r="I424" s="109" t="s">
        <v>388</v>
      </c>
      <c r="J424" s="110" t="s">
        <v>397</v>
      </c>
      <c r="K424" s="110" t="s">
        <v>397</v>
      </c>
      <c r="L424" s="110" t="s">
        <v>397</v>
      </c>
      <c r="M424" s="110" t="s">
        <v>397</v>
      </c>
      <c r="N424" s="110" t="s">
        <v>397</v>
      </c>
      <c r="O424" s="111" t="s">
        <v>388</v>
      </c>
      <c r="P424" s="111" t="s">
        <v>388</v>
      </c>
      <c r="Q424" s="111" t="s">
        <v>397</v>
      </c>
      <c r="R424" s="111" t="s">
        <v>397</v>
      </c>
      <c r="S424" s="111" t="s">
        <v>388</v>
      </c>
      <c r="T424" s="113" t="s">
        <v>1307</v>
      </c>
      <c r="U424" s="111" t="s">
        <v>474</v>
      </c>
      <c r="V424" s="114" t="s">
        <v>474</v>
      </c>
      <c r="W424" s="83" t="s">
        <v>399</v>
      </c>
      <c r="X424" s="114" t="s">
        <v>523</v>
      </c>
      <c r="Y424" s="114" t="s">
        <v>421</v>
      </c>
      <c r="Z424" s="114" t="s">
        <v>392</v>
      </c>
      <c r="AA424" t="s">
        <v>401</v>
      </c>
      <c r="AB424" t="s">
        <v>374</v>
      </c>
      <c r="AC424" t="s">
        <v>422</v>
      </c>
      <c r="AE424" t="s">
        <v>342</v>
      </c>
    </row>
    <row r="425" spans="1:31" x14ac:dyDescent="0.25">
      <c r="A425" s="74">
        <v>39911</v>
      </c>
      <c r="B425" s="74" t="s">
        <v>1387</v>
      </c>
      <c r="C425" s="74" t="s">
        <v>1388</v>
      </c>
      <c r="D425" s="108" t="s">
        <v>397</v>
      </c>
      <c r="E425" s="108" t="s">
        <v>388</v>
      </c>
      <c r="F425" s="108" t="s">
        <v>388</v>
      </c>
      <c r="G425" s="108" t="s">
        <v>397</v>
      </c>
      <c r="H425" s="108" t="s">
        <v>397</v>
      </c>
      <c r="I425" s="109" t="s">
        <v>388</v>
      </c>
      <c r="J425" s="110" t="s">
        <v>397</v>
      </c>
      <c r="K425" s="110" t="s">
        <v>397</v>
      </c>
      <c r="L425" s="110" t="s">
        <v>397</v>
      </c>
      <c r="M425" s="110" t="s">
        <v>397</v>
      </c>
      <c r="N425" s="110" t="s">
        <v>397</v>
      </c>
      <c r="O425" s="111" t="s">
        <v>388</v>
      </c>
      <c r="P425" s="111" t="s">
        <v>388</v>
      </c>
      <c r="Q425" s="111" t="s">
        <v>397</v>
      </c>
      <c r="R425" s="111" t="s">
        <v>397</v>
      </c>
      <c r="S425" s="111" t="s">
        <v>397</v>
      </c>
      <c r="T425" s="113" t="s">
        <v>1307</v>
      </c>
      <c r="U425" s="111" t="s">
        <v>474</v>
      </c>
      <c r="V425" s="114" t="s">
        <v>474</v>
      </c>
      <c r="W425" s="83" t="s">
        <v>399</v>
      </c>
      <c r="X425" s="114" t="s">
        <v>523</v>
      </c>
      <c r="Y425" s="114" t="s">
        <v>425</v>
      </c>
      <c r="Z425" s="114" t="s">
        <v>392</v>
      </c>
      <c r="AA425" t="s">
        <v>401</v>
      </c>
      <c r="AB425" t="s">
        <v>374</v>
      </c>
      <c r="AC425" t="s">
        <v>426</v>
      </c>
      <c r="AE425" t="s">
        <v>342</v>
      </c>
    </row>
    <row r="426" spans="1:31" x14ac:dyDescent="0.25">
      <c r="A426" s="74">
        <v>39912</v>
      </c>
      <c r="B426" s="74" t="s">
        <v>1389</v>
      </c>
      <c r="C426" s="74" t="s">
        <v>1390</v>
      </c>
      <c r="D426" s="108" t="s">
        <v>397</v>
      </c>
      <c r="E426" s="108" t="s">
        <v>388</v>
      </c>
      <c r="F426" s="108" t="s">
        <v>388</v>
      </c>
      <c r="G426" s="108" t="s">
        <v>397</v>
      </c>
      <c r="H426" s="108" t="s">
        <v>397</v>
      </c>
      <c r="I426" s="109" t="s">
        <v>388</v>
      </c>
      <c r="J426" s="110" t="s">
        <v>397</v>
      </c>
      <c r="K426" s="110" t="s">
        <v>397</v>
      </c>
      <c r="L426" s="110" t="s">
        <v>397</v>
      </c>
      <c r="M426" s="110" t="s">
        <v>397</v>
      </c>
      <c r="N426" s="110" t="s">
        <v>397</v>
      </c>
      <c r="O426" s="111" t="s">
        <v>388</v>
      </c>
      <c r="P426" s="111" t="s">
        <v>397</v>
      </c>
      <c r="Q426" s="111" t="s">
        <v>388</v>
      </c>
      <c r="R426" s="111" t="s">
        <v>388</v>
      </c>
      <c r="S426" s="111" t="s">
        <v>388</v>
      </c>
      <c r="T426" s="113" t="s">
        <v>1307</v>
      </c>
      <c r="U426" s="111" t="s">
        <v>474</v>
      </c>
      <c r="V426" s="114" t="s">
        <v>474</v>
      </c>
      <c r="W426" s="83" t="s">
        <v>399</v>
      </c>
      <c r="X426" s="114" t="s">
        <v>523</v>
      </c>
      <c r="Y426" s="114" t="s">
        <v>429</v>
      </c>
      <c r="Z426" s="114" t="s">
        <v>392</v>
      </c>
      <c r="AA426" t="s">
        <v>401</v>
      </c>
      <c r="AB426" t="s">
        <v>374</v>
      </c>
      <c r="AC426" t="s">
        <v>430</v>
      </c>
      <c r="AE426" t="s">
        <v>342</v>
      </c>
    </row>
    <row r="427" spans="1:31" x14ac:dyDescent="0.25">
      <c r="A427" s="74">
        <v>39913</v>
      </c>
      <c r="B427" s="74" t="s">
        <v>1391</v>
      </c>
      <c r="C427" s="74" t="s">
        <v>1392</v>
      </c>
      <c r="D427" s="108" t="s">
        <v>397</v>
      </c>
      <c r="E427" s="108" t="s">
        <v>388</v>
      </c>
      <c r="F427" s="108" t="s">
        <v>388</v>
      </c>
      <c r="G427" s="108" t="s">
        <v>397</v>
      </c>
      <c r="H427" s="108" t="s">
        <v>397</v>
      </c>
      <c r="I427" s="109" t="s">
        <v>388</v>
      </c>
      <c r="J427" s="110" t="s">
        <v>397</v>
      </c>
      <c r="K427" s="110" t="s">
        <v>397</v>
      </c>
      <c r="L427" s="110" t="s">
        <v>397</v>
      </c>
      <c r="M427" s="110" t="s">
        <v>397</v>
      </c>
      <c r="N427" s="110" t="s">
        <v>397</v>
      </c>
      <c r="O427" s="111" t="s">
        <v>388</v>
      </c>
      <c r="P427" s="111" t="s">
        <v>397</v>
      </c>
      <c r="Q427" s="111" t="s">
        <v>388</v>
      </c>
      <c r="R427" s="111" t="s">
        <v>388</v>
      </c>
      <c r="S427" s="111" t="s">
        <v>397</v>
      </c>
      <c r="T427" s="113" t="s">
        <v>1307</v>
      </c>
      <c r="U427" s="111" t="s">
        <v>474</v>
      </c>
      <c r="V427" s="114" t="s">
        <v>474</v>
      </c>
      <c r="W427" s="83" t="s">
        <v>399</v>
      </c>
      <c r="X427" s="114" t="s">
        <v>523</v>
      </c>
      <c r="Y427" s="114" t="s">
        <v>433</v>
      </c>
      <c r="Z427" s="114" t="s">
        <v>392</v>
      </c>
      <c r="AA427" t="s">
        <v>401</v>
      </c>
      <c r="AB427" t="s">
        <v>374</v>
      </c>
      <c r="AC427" t="s">
        <v>434</v>
      </c>
      <c r="AE427" t="s">
        <v>342</v>
      </c>
    </row>
    <row r="428" spans="1:31" x14ac:dyDescent="0.25">
      <c r="A428" s="74">
        <v>39914</v>
      </c>
      <c r="B428" s="74" t="s">
        <v>1393</v>
      </c>
      <c r="C428" s="74" t="s">
        <v>1394</v>
      </c>
      <c r="D428" s="108" t="s">
        <v>397</v>
      </c>
      <c r="E428" s="108" t="s">
        <v>388</v>
      </c>
      <c r="F428" s="108" t="s">
        <v>388</v>
      </c>
      <c r="G428" s="108" t="s">
        <v>397</v>
      </c>
      <c r="H428" s="108" t="s">
        <v>397</v>
      </c>
      <c r="I428" s="109" t="s">
        <v>388</v>
      </c>
      <c r="J428" s="110" t="s">
        <v>397</v>
      </c>
      <c r="K428" s="110" t="s">
        <v>397</v>
      </c>
      <c r="L428" s="110" t="s">
        <v>397</v>
      </c>
      <c r="M428" s="110" t="s">
        <v>397</v>
      </c>
      <c r="N428" s="110" t="s">
        <v>397</v>
      </c>
      <c r="O428" s="111" t="s">
        <v>388</v>
      </c>
      <c r="P428" s="111" t="s">
        <v>397</v>
      </c>
      <c r="Q428" s="111" t="s">
        <v>388</v>
      </c>
      <c r="R428" s="111" t="s">
        <v>397</v>
      </c>
      <c r="S428" s="111" t="s">
        <v>388</v>
      </c>
      <c r="T428" s="113" t="s">
        <v>1307</v>
      </c>
      <c r="U428" s="111" t="s">
        <v>474</v>
      </c>
      <c r="V428" s="114" t="s">
        <v>474</v>
      </c>
      <c r="W428" s="83" t="s">
        <v>399</v>
      </c>
      <c r="X428" s="114" t="s">
        <v>523</v>
      </c>
      <c r="Y428" s="114" t="s">
        <v>437</v>
      </c>
      <c r="Z428" s="114" t="s">
        <v>392</v>
      </c>
      <c r="AA428" t="s">
        <v>401</v>
      </c>
      <c r="AB428" t="s">
        <v>374</v>
      </c>
      <c r="AC428" t="s">
        <v>438</v>
      </c>
      <c r="AE428" t="s">
        <v>342</v>
      </c>
    </row>
    <row r="429" spans="1:31" x14ac:dyDescent="0.25">
      <c r="A429" s="74">
        <v>39915</v>
      </c>
      <c r="B429" s="74" t="s">
        <v>1395</v>
      </c>
      <c r="C429" s="74" t="s">
        <v>1396</v>
      </c>
      <c r="D429" s="108" t="s">
        <v>397</v>
      </c>
      <c r="E429" s="108" t="s">
        <v>388</v>
      </c>
      <c r="F429" s="108" t="s">
        <v>388</v>
      </c>
      <c r="G429" s="108" t="s">
        <v>397</v>
      </c>
      <c r="H429" s="108" t="s">
        <v>397</v>
      </c>
      <c r="I429" s="109" t="s">
        <v>388</v>
      </c>
      <c r="J429" s="110" t="s">
        <v>397</v>
      </c>
      <c r="K429" s="110" t="s">
        <v>397</v>
      </c>
      <c r="L429" s="110" t="s">
        <v>397</v>
      </c>
      <c r="M429" s="110" t="s">
        <v>397</v>
      </c>
      <c r="N429" s="110" t="s">
        <v>397</v>
      </c>
      <c r="O429" s="111" t="s">
        <v>388</v>
      </c>
      <c r="P429" s="111" t="s">
        <v>397</v>
      </c>
      <c r="Q429" s="111" t="s">
        <v>388</v>
      </c>
      <c r="R429" s="111" t="s">
        <v>397</v>
      </c>
      <c r="S429" s="111" t="s">
        <v>397</v>
      </c>
      <c r="T429" s="113" t="s">
        <v>1307</v>
      </c>
      <c r="U429" s="111" t="s">
        <v>474</v>
      </c>
      <c r="V429" s="114" t="s">
        <v>474</v>
      </c>
      <c r="W429" s="83" t="s">
        <v>399</v>
      </c>
      <c r="X429" s="114" t="s">
        <v>523</v>
      </c>
      <c r="Y429" s="114" t="s">
        <v>441</v>
      </c>
      <c r="Z429" s="114" t="s">
        <v>392</v>
      </c>
      <c r="AA429" t="s">
        <v>401</v>
      </c>
      <c r="AB429" t="s">
        <v>374</v>
      </c>
      <c r="AC429" t="s">
        <v>442</v>
      </c>
      <c r="AE429" t="s">
        <v>342</v>
      </c>
    </row>
    <row r="430" spans="1:31" x14ac:dyDescent="0.25">
      <c r="A430" s="74">
        <v>39916</v>
      </c>
      <c r="B430" s="74" t="s">
        <v>1397</v>
      </c>
      <c r="C430" s="74" t="s">
        <v>1398</v>
      </c>
      <c r="D430" s="108" t="s">
        <v>397</v>
      </c>
      <c r="E430" s="108" t="s">
        <v>388</v>
      </c>
      <c r="F430" s="108" t="s">
        <v>388</v>
      </c>
      <c r="G430" s="108" t="s">
        <v>397</v>
      </c>
      <c r="H430" s="108" t="s">
        <v>397</v>
      </c>
      <c r="I430" s="109" t="s">
        <v>388</v>
      </c>
      <c r="J430" s="110" t="s">
        <v>397</v>
      </c>
      <c r="K430" s="110" t="s">
        <v>397</v>
      </c>
      <c r="L430" s="110" t="s">
        <v>397</v>
      </c>
      <c r="M430" s="110" t="s">
        <v>397</v>
      </c>
      <c r="N430" s="110" t="s">
        <v>397</v>
      </c>
      <c r="O430" s="111" t="s">
        <v>388</v>
      </c>
      <c r="P430" s="111" t="s">
        <v>397</v>
      </c>
      <c r="Q430" s="111" t="s">
        <v>397</v>
      </c>
      <c r="R430" s="111" t="s">
        <v>388</v>
      </c>
      <c r="S430" s="111" t="s">
        <v>388</v>
      </c>
      <c r="T430" s="113" t="s">
        <v>1307</v>
      </c>
      <c r="U430" s="111" t="s">
        <v>474</v>
      </c>
      <c r="V430" s="114" t="s">
        <v>474</v>
      </c>
      <c r="W430" s="83" t="s">
        <v>399</v>
      </c>
      <c r="X430" s="114" t="s">
        <v>523</v>
      </c>
      <c r="Y430" s="114" t="s">
        <v>445</v>
      </c>
      <c r="Z430" s="114" t="s">
        <v>392</v>
      </c>
      <c r="AA430" t="s">
        <v>401</v>
      </c>
      <c r="AB430" t="s">
        <v>374</v>
      </c>
      <c r="AC430" t="s">
        <v>446</v>
      </c>
      <c r="AE430" t="s">
        <v>342</v>
      </c>
    </row>
    <row r="431" spans="1:31" x14ac:dyDescent="0.25">
      <c r="A431" s="74">
        <v>39917</v>
      </c>
      <c r="B431" s="74" t="s">
        <v>1399</v>
      </c>
      <c r="C431" s="74" t="s">
        <v>1400</v>
      </c>
      <c r="D431" s="108" t="s">
        <v>397</v>
      </c>
      <c r="E431" s="108" t="s">
        <v>388</v>
      </c>
      <c r="F431" s="108" t="s">
        <v>388</v>
      </c>
      <c r="G431" s="108" t="s">
        <v>397</v>
      </c>
      <c r="H431" s="108" t="s">
        <v>397</v>
      </c>
      <c r="I431" s="109" t="s">
        <v>388</v>
      </c>
      <c r="J431" s="110" t="s">
        <v>397</v>
      </c>
      <c r="K431" s="110" t="s">
        <v>397</v>
      </c>
      <c r="L431" s="110" t="s">
        <v>397</v>
      </c>
      <c r="M431" s="110" t="s">
        <v>397</v>
      </c>
      <c r="N431" s="110" t="s">
        <v>397</v>
      </c>
      <c r="O431" s="111" t="s">
        <v>388</v>
      </c>
      <c r="P431" s="111" t="s">
        <v>397</v>
      </c>
      <c r="Q431" s="111" t="s">
        <v>397</v>
      </c>
      <c r="R431" s="111" t="s">
        <v>388</v>
      </c>
      <c r="S431" s="111" t="s">
        <v>397</v>
      </c>
      <c r="T431" s="113" t="s">
        <v>1307</v>
      </c>
      <c r="U431" s="111" t="s">
        <v>474</v>
      </c>
      <c r="V431" s="114" t="s">
        <v>474</v>
      </c>
      <c r="W431" s="83" t="s">
        <v>399</v>
      </c>
      <c r="X431" s="114" t="s">
        <v>523</v>
      </c>
      <c r="Y431" s="114" t="s">
        <v>449</v>
      </c>
      <c r="Z431" s="114" t="s">
        <v>392</v>
      </c>
      <c r="AA431" t="s">
        <v>401</v>
      </c>
      <c r="AB431" t="s">
        <v>374</v>
      </c>
      <c r="AC431" t="s">
        <v>450</v>
      </c>
      <c r="AE431" t="s">
        <v>342</v>
      </c>
    </row>
    <row r="432" spans="1:31" x14ac:dyDescent="0.25">
      <c r="A432" s="74">
        <v>39918</v>
      </c>
      <c r="B432" s="74" t="s">
        <v>1401</v>
      </c>
      <c r="C432" s="74" t="s">
        <v>1402</v>
      </c>
      <c r="D432" s="108" t="s">
        <v>397</v>
      </c>
      <c r="E432" s="108" t="s">
        <v>388</v>
      </c>
      <c r="F432" s="108" t="s">
        <v>388</v>
      </c>
      <c r="G432" s="108" t="s">
        <v>397</v>
      </c>
      <c r="H432" s="108" t="s">
        <v>397</v>
      </c>
      <c r="I432" s="109" t="s">
        <v>388</v>
      </c>
      <c r="J432" s="110" t="s">
        <v>397</v>
      </c>
      <c r="K432" s="110" t="s">
        <v>397</v>
      </c>
      <c r="L432" s="110" t="s">
        <v>397</v>
      </c>
      <c r="M432" s="110" t="s">
        <v>397</v>
      </c>
      <c r="N432" s="110" t="s">
        <v>397</v>
      </c>
      <c r="O432" s="111" t="s">
        <v>388</v>
      </c>
      <c r="P432" s="111" t="s">
        <v>397</v>
      </c>
      <c r="Q432" s="111" t="s">
        <v>397</v>
      </c>
      <c r="R432" s="111" t="s">
        <v>397</v>
      </c>
      <c r="S432" s="111" t="s">
        <v>388</v>
      </c>
      <c r="T432" s="113" t="s">
        <v>1307</v>
      </c>
      <c r="U432" s="111" t="s">
        <v>474</v>
      </c>
      <c r="V432" s="114" t="s">
        <v>474</v>
      </c>
      <c r="W432" s="83" t="s">
        <v>399</v>
      </c>
      <c r="X432" s="114" t="s">
        <v>523</v>
      </c>
      <c r="Y432" s="114" t="s">
        <v>453</v>
      </c>
      <c r="Z432" s="114" t="s">
        <v>392</v>
      </c>
      <c r="AA432" t="s">
        <v>401</v>
      </c>
      <c r="AB432" t="s">
        <v>374</v>
      </c>
      <c r="AC432" t="s">
        <v>454</v>
      </c>
      <c r="AE432" t="s">
        <v>342</v>
      </c>
    </row>
    <row r="433" spans="1:31" x14ac:dyDescent="0.25">
      <c r="A433" s="74">
        <v>39919</v>
      </c>
      <c r="B433" s="74" t="s">
        <v>1403</v>
      </c>
      <c r="C433" s="74" t="s">
        <v>1404</v>
      </c>
      <c r="D433" s="108" t="s">
        <v>397</v>
      </c>
      <c r="E433" s="108" t="s">
        <v>388</v>
      </c>
      <c r="F433" s="108" t="s">
        <v>388</v>
      </c>
      <c r="G433" s="108" t="s">
        <v>397</v>
      </c>
      <c r="H433" s="108" t="s">
        <v>397</v>
      </c>
      <c r="I433" s="109" t="s">
        <v>388</v>
      </c>
      <c r="J433" s="110" t="s">
        <v>397</v>
      </c>
      <c r="K433" s="110" t="s">
        <v>397</v>
      </c>
      <c r="L433" s="110" t="s">
        <v>397</v>
      </c>
      <c r="M433" s="110" t="s">
        <v>397</v>
      </c>
      <c r="N433" s="110" t="s">
        <v>397</v>
      </c>
      <c r="O433" s="111" t="s">
        <v>388</v>
      </c>
      <c r="P433" s="111" t="s">
        <v>397</v>
      </c>
      <c r="Q433" s="111" t="s">
        <v>397</v>
      </c>
      <c r="R433" s="111" t="s">
        <v>397</v>
      </c>
      <c r="S433" s="111" t="s">
        <v>397</v>
      </c>
      <c r="T433" s="113" t="s">
        <v>1307</v>
      </c>
      <c r="U433" s="111" t="s">
        <v>474</v>
      </c>
      <c r="V433" s="114" t="s">
        <v>474</v>
      </c>
      <c r="W433" s="83" t="s">
        <v>399</v>
      </c>
      <c r="X433" s="114" t="s">
        <v>523</v>
      </c>
      <c r="Y433" s="114" t="s">
        <v>457</v>
      </c>
      <c r="Z433" s="114" t="s">
        <v>392</v>
      </c>
      <c r="AA433" t="s">
        <v>401</v>
      </c>
      <c r="AB433" t="s">
        <v>374</v>
      </c>
      <c r="AC433" t="s">
        <v>458</v>
      </c>
      <c r="AE433" t="s">
        <v>342</v>
      </c>
    </row>
    <row r="434" spans="1:31" x14ac:dyDescent="0.25">
      <c r="A434" s="74">
        <v>39920</v>
      </c>
      <c r="B434" s="74" t="s">
        <v>1405</v>
      </c>
      <c r="C434" s="74" t="s">
        <v>1406</v>
      </c>
      <c r="D434" s="108" t="s">
        <v>397</v>
      </c>
      <c r="E434" s="108" t="s">
        <v>388</v>
      </c>
      <c r="F434" s="108" t="s">
        <v>388</v>
      </c>
      <c r="G434" s="108" t="s">
        <v>397</v>
      </c>
      <c r="H434" s="108" t="s">
        <v>397</v>
      </c>
      <c r="I434" s="109" t="s">
        <v>388</v>
      </c>
      <c r="J434" s="110" t="s">
        <v>397</v>
      </c>
      <c r="K434" s="110" t="s">
        <v>397</v>
      </c>
      <c r="L434" s="110" t="s">
        <v>397</v>
      </c>
      <c r="M434" s="110" t="s">
        <v>397</v>
      </c>
      <c r="N434" s="110" t="s">
        <v>397</v>
      </c>
      <c r="O434" s="111" t="s">
        <v>397</v>
      </c>
      <c r="P434" s="111" t="s">
        <v>388</v>
      </c>
      <c r="Q434" s="111" t="s">
        <v>388</v>
      </c>
      <c r="R434" s="111" t="s">
        <v>388</v>
      </c>
      <c r="S434" s="111" t="s">
        <v>388</v>
      </c>
      <c r="T434" s="113" t="s">
        <v>1307</v>
      </c>
      <c r="U434" s="111" t="s">
        <v>474</v>
      </c>
      <c r="V434" s="114" t="s">
        <v>474</v>
      </c>
      <c r="W434" s="83" t="s">
        <v>399</v>
      </c>
      <c r="X434" s="114" t="s">
        <v>523</v>
      </c>
      <c r="Y434" s="114" t="s">
        <v>461</v>
      </c>
      <c r="Z434" s="114" t="s">
        <v>392</v>
      </c>
      <c r="AA434" t="s">
        <v>401</v>
      </c>
      <c r="AB434" t="s">
        <v>374</v>
      </c>
      <c r="AC434" t="s">
        <v>462</v>
      </c>
      <c r="AE434" t="s">
        <v>342</v>
      </c>
    </row>
    <row r="435" spans="1:31" x14ac:dyDescent="0.25">
      <c r="A435" s="74">
        <v>39921</v>
      </c>
      <c r="B435" s="74" t="s">
        <v>1407</v>
      </c>
      <c r="C435" s="74" t="s">
        <v>1408</v>
      </c>
      <c r="D435" s="108" t="s">
        <v>397</v>
      </c>
      <c r="E435" s="108" t="s">
        <v>388</v>
      </c>
      <c r="F435" s="108" t="s">
        <v>388</v>
      </c>
      <c r="G435" s="108" t="s">
        <v>397</v>
      </c>
      <c r="H435" s="108" t="s">
        <v>397</v>
      </c>
      <c r="I435" s="109" t="s">
        <v>388</v>
      </c>
      <c r="J435" s="110" t="s">
        <v>397</v>
      </c>
      <c r="K435" s="110" t="s">
        <v>397</v>
      </c>
      <c r="L435" s="110" t="s">
        <v>397</v>
      </c>
      <c r="M435" s="110" t="s">
        <v>397</v>
      </c>
      <c r="N435" s="110" t="s">
        <v>397</v>
      </c>
      <c r="O435" s="111" t="s">
        <v>397</v>
      </c>
      <c r="P435" s="111" t="s">
        <v>388</v>
      </c>
      <c r="Q435" s="111" t="s">
        <v>388</v>
      </c>
      <c r="R435" s="111" t="s">
        <v>388</v>
      </c>
      <c r="S435" s="111" t="s">
        <v>397</v>
      </c>
      <c r="T435" s="113" t="s">
        <v>1342</v>
      </c>
      <c r="U435" s="111" t="s">
        <v>474</v>
      </c>
      <c r="V435" s="114" t="s">
        <v>474</v>
      </c>
      <c r="W435" s="83" t="s">
        <v>399</v>
      </c>
      <c r="X435" s="114" t="s">
        <v>523</v>
      </c>
      <c r="Y435" s="114" t="s">
        <v>466</v>
      </c>
      <c r="Z435" s="114" t="s">
        <v>392</v>
      </c>
      <c r="AA435" t="s">
        <v>401</v>
      </c>
      <c r="AB435" t="s">
        <v>114</v>
      </c>
      <c r="AC435" t="s">
        <v>467</v>
      </c>
      <c r="AE435" t="s">
        <v>342</v>
      </c>
    </row>
    <row r="436" spans="1:31" x14ac:dyDescent="0.25">
      <c r="A436" s="74">
        <v>39922</v>
      </c>
      <c r="B436" s="74" t="s">
        <v>1409</v>
      </c>
      <c r="C436" s="74" t="s">
        <v>1410</v>
      </c>
      <c r="D436" s="108" t="s">
        <v>397</v>
      </c>
      <c r="E436" s="108" t="s">
        <v>388</v>
      </c>
      <c r="F436" s="108" t="s">
        <v>388</v>
      </c>
      <c r="G436" s="108" t="s">
        <v>397</v>
      </c>
      <c r="H436" s="108" t="s">
        <v>397</v>
      </c>
      <c r="I436" s="109" t="s">
        <v>388</v>
      </c>
      <c r="J436" s="110" t="s">
        <v>397</v>
      </c>
      <c r="K436" s="110" t="s">
        <v>397</v>
      </c>
      <c r="L436" s="110" t="s">
        <v>397</v>
      </c>
      <c r="M436" s="110" t="s">
        <v>397</v>
      </c>
      <c r="N436" s="110" t="s">
        <v>397</v>
      </c>
      <c r="O436" s="111" t="s">
        <v>397</v>
      </c>
      <c r="P436" s="111" t="s">
        <v>388</v>
      </c>
      <c r="Q436" s="111" t="s">
        <v>388</v>
      </c>
      <c r="R436" s="111" t="s">
        <v>397</v>
      </c>
      <c r="S436" s="111" t="s">
        <v>388</v>
      </c>
      <c r="T436" s="113" t="s">
        <v>1307</v>
      </c>
      <c r="U436" s="111" t="s">
        <v>474</v>
      </c>
      <c r="V436" s="114" t="s">
        <v>474</v>
      </c>
      <c r="W436" s="83" t="s">
        <v>399</v>
      </c>
      <c r="X436" s="114" t="s">
        <v>523</v>
      </c>
      <c r="Y436" s="114" t="s">
        <v>470</v>
      </c>
      <c r="Z436" s="114" t="s">
        <v>392</v>
      </c>
      <c r="AA436" t="s">
        <v>401</v>
      </c>
      <c r="AB436" t="s">
        <v>374</v>
      </c>
      <c r="AC436" t="s">
        <v>471</v>
      </c>
      <c r="AE436" t="s">
        <v>342</v>
      </c>
    </row>
    <row r="437" spans="1:31" x14ac:dyDescent="0.25">
      <c r="A437" s="74">
        <v>39923</v>
      </c>
      <c r="B437" s="74" t="s">
        <v>1411</v>
      </c>
      <c r="C437" s="74" t="s">
        <v>1412</v>
      </c>
      <c r="D437" s="108" t="s">
        <v>397</v>
      </c>
      <c r="E437" s="108" t="s">
        <v>388</v>
      </c>
      <c r="F437" s="108" t="s">
        <v>388</v>
      </c>
      <c r="G437" s="108" t="s">
        <v>397</v>
      </c>
      <c r="H437" s="108" t="s">
        <v>397</v>
      </c>
      <c r="I437" s="109" t="s">
        <v>388</v>
      </c>
      <c r="J437" s="110" t="s">
        <v>397</v>
      </c>
      <c r="K437" s="110" t="s">
        <v>397</v>
      </c>
      <c r="L437" s="110" t="s">
        <v>397</v>
      </c>
      <c r="M437" s="110" t="s">
        <v>397</v>
      </c>
      <c r="N437" s="110" t="s">
        <v>397</v>
      </c>
      <c r="O437" s="111" t="s">
        <v>397</v>
      </c>
      <c r="P437" s="111" t="s">
        <v>388</v>
      </c>
      <c r="Q437" s="111" t="s">
        <v>388</v>
      </c>
      <c r="R437" s="111" t="s">
        <v>397</v>
      </c>
      <c r="S437" s="111" t="s">
        <v>397</v>
      </c>
      <c r="T437" s="113" t="s">
        <v>1307</v>
      </c>
      <c r="U437" s="111" t="s">
        <v>474</v>
      </c>
      <c r="V437" s="114" t="s">
        <v>474</v>
      </c>
      <c r="W437" s="83" t="s">
        <v>399</v>
      </c>
      <c r="X437" s="114" t="s">
        <v>523</v>
      </c>
      <c r="Y437" s="114" t="s">
        <v>474</v>
      </c>
      <c r="Z437" s="114" t="s">
        <v>392</v>
      </c>
      <c r="AA437" t="s">
        <v>401</v>
      </c>
      <c r="AB437" t="s">
        <v>374</v>
      </c>
      <c r="AC437" t="s">
        <v>475</v>
      </c>
      <c r="AE437" t="s">
        <v>342</v>
      </c>
    </row>
    <row r="438" spans="1:31" x14ac:dyDescent="0.25">
      <c r="A438" s="74">
        <v>39924</v>
      </c>
      <c r="B438" s="74" t="s">
        <v>1413</v>
      </c>
      <c r="C438" s="74" t="s">
        <v>1414</v>
      </c>
      <c r="D438" s="108" t="s">
        <v>397</v>
      </c>
      <c r="E438" s="108" t="s">
        <v>388</v>
      </c>
      <c r="F438" s="108" t="s">
        <v>388</v>
      </c>
      <c r="G438" s="108" t="s">
        <v>397</v>
      </c>
      <c r="H438" s="108" t="s">
        <v>397</v>
      </c>
      <c r="I438" s="109" t="s">
        <v>388</v>
      </c>
      <c r="J438" s="110" t="s">
        <v>397</v>
      </c>
      <c r="K438" s="110" t="s">
        <v>397</v>
      </c>
      <c r="L438" s="110" t="s">
        <v>397</v>
      </c>
      <c r="M438" s="110" t="s">
        <v>397</v>
      </c>
      <c r="N438" s="110" t="s">
        <v>397</v>
      </c>
      <c r="O438" s="111" t="s">
        <v>397</v>
      </c>
      <c r="P438" s="111" t="s">
        <v>388</v>
      </c>
      <c r="Q438" s="111" t="s">
        <v>397</v>
      </c>
      <c r="R438" s="111" t="s">
        <v>388</v>
      </c>
      <c r="S438" s="111" t="s">
        <v>388</v>
      </c>
      <c r="T438" s="113" t="s">
        <v>1349</v>
      </c>
      <c r="U438" s="111" t="s">
        <v>474</v>
      </c>
      <c r="V438" s="114" t="s">
        <v>474</v>
      </c>
      <c r="W438" s="83" t="s">
        <v>399</v>
      </c>
      <c r="X438" s="114" t="s">
        <v>523</v>
      </c>
      <c r="Y438" s="114" t="s">
        <v>479</v>
      </c>
      <c r="Z438" s="114" t="s">
        <v>392</v>
      </c>
      <c r="AA438" t="s">
        <v>401</v>
      </c>
      <c r="AB438" t="s">
        <v>372</v>
      </c>
      <c r="AC438" t="s">
        <v>386</v>
      </c>
      <c r="AE438" t="s">
        <v>342</v>
      </c>
    </row>
    <row r="439" spans="1:31" x14ac:dyDescent="0.25">
      <c r="A439" s="74">
        <v>39925</v>
      </c>
      <c r="B439" s="74" t="s">
        <v>1415</v>
      </c>
      <c r="C439" s="74" t="s">
        <v>1416</v>
      </c>
      <c r="D439" s="108" t="s">
        <v>397</v>
      </c>
      <c r="E439" s="108" t="s">
        <v>388</v>
      </c>
      <c r="F439" s="108" t="s">
        <v>388</v>
      </c>
      <c r="G439" s="108" t="s">
        <v>397</v>
      </c>
      <c r="H439" s="108" t="s">
        <v>397</v>
      </c>
      <c r="I439" s="109" t="s">
        <v>388</v>
      </c>
      <c r="J439" s="110" t="s">
        <v>397</v>
      </c>
      <c r="K439" s="110" t="s">
        <v>397</v>
      </c>
      <c r="L439" s="110" t="s">
        <v>397</v>
      </c>
      <c r="M439" s="110" t="s">
        <v>397</v>
      </c>
      <c r="N439" s="110" t="s">
        <v>397</v>
      </c>
      <c r="O439" s="111" t="s">
        <v>397</v>
      </c>
      <c r="P439" s="111" t="s">
        <v>388</v>
      </c>
      <c r="Q439" s="111" t="s">
        <v>397</v>
      </c>
      <c r="R439" s="111" t="s">
        <v>388</v>
      </c>
      <c r="S439" s="111" t="s">
        <v>397</v>
      </c>
      <c r="T439" s="113" t="s">
        <v>1352</v>
      </c>
      <c r="U439" s="111" t="s">
        <v>474</v>
      </c>
      <c r="V439" s="114" t="s">
        <v>474</v>
      </c>
      <c r="W439" s="83" t="s">
        <v>399</v>
      </c>
      <c r="X439" s="114" t="s">
        <v>523</v>
      </c>
      <c r="Y439" s="114" t="s">
        <v>483</v>
      </c>
      <c r="Z439" s="114" t="s">
        <v>392</v>
      </c>
      <c r="AA439" t="s">
        <v>401</v>
      </c>
      <c r="AB439" t="s">
        <v>373</v>
      </c>
      <c r="AC439" t="s">
        <v>484</v>
      </c>
      <c r="AE439" t="s">
        <v>342</v>
      </c>
    </row>
    <row r="440" spans="1:31" x14ac:dyDescent="0.25">
      <c r="A440" s="74">
        <v>39926</v>
      </c>
      <c r="B440" s="74" t="s">
        <v>1417</v>
      </c>
      <c r="C440" s="74" t="s">
        <v>1418</v>
      </c>
      <c r="D440" s="108" t="s">
        <v>397</v>
      </c>
      <c r="E440" s="108" t="s">
        <v>388</v>
      </c>
      <c r="F440" s="108" t="s">
        <v>388</v>
      </c>
      <c r="G440" s="108" t="s">
        <v>397</v>
      </c>
      <c r="H440" s="108" t="s">
        <v>397</v>
      </c>
      <c r="I440" s="109" t="s">
        <v>388</v>
      </c>
      <c r="J440" s="110" t="s">
        <v>397</v>
      </c>
      <c r="K440" s="110" t="s">
        <v>397</v>
      </c>
      <c r="L440" s="110" t="s">
        <v>397</v>
      </c>
      <c r="M440" s="110" t="s">
        <v>397</v>
      </c>
      <c r="N440" s="110" t="s">
        <v>397</v>
      </c>
      <c r="O440" s="111" t="s">
        <v>397</v>
      </c>
      <c r="P440" s="111" t="s">
        <v>388</v>
      </c>
      <c r="Q440" s="111" t="s">
        <v>397</v>
      </c>
      <c r="R440" s="111" t="s">
        <v>397</v>
      </c>
      <c r="S440" s="111" t="s">
        <v>388</v>
      </c>
      <c r="T440" s="113" t="s">
        <v>1307</v>
      </c>
      <c r="U440" s="111" t="s">
        <v>474</v>
      </c>
      <c r="V440" s="114" t="s">
        <v>474</v>
      </c>
      <c r="W440" s="83" t="s">
        <v>399</v>
      </c>
      <c r="X440" s="114" t="s">
        <v>523</v>
      </c>
      <c r="Y440" s="114" t="s">
        <v>487</v>
      </c>
      <c r="Z440" s="114" t="s">
        <v>392</v>
      </c>
      <c r="AA440" t="s">
        <v>401</v>
      </c>
      <c r="AB440" t="s">
        <v>374</v>
      </c>
      <c r="AC440" t="s">
        <v>488</v>
      </c>
      <c r="AE440" t="s">
        <v>342</v>
      </c>
    </row>
    <row r="441" spans="1:31" x14ac:dyDescent="0.25">
      <c r="A441" s="74">
        <v>39927</v>
      </c>
      <c r="B441" s="74" t="s">
        <v>1419</v>
      </c>
      <c r="C441" s="74" t="s">
        <v>1420</v>
      </c>
      <c r="D441" s="108" t="s">
        <v>397</v>
      </c>
      <c r="E441" s="108" t="s">
        <v>388</v>
      </c>
      <c r="F441" s="108" t="s">
        <v>388</v>
      </c>
      <c r="G441" s="108" t="s">
        <v>397</v>
      </c>
      <c r="H441" s="108" t="s">
        <v>397</v>
      </c>
      <c r="I441" s="109" t="s">
        <v>388</v>
      </c>
      <c r="J441" s="110" t="s">
        <v>397</v>
      </c>
      <c r="K441" s="110" t="s">
        <v>397</v>
      </c>
      <c r="L441" s="110" t="s">
        <v>397</v>
      </c>
      <c r="M441" s="110" t="s">
        <v>397</v>
      </c>
      <c r="N441" s="110" t="s">
        <v>397</v>
      </c>
      <c r="O441" s="111" t="s">
        <v>397</v>
      </c>
      <c r="P441" s="111" t="s">
        <v>388</v>
      </c>
      <c r="Q441" s="111" t="s">
        <v>397</v>
      </c>
      <c r="R441" s="111" t="s">
        <v>397</v>
      </c>
      <c r="S441" s="111" t="s">
        <v>397</v>
      </c>
      <c r="T441" s="113" t="s">
        <v>1307</v>
      </c>
      <c r="U441" s="111" t="s">
        <v>474</v>
      </c>
      <c r="V441" s="114" t="s">
        <v>474</v>
      </c>
      <c r="W441" s="83" t="s">
        <v>399</v>
      </c>
      <c r="X441" s="114" t="s">
        <v>523</v>
      </c>
      <c r="Y441" s="114" t="s">
        <v>491</v>
      </c>
      <c r="Z441" s="114" t="s">
        <v>392</v>
      </c>
      <c r="AA441" t="s">
        <v>401</v>
      </c>
      <c r="AB441" t="s">
        <v>374</v>
      </c>
      <c r="AC441" t="s">
        <v>492</v>
      </c>
      <c r="AE441" t="s">
        <v>342</v>
      </c>
    </row>
    <row r="442" spans="1:31" x14ac:dyDescent="0.25">
      <c r="A442" s="74">
        <v>39928</v>
      </c>
      <c r="B442" s="74" t="s">
        <v>1421</v>
      </c>
      <c r="C442" s="74" t="s">
        <v>1422</v>
      </c>
      <c r="D442" s="108" t="s">
        <v>397</v>
      </c>
      <c r="E442" s="108" t="s">
        <v>388</v>
      </c>
      <c r="F442" s="108" t="s">
        <v>388</v>
      </c>
      <c r="G442" s="108" t="s">
        <v>397</v>
      </c>
      <c r="H442" s="108" t="s">
        <v>397</v>
      </c>
      <c r="I442" s="109" t="s">
        <v>388</v>
      </c>
      <c r="J442" s="110" t="s">
        <v>397</v>
      </c>
      <c r="K442" s="110" t="s">
        <v>397</v>
      </c>
      <c r="L442" s="110" t="s">
        <v>397</v>
      </c>
      <c r="M442" s="110" t="s">
        <v>397</v>
      </c>
      <c r="N442" s="110" t="s">
        <v>397</v>
      </c>
      <c r="O442" s="111" t="s">
        <v>397</v>
      </c>
      <c r="P442" s="111" t="s">
        <v>397</v>
      </c>
      <c r="Q442" s="111" t="s">
        <v>388</v>
      </c>
      <c r="R442" s="111" t="s">
        <v>388</v>
      </c>
      <c r="S442" s="111" t="s">
        <v>388</v>
      </c>
      <c r="T442" s="113" t="s">
        <v>1307</v>
      </c>
      <c r="U442" s="111" t="s">
        <v>474</v>
      </c>
      <c r="V442" s="114" t="s">
        <v>474</v>
      </c>
      <c r="W442" s="83" t="s">
        <v>399</v>
      </c>
      <c r="X442" s="114" t="s">
        <v>523</v>
      </c>
      <c r="Y442" s="114" t="s">
        <v>495</v>
      </c>
      <c r="Z442" s="114" t="s">
        <v>392</v>
      </c>
      <c r="AA442" t="s">
        <v>401</v>
      </c>
      <c r="AB442" t="s">
        <v>374</v>
      </c>
      <c r="AC442" t="s">
        <v>496</v>
      </c>
      <c r="AE442" t="s">
        <v>342</v>
      </c>
    </row>
    <row r="443" spans="1:31" x14ac:dyDescent="0.25">
      <c r="A443" s="74">
        <v>39929</v>
      </c>
      <c r="B443" s="74" t="s">
        <v>1423</v>
      </c>
      <c r="C443" s="74" t="s">
        <v>1424</v>
      </c>
      <c r="D443" s="108" t="s">
        <v>397</v>
      </c>
      <c r="E443" s="108" t="s">
        <v>388</v>
      </c>
      <c r="F443" s="108" t="s">
        <v>388</v>
      </c>
      <c r="G443" s="108" t="s">
        <v>397</v>
      </c>
      <c r="H443" s="108" t="s">
        <v>397</v>
      </c>
      <c r="I443" s="109" t="s">
        <v>388</v>
      </c>
      <c r="J443" s="110" t="s">
        <v>397</v>
      </c>
      <c r="K443" s="110" t="s">
        <v>397</v>
      </c>
      <c r="L443" s="110" t="s">
        <v>397</v>
      </c>
      <c r="M443" s="110" t="s">
        <v>397</v>
      </c>
      <c r="N443" s="110" t="s">
        <v>397</v>
      </c>
      <c r="O443" s="111" t="s">
        <v>397</v>
      </c>
      <c r="P443" s="111" t="s">
        <v>397</v>
      </c>
      <c r="Q443" s="111" t="s">
        <v>388</v>
      </c>
      <c r="R443" s="111" t="s">
        <v>388</v>
      </c>
      <c r="S443" s="111" t="s">
        <v>397</v>
      </c>
      <c r="T443" s="113" t="s">
        <v>1307</v>
      </c>
      <c r="U443" s="111" t="s">
        <v>474</v>
      </c>
      <c r="V443" s="114" t="s">
        <v>474</v>
      </c>
      <c r="W443" s="83" t="s">
        <v>399</v>
      </c>
      <c r="X443" s="114" t="s">
        <v>523</v>
      </c>
      <c r="Y443" s="114" t="s">
        <v>499</v>
      </c>
      <c r="Z443" s="114" t="s">
        <v>392</v>
      </c>
      <c r="AA443" t="s">
        <v>401</v>
      </c>
      <c r="AB443" t="s">
        <v>374</v>
      </c>
      <c r="AC443" t="s">
        <v>500</v>
      </c>
      <c r="AE443" t="s">
        <v>342</v>
      </c>
    </row>
    <row r="444" spans="1:31" x14ac:dyDescent="0.25">
      <c r="A444" s="74">
        <v>39930</v>
      </c>
      <c r="B444" s="74" t="s">
        <v>1425</v>
      </c>
      <c r="C444" s="74" t="s">
        <v>1426</v>
      </c>
      <c r="D444" s="108" t="s">
        <v>397</v>
      </c>
      <c r="E444" s="108" t="s">
        <v>388</v>
      </c>
      <c r="F444" s="108" t="s">
        <v>388</v>
      </c>
      <c r="G444" s="108" t="s">
        <v>397</v>
      </c>
      <c r="H444" s="108" t="s">
        <v>397</v>
      </c>
      <c r="I444" s="109" t="s">
        <v>388</v>
      </c>
      <c r="J444" s="110" t="s">
        <v>397</v>
      </c>
      <c r="K444" s="110" t="s">
        <v>397</v>
      </c>
      <c r="L444" s="110" t="s">
        <v>397</v>
      </c>
      <c r="M444" s="110" t="s">
        <v>397</v>
      </c>
      <c r="N444" s="110" t="s">
        <v>397</v>
      </c>
      <c r="O444" s="111" t="s">
        <v>397</v>
      </c>
      <c r="P444" s="111" t="s">
        <v>397</v>
      </c>
      <c r="Q444" s="111" t="s">
        <v>388</v>
      </c>
      <c r="R444" s="111" t="s">
        <v>397</v>
      </c>
      <c r="S444" s="111" t="s">
        <v>388</v>
      </c>
      <c r="T444" s="113" t="s">
        <v>1307</v>
      </c>
      <c r="U444" s="111" t="s">
        <v>474</v>
      </c>
      <c r="V444" s="114" t="s">
        <v>474</v>
      </c>
      <c r="W444" s="83" t="s">
        <v>399</v>
      </c>
      <c r="X444" s="114" t="s">
        <v>523</v>
      </c>
      <c r="Y444" s="114" t="s">
        <v>503</v>
      </c>
      <c r="Z444" s="114" t="s">
        <v>392</v>
      </c>
      <c r="AA444" t="s">
        <v>401</v>
      </c>
      <c r="AB444" t="s">
        <v>374</v>
      </c>
      <c r="AC444" t="s">
        <v>504</v>
      </c>
      <c r="AE444" t="s">
        <v>342</v>
      </c>
    </row>
    <row r="445" spans="1:31" x14ac:dyDescent="0.25">
      <c r="A445" s="74">
        <v>39931</v>
      </c>
      <c r="B445" s="74" t="s">
        <v>1427</v>
      </c>
      <c r="C445" s="74" t="s">
        <v>1428</v>
      </c>
      <c r="D445" s="108" t="s">
        <v>397</v>
      </c>
      <c r="E445" s="108" t="s">
        <v>388</v>
      </c>
      <c r="F445" s="108" t="s">
        <v>388</v>
      </c>
      <c r="G445" s="108" t="s">
        <v>397</v>
      </c>
      <c r="H445" s="108" t="s">
        <v>397</v>
      </c>
      <c r="I445" s="109" t="s">
        <v>388</v>
      </c>
      <c r="J445" s="110" t="s">
        <v>397</v>
      </c>
      <c r="K445" s="110" t="s">
        <v>397</v>
      </c>
      <c r="L445" s="110" t="s">
        <v>397</v>
      </c>
      <c r="M445" s="110" t="s">
        <v>397</v>
      </c>
      <c r="N445" s="110" t="s">
        <v>397</v>
      </c>
      <c r="O445" s="111" t="s">
        <v>397</v>
      </c>
      <c r="P445" s="111" t="s">
        <v>397</v>
      </c>
      <c r="Q445" s="111" t="s">
        <v>388</v>
      </c>
      <c r="R445" s="111" t="s">
        <v>397</v>
      </c>
      <c r="S445" s="111" t="s">
        <v>397</v>
      </c>
      <c r="T445" s="113" t="s">
        <v>1307</v>
      </c>
      <c r="U445" s="111" t="s">
        <v>474</v>
      </c>
      <c r="V445" s="114" t="s">
        <v>474</v>
      </c>
      <c r="W445" s="83" t="s">
        <v>399</v>
      </c>
      <c r="X445" s="114" t="s">
        <v>523</v>
      </c>
      <c r="Y445" s="114" t="s">
        <v>507</v>
      </c>
      <c r="Z445" s="114" t="s">
        <v>392</v>
      </c>
      <c r="AA445" t="s">
        <v>401</v>
      </c>
      <c r="AB445" t="s">
        <v>374</v>
      </c>
      <c r="AC445" t="s">
        <v>508</v>
      </c>
      <c r="AE445" t="s">
        <v>342</v>
      </c>
    </row>
    <row r="446" spans="1:31" x14ac:dyDescent="0.25">
      <c r="A446" s="74">
        <v>39932</v>
      </c>
      <c r="B446" s="74" t="s">
        <v>1429</v>
      </c>
      <c r="C446" s="74" t="s">
        <v>1430</v>
      </c>
      <c r="D446" s="108" t="s">
        <v>397</v>
      </c>
      <c r="E446" s="108" t="s">
        <v>388</v>
      </c>
      <c r="F446" s="108" t="s">
        <v>388</v>
      </c>
      <c r="G446" s="108" t="s">
        <v>397</v>
      </c>
      <c r="H446" s="108" t="s">
        <v>397</v>
      </c>
      <c r="I446" s="109" t="s">
        <v>388</v>
      </c>
      <c r="J446" s="110" t="s">
        <v>397</v>
      </c>
      <c r="K446" s="110" t="s">
        <v>397</v>
      </c>
      <c r="L446" s="110" t="s">
        <v>397</v>
      </c>
      <c r="M446" s="110" t="s">
        <v>397</v>
      </c>
      <c r="N446" s="110" t="s">
        <v>397</v>
      </c>
      <c r="O446" s="111" t="s">
        <v>397</v>
      </c>
      <c r="P446" s="111" t="s">
        <v>397</v>
      </c>
      <c r="Q446" s="111" t="s">
        <v>397</v>
      </c>
      <c r="R446" s="111" t="s">
        <v>388</v>
      </c>
      <c r="S446" s="111" t="s">
        <v>388</v>
      </c>
      <c r="T446" s="113" t="s">
        <v>1307</v>
      </c>
      <c r="U446" s="111" t="s">
        <v>474</v>
      </c>
      <c r="V446" s="114" t="s">
        <v>474</v>
      </c>
      <c r="W446" s="83" t="s">
        <v>399</v>
      </c>
      <c r="X446" s="114" t="s">
        <v>523</v>
      </c>
      <c r="Y446" s="114" t="s">
        <v>511</v>
      </c>
      <c r="Z446" s="114" t="s">
        <v>392</v>
      </c>
      <c r="AA446" t="s">
        <v>401</v>
      </c>
      <c r="AB446" t="s">
        <v>374</v>
      </c>
      <c r="AC446" t="s">
        <v>512</v>
      </c>
      <c r="AE446" t="s">
        <v>342</v>
      </c>
    </row>
    <row r="447" spans="1:31" x14ac:dyDescent="0.25">
      <c r="A447" s="74">
        <v>39933</v>
      </c>
      <c r="B447" s="74" t="s">
        <v>1431</v>
      </c>
      <c r="C447" s="74" t="s">
        <v>1432</v>
      </c>
      <c r="D447" s="108" t="s">
        <v>397</v>
      </c>
      <c r="E447" s="108" t="s">
        <v>388</v>
      </c>
      <c r="F447" s="108" t="s">
        <v>388</v>
      </c>
      <c r="G447" s="108" t="s">
        <v>397</v>
      </c>
      <c r="H447" s="108" t="s">
        <v>397</v>
      </c>
      <c r="I447" s="109" t="s">
        <v>388</v>
      </c>
      <c r="J447" s="110" t="s">
        <v>397</v>
      </c>
      <c r="K447" s="110" t="s">
        <v>397</v>
      </c>
      <c r="L447" s="110" t="s">
        <v>397</v>
      </c>
      <c r="M447" s="110" t="s">
        <v>397</v>
      </c>
      <c r="N447" s="110" t="s">
        <v>397</v>
      </c>
      <c r="O447" s="111" t="s">
        <v>397</v>
      </c>
      <c r="P447" s="111" t="s">
        <v>397</v>
      </c>
      <c r="Q447" s="111" t="s">
        <v>397</v>
      </c>
      <c r="R447" s="111" t="s">
        <v>388</v>
      </c>
      <c r="S447" s="111" t="s">
        <v>397</v>
      </c>
      <c r="T447" s="113" t="s">
        <v>1307</v>
      </c>
      <c r="U447" s="111" t="s">
        <v>474</v>
      </c>
      <c r="V447" s="114" t="s">
        <v>474</v>
      </c>
      <c r="W447" s="83" t="s">
        <v>399</v>
      </c>
      <c r="X447" s="114" t="s">
        <v>523</v>
      </c>
      <c r="Y447" s="114" t="s">
        <v>515</v>
      </c>
      <c r="Z447" s="114" t="s">
        <v>392</v>
      </c>
      <c r="AA447" t="s">
        <v>401</v>
      </c>
      <c r="AB447" t="s">
        <v>374</v>
      </c>
      <c r="AC447" t="s">
        <v>516</v>
      </c>
      <c r="AE447" t="s">
        <v>342</v>
      </c>
    </row>
    <row r="448" spans="1:31" x14ac:dyDescent="0.25">
      <c r="A448" s="74">
        <v>39934</v>
      </c>
      <c r="B448" s="74" t="s">
        <v>1433</v>
      </c>
      <c r="C448" s="74" t="s">
        <v>1434</v>
      </c>
      <c r="D448" s="108" t="s">
        <v>397</v>
      </c>
      <c r="E448" s="108" t="s">
        <v>388</v>
      </c>
      <c r="F448" s="108" t="s">
        <v>388</v>
      </c>
      <c r="G448" s="108" t="s">
        <v>397</v>
      </c>
      <c r="H448" s="108" t="s">
        <v>397</v>
      </c>
      <c r="I448" s="109" t="s">
        <v>388</v>
      </c>
      <c r="J448" s="110" t="s">
        <v>397</v>
      </c>
      <c r="K448" s="110" t="s">
        <v>397</v>
      </c>
      <c r="L448" s="110" t="s">
        <v>397</v>
      </c>
      <c r="M448" s="110" t="s">
        <v>397</v>
      </c>
      <c r="N448" s="110" t="s">
        <v>397</v>
      </c>
      <c r="O448" s="111" t="s">
        <v>397</v>
      </c>
      <c r="P448" s="111" t="s">
        <v>397</v>
      </c>
      <c r="Q448" s="111" t="s">
        <v>397</v>
      </c>
      <c r="R448" s="111" t="s">
        <v>397</v>
      </c>
      <c r="S448" s="111" t="s">
        <v>388</v>
      </c>
      <c r="T448" s="113" t="s">
        <v>1307</v>
      </c>
      <c r="U448" s="111" t="s">
        <v>474</v>
      </c>
      <c r="V448" s="114" t="s">
        <v>474</v>
      </c>
      <c r="W448" s="83" t="s">
        <v>399</v>
      </c>
      <c r="X448" s="114" t="s">
        <v>523</v>
      </c>
      <c r="Y448" s="114" t="s">
        <v>519</v>
      </c>
      <c r="Z448" s="114" t="s">
        <v>392</v>
      </c>
      <c r="AA448" t="s">
        <v>401</v>
      </c>
      <c r="AB448" t="s">
        <v>374</v>
      </c>
      <c r="AC448" t="s">
        <v>520</v>
      </c>
      <c r="AE448" t="s">
        <v>342</v>
      </c>
    </row>
    <row r="449" spans="1:31" x14ac:dyDescent="0.25">
      <c r="A449" s="74">
        <v>39935</v>
      </c>
      <c r="B449" s="74" t="s">
        <v>1435</v>
      </c>
      <c r="C449" s="74" t="s">
        <v>1436</v>
      </c>
      <c r="D449" s="108" t="s">
        <v>397</v>
      </c>
      <c r="E449" s="108" t="s">
        <v>388</v>
      </c>
      <c r="F449" s="108" t="s">
        <v>388</v>
      </c>
      <c r="G449" s="108" t="s">
        <v>397</v>
      </c>
      <c r="H449" s="108" t="s">
        <v>397</v>
      </c>
      <c r="I449" s="109" t="s">
        <v>388</v>
      </c>
      <c r="J449" s="110" t="s">
        <v>397</v>
      </c>
      <c r="K449" s="110" t="s">
        <v>397</v>
      </c>
      <c r="L449" s="110" t="s">
        <v>397</v>
      </c>
      <c r="M449" s="110" t="s">
        <v>397</v>
      </c>
      <c r="N449" s="110" t="s">
        <v>397</v>
      </c>
      <c r="O449" s="111" t="s">
        <v>397</v>
      </c>
      <c r="P449" s="111" t="s">
        <v>397</v>
      </c>
      <c r="Q449" s="111" t="s">
        <v>397</v>
      </c>
      <c r="R449" s="111" t="s">
        <v>397</v>
      </c>
      <c r="S449" s="111" t="s">
        <v>397</v>
      </c>
      <c r="T449" s="113" t="s">
        <v>1307</v>
      </c>
      <c r="U449" s="111" t="s">
        <v>474</v>
      </c>
      <c r="V449" s="114" t="s">
        <v>474</v>
      </c>
      <c r="W449" s="83" t="s">
        <v>399</v>
      </c>
      <c r="X449" s="114" t="s">
        <v>523</v>
      </c>
      <c r="Y449" s="114" t="s">
        <v>523</v>
      </c>
      <c r="Z449" s="114" t="s">
        <v>392</v>
      </c>
      <c r="AA449" t="s">
        <v>401</v>
      </c>
      <c r="AB449" t="s">
        <v>374</v>
      </c>
      <c r="AC449" t="s">
        <v>524</v>
      </c>
      <c r="AE449" t="s">
        <v>342</v>
      </c>
    </row>
    <row r="450" spans="1:31" x14ac:dyDescent="0.25">
      <c r="A450" s="74">
        <v>39936</v>
      </c>
      <c r="B450" s="74" t="s">
        <v>1437</v>
      </c>
      <c r="C450" s="74" t="s">
        <v>1438</v>
      </c>
      <c r="D450" s="108" t="s">
        <v>397</v>
      </c>
      <c r="E450" s="108" t="s">
        <v>388</v>
      </c>
      <c r="F450" s="108" t="s">
        <v>388</v>
      </c>
      <c r="G450" s="108" t="s">
        <v>397</v>
      </c>
      <c r="H450" s="108" t="s">
        <v>397</v>
      </c>
      <c r="I450" s="109" t="s">
        <v>397</v>
      </c>
      <c r="J450" s="110" t="s">
        <v>388</v>
      </c>
      <c r="K450" s="110" t="s">
        <v>388</v>
      </c>
      <c r="L450" s="110" t="s">
        <v>388</v>
      </c>
      <c r="M450" s="110" t="s">
        <v>388</v>
      </c>
      <c r="N450" s="110" t="s">
        <v>388</v>
      </c>
      <c r="O450" s="111" t="s">
        <v>388</v>
      </c>
      <c r="P450" s="111" t="s">
        <v>388</v>
      </c>
      <c r="Q450" s="111" t="s">
        <v>388</v>
      </c>
      <c r="R450" s="111" t="s">
        <v>388</v>
      </c>
      <c r="S450" s="111" t="s">
        <v>388</v>
      </c>
      <c r="T450" s="113" t="s">
        <v>1439</v>
      </c>
      <c r="U450" s="111" t="s">
        <v>474</v>
      </c>
      <c r="V450" s="114" t="s">
        <v>474</v>
      </c>
      <c r="W450" s="83" t="s">
        <v>399</v>
      </c>
      <c r="X450" s="114" t="s">
        <v>390</v>
      </c>
      <c r="Y450" s="114" t="s">
        <v>390</v>
      </c>
      <c r="Z450" s="114" t="s">
        <v>392</v>
      </c>
      <c r="AA450" t="s">
        <v>401</v>
      </c>
      <c r="AB450" t="s">
        <v>348</v>
      </c>
      <c r="AC450" t="s">
        <v>592</v>
      </c>
      <c r="AE450" t="s">
        <v>342</v>
      </c>
    </row>
    <row r="451" spans="1:31" x14ac:dyDescent="0.25">
      <c r="A451" s="74">
        <v>39937</v>
      </c>
      <c r="B451" s="74" t="s">
        <v>1440</v>
      </c>
      <c r="C451" s="74" t="s">
        <v>1441</v>
      </c>
      <c r="D451" s="108" t="s">
        <v>397</v>
      </c>
      <c r="E451" s="108" t="s">
        <v>388</v>
      </c>
      <c r="F451" s="108" t="s">
        <v>388</v>
      </c>
      <c r="G451" s="108" t="s">
        <v>397</v>
      </c>
      <c r="H451" s="108" t="s">
        <v>397</v>
      </c>
      <c r="I451" s="109" t="s">
        <v>397</v>
      </c>
      <c r="J451" s="110" t="s">
        <v>388</v>
      </c>
      <c r="K451" s="110" t="s">
        <v>388</v>
      </c>
      <c r="L451" s="110" t="s">
        <v>388</v>
      </c>
      <c r="M451" s="110" t="s">
        <v>388</v>
      </c>
      <c r="N451" s="110" t="s">
        <v>388</v>
      </c>
      <c r="O451" s="111" t="s">
        <v>388</v>
      </c>
      <c r="P451" s="111" t="s">
        <v>388</v>
      </c>
      <c r="Q451" s="111" t="s">
        <v>388</v>
      </c>
      <c r="R451" s="111" t="s">
        <v>388</v>
      </c>
      <c r="S451" s="111" t="s">
        <v>397</v>
      </c>
      <c r="T451" s="113" t="s">
        <v>1442</v>
      </c>
      <c r="U451" s="111" t="s">
        <v>474</v>
      </c>
      <c r="V451" s="114" t="s">
        <v>474</v>
      </c>
      <c r="W451" s="83" t="s">
        <v>399</v>
      </c>
      <c r="X451" s="114" t="s">
        <v>390</v>
      </c>
      <c r="Y451" s="114" t="s">
        <v>400</v>
      </c>
      <c r="Z451" s="114" t="s">
        <v>392</v>
      </c>
      <c r="AA451" t="s">
        <v>401</v>
      </c>
      <c r="AB451" t="s">
        <v>204</v>
      </c>
      <c r="AC451" t="s">
        <v>596</v>
      </c>
      <c r="AE451" t="s">
        <v>342</v>
      </c>
    </row>
    <row r="452" spans="1:31" x14ac:dyDescent="0.25">
      <c r="A452" s="74">
        <v>39938</v>
      </c>
      <c r="B452" s="74" t="s">
        <v>1443</v>
      </c>
      <c r="C452" s="74" t="s">
        <v>1444</v>
      </c>
      <c r="D452" s="108" t="s">
        <v>397</v>
      </c>
      <c r="E452" s="108" t="s">
        <v>388</v>
      </c>
      <c r="F452" s="108" t="s">
        <v>388</v>
      </c>
      <c r="G452" s="108" t="s">
        <v>397</v>
      </c>
      <c r="H452" s="108" t="s">
        <v>397</v>
      </c>
      <c r="I452" s="109" t="s">
        <v>397</v>
      </c>
      <c r="J452" s="110" t="s">
        <v>388</v>
      </c>
      <c r="K452" s="110" t="s">
        <v>388</v>
      </c>
      <c r="L452" s="110" t="s">
        <v>388</v>
      </c>
      <c r="M452" s="110" t="s">
        <v>388</v>
      </c>
      <c r="N452" s="110" t="s">
        <v>388</v>
      </c>
      <c r="O452" s="111" t="s">
        <v>388</v>
      </c>
      <c r="P452" s="111" t="s">
        <v>388</v>
      </c>
      <c r="Q452" s="111" t="s">
        <v>388</v>
      </c>
      <c r="R452" s="111" t="s">
        <v>397</v>
      </c>
      <c r="S452" s="111" t="s">
        <v>388</v>
      </c>
      <c r="T452" s="113" t="s">
        <v>1445</v>
      </c>
      <c r="U452" s="111" t="s">
        <v>474</v>
      </c>
      <c r="V452" s="114" t="s">
        <v>474</v>
      </c>
      <c r="W452" s="83" t="s">
        <v>399</v>
      </c>
      <c r="X452" s="114" t="s">
        <v>390</v>
      </c>
      <c r="Y452" s="114" t="s">
        <v>405</v>
      </c>
      <c r="Z452" s="114" t="s">
        <v>392</v>
      </c>
      <c r="AA452" t="s">
        <v>401</v>
      </c>
      <c r="AB452" t="s">
        <v>375</v>
      </c>
      <c r="AC452" t="s">
        <v>600</v>
      </c>
      <c r="AE452" t="s">
        <v>342</v>
      </c>
    </row>
    <row r="453" spans="1:31" x14ac:dyDescent="0.25">
      <c r="A453" s="74">
        <v>39939</v>
      </c>
      <c r="B453" s="74" t="s">
        <v>1446</v>
      </c>
      <c r="C453" s="74" t="s">
        <v>1447</v>
      </c>
      <c r="D453" s="108" t="s">
        <v>397</v>
      </c>
      <c r="E453" s="108" t="s">
        <v>388</v>
      </c>
      <c r="F453" s="108" t="s">
        <v>388</v>
      </c>
      <c r="G453" s="108" t="s">
        <v>397</v>
      </c>
      <c r="H453" s="108" t="s">
        <v>397</v>
      </c>
      <c r="I453" s="109" t="s">
        <v>397</v>
      </c>
      <c r="J453" s="110" t="s">
        <v>388</v>
      </c>
      <c r="K453" s="110" t="s">
        <v>388</v>
      </c>
      <c r="L453" s="110" t="s">
        <v>388</v>
      </c>
      <c r="M453" s="110" t="s">
        <v>388</v>
      </c>
      <c r="N453" s="110" t="s">
        <v>388</v>
      </c>
      <c r="O453" s="111" t="s">
        <v>388</v>
      </c>
      <c r="P453" s="111" t="s">
        <v>388</v>
      </c>
      <c r="Q453" s="111" t="s">
        <v>388</v>
      </c>
      <c r="R453" s="111" t="s">
        <v>397</v>
      </c>
      <c r="S453" s="111" t="s">
        <v>397</v>
      </c>
      <c r="T453" s="113" t="s">
        <v>1448</v>
      </c>
      <c r="U453" s="111" t="s">
        <v>474</v>
      </c>
      <c r="V453" s="114" t="s">
        <v>474</v>
      </c>
      <c r="W453" s="83" t="s">
        <v>399</v>
      </c>
      <c r="X453" s="114" t="s">
        <v>390</v>
      </c>
      <c r="Y453" s="114" t="s">
        <v>409</v>
      </c>
      <c r="Z453" s="114" t="s">
        <v>392</v>
      </c>
      <c r="AA453" t="s">
        <v>401</v>
      </c>
      <c r="AB453" t="s">
        <v>376</v>
      </c>
      <c r="AC453" t="s">
        <v>604</v>
      </c>
      <c r="AE453" t="s">
        <v>342</v>
      </c>
    </row>
    <row r="454" spans="1:31" x14ac:dyDescent="0.25">
      <c r="A454" s="74">
        <v>39940</v>
      </c>
      <c r="B454" s="74" t="s">
        <v>1449</v>
      </c>
      <c r="C454" s="74" t="s">
        <v>1450</v>
      </c>
      <c r="D454" s="108" t="s">
        <v>397</v>
      </c>
      <c r="E454" s="108" t="s">
        <v>388</v>
      </c>
      <c r="F454" s="108" t="s">
        <v>388</v>
      </c>
      <c r="G454" s="108" t="s">
        <v>397</v>
      </c>
      <c r="H454" s="108" t="s">
        <v>397</v>
      </c>
      <c r="I454" s="109" t="s">
        <v>397</v>
      </c>
      <c r="J454" s="110" t="s">
        <v>388</v>
      </c>
      <c r="K454" s="110" t="s">
        <v>388</v>
      </c>
      <c r="L454" s="110" t="s">
        <v>388</v>
      </c>
      <c r="M454" s="110" t="s">
        <v>388</v>
      </c>
      <c r="N454" s="110" t="s">
        <v>388</v>
      </c>
      <c r="O454" s="111" t="s">
        <v>388</v>
      </c>
      <c r="P454" s="111" t="s">
        <v>388</v>
      </c>
      <c r="Q454" s="111" t="s">
        <v>397</v>
      </c>
      <c r="R454" s="111" t="s">
        <v>388</v>
      </c>
      <c r="S454" s="111" t="s">
        <v>388</v>
      </c>
      <c r="T454" s="113" t="s">
        <v>1451</v>
      </c>
      <c r="U454" s="111" t="s">
        <v>474</v>
      </c>
      <c r="V454" s="114" t="s">
        <v>474</v>
      </c>
      <c r="W454" s="83" t="s">
        <v>399</v>
      </c>
      <c r="X454" s="114" t="s">
        <v>390</v>
      </c>
      <c r="Y454" s="114" t="s">
        <v>413</v>
      </c>
      <c r="Z454" s="114" t="s">
        <v>392</v>
      </c>
      <c r="AA454" t="s">
        <v>401</v>
      </c>
      <c r="AB454" t="s">
        <v>377</v>
      </c>
      <c r="AC454" t="s">
        <v>608</v>
      </c>
      <c r="AE454" t="s">
        <v>342</v>
      </c>
    </row>
    <row r="455" spans="1:31" x14ac:dyDescent="0.25">
      <c r="A455" s="74">
        <v>39941</v>
      </c>
      <c r="B455" s="74" t="s">
        <v>1452</v>
      </c>
      <c r="C455" s="74" t="s">
        <v>1453</v>
      </c>
      <c r="D455" s="108" t="s">
        <v>397</v>
      </c>
      <c r="E455" s="108" t="s">
        <v>388</v>
      </c>
      <c r="F455" s="108" t="s">
        <v>388</v>
      </c>
      <c r="G455" s="108" t="s">
        <v>397</v>
      </c>
      <c r="H455" s="108" t="s">
        <v>397</v>
      </c>
      <c r="I455" s="109" t="s">
        <v>397</v>
      </c>
      <c r="J455" s="110" t="s">
        <v>388</v>
      </c>
      <c r="K455" s="110" t="s">
        <v>388</v>
      </c>
      <c r="L455" s="110" t="s">
        <v>388</v>
      </c>
      <c r="M455" s="110" t="s">
        <v>388</v>
      </c>
      <c r="N455" s="110" t="s">
        <v>388</v>
      </c>
      <c r="O455" s="111" t="s">
        <v>388</v>
      </c>
      <c r="P455" s="111" t="s">
        <v>388</v>
      </c>
      <c r="Q455" s="111" t="s">
        <v>397</v>
      </c>
      <c r="R455" s="111" t="s">
        <v>388</v>
      </c>
      <c r="S455" s="111" t="s">
        <v>397</v>
      </c>
      <c r="T455" s="113" t="s">
        <v>1454</v>
      </c>
      <c r="U455" s="111" t="s">
        <v>474</v>
      </c>
      <c r="V455" s="114" t="s">
        <v>474</v>
      </c>
      <c r="W455" s="83" t="s">
        <v>399</v>
      </c>
      <c r="X455" s="114" t="s">
        <v>390</v>
      </c>
      <c r="Y455" s="114" t="s">
        <v>417</v>
      </c>
      <c r="Z455" s="114" t="s">
        <v>392</v>
      </c>
      <c r="AA455" t="s">
        <v>401</v>
      </c>
      <c r="AB455" t="s">
        <v>378</v>
      </c>
      <c r="AC455" t="s">
        <v>612</v>
      </c>
      <c r="AE455" t="s">
        <v>342</v>
      </c>
    </row>
    <row r="456" spans="1:31" x14ac:dyDescent="0.25">
      <c r="A456" s="74">
        <v>39942</v>
      </c>
      <c r="B456" s="74" t="s">
        <v>1455</v>
      </c>
      <c r="C456" s="74" t="s">
        <v>1456</v>
      </c>
      <c r="D456" s="108" t="s">
        <v>397</v>
      </c>
      <c r="E456" s="108" t="s">
        <v>388</v>
      </c>
      <c r="F456" s="108" t="s">
        <v>388</v>
      </c>
      <c r="G456" s="108" t="s">
        <v>397</v>
      </c>
      <c r="H456" s="108" t="s">
        <v>397</v>
      </c>
      <c r="I456" s="109" t="s">
        <v>397</v>
      </c>
      <c r="J456" s="110" t="s">
        <v>388</v>
      </c>
      <c r="K456" s="110" t="s">
        <v>388</v>
      </c>
      <c r="L456" s="110" t="s">
        <v>388</v>
      </c>
      <c r="M456" s="110" t="s">
        <v>388</v>
      </c>
      <c r="N456" s="110" t="s">
        <v>388</v>
      </c>
      <c r="O456" s="111" t="s">
        <v>388</v>
      </c>
      <c r="P456" s="111" t="s">
        <v>388</v>
      </c>
      <c r="Q456" s="111" t="s">
        <v>397</v>
      </c>
      <c r="R456" s="111" t="s">
        <v>397</v>
      </c>
      <c r="S456" s="111" t="s">
        <v>388</v>
      </c>
      <c r="T456" s="113" t="s">
        <v>1457</v>
      </c>
      <c r="U456" s="111" t="s">
        <v>474</v>
      </c>
      <c r="V456" s="114" t="s">
        <v>474</v>
      </c>
      <c r="W456" s="83" t="s">
        <v>399</v>
      </c>
      <c r="X456" s="114" t="s">
        <v>390</v>
      </c>
      <c r="Y456" s="114" t="s">
        <v>421</v>
      </c>
      <c r="Z456" s="114" t="s">
        <v>392</v>
      </c>
      <c r="AA456" t="s">
        <v>401</v>
      </c>
      <c r="AB456" t="s">
        <v>379</v>
      </c>
      <c r="AC456" t="s">
        <v>616</v>
      </c>
      <c r="AE456" t="s">
        <v>342</v>
      </c>
    </row>
    <row r="457" spans="1:31" x14ac:dyDescent="0.25">
      <c r="A457" s="74">
        <v>39943</v>
      </c>
      <c r="B457" s="74" t="s">
        <v>1458</v>
      </c>
      <c r="C457" s="74" t="s">
        <v>1459</v>
      </c>
      <c r="D457" s="108" t="s">
        <v>397</v>
      </c>
      <c r="E457" s="108" t="s">
        <v>388</v>
      </c>
      <c r="F457" s="108" t="s">
        <v>388</v>
      </c>
      <c r="G457" s="108" t="s">
        <v>397</v>
      </c>
      <c r="H457" s="108" t="s">
        <v>397</v>
      </c>
      <c r="I457" s="109" t="s">
        <v>397</v>
      </c>
      <c r="J457" s="110" t="s">
        <v>388</v>
      </c>
      <c r="K457" s="110" t="s">
        <v>388</v>
      </c>
      <c r="L457" s="110" t="s">
        <v>388</v>
      </c>
      <c r="M457" s="110" t="s">
        <v>388</v>
      </c>
      <c r="N457" s="110" t="s">
        <v>388</v>
      </c>
      <c r="O457" s="111" t="s">
        <v>388</v>
      </c>
      <c r="P457" s="111" t="s">
        <v>388</v>
      </c>
      <c r="Q457" s="111" t="s">
        <v>397</v>
      </c>
      <c r="R457" s="111" t="s">
        <v>397</v>
      </c>
      <c r="S457" s="111" t="s">
        <v>397</v>
      </c>
      <c r="T457" s="113" t="s">
        <v>1460</v>
      </c>
      <c r="U457" s="111" t="s">
        <v>474</v>
      </c>
      <c r="V457" s="114" t="s">
        <v>474</v>
      </c>
      <c r="W457" s="83" t="s">
        <v>399</v>
      </c>
      <c r="X457" s="114" t="s">
        <v>390</v>
      </c>
      <c r="Y457" s="114" t="s">
        <v>425</v>
      </c>
      <c r="Z457" s="114" t="s">
        <v>392</v>
      </c>
      <c r="AA457" t="s">
        <v>401</v>
      </c>
      <c r="AB457" t="s">
        <v>380</v>
      </c>
      <c r="AC457" t="s">
        <v>620</v>
      </c>
      <c r="AE457" t="s">
        <v>342</v>
      </c>
    </row>
    <row r="458" spans="1:31" x14ac:dyDescent="0.25">
      <c r="A458" s="74">
        <v>39944</v>
      </c>
      <c r="B458" s="74" t="s">
        <v>1461</v>
      </c>
      <c r="C458" s="74" t="s">
        <v>1462</v>
      </c>
      <c r="D458" s="108" t="s">
        <v>397</v>
      </c>
      <c r="E458" s="108" t="s">
        <v>388</v>
      </c>
      <c r="F458" s="108" t="s">
        <v>388</v>
      </c>
      <c r="G458" s="108" t="s">
        <v>397</v>
      </c>
      <c r="H458" s="108" t="s">
        <v>397</v>
      </c>
      <c r="I458" s="109" t="s">
        <v>397</v>
      </c>
      <c r="J458" s="110" t="s">
        <v>388</v>
      </c>
      <c r="K458" s="110" t="s">
        <v>388</v>
      </c>
      <c r="L458" s="110" t="s">
        <v>388</v>
      </c>
      <c r="M458" s="110" t="s">
        <v>388</v>
      </c>
      <c r="N458" s="110" t="s">
        <v>388</v>
      </c>
      <c r="O458" s="111" t="s">
        <v>388</v>
      </c>
      <c r="P458" s="111" t="s">
        <v>397</v>
      </c>
      <c r="Q458" s="111" t="s">
        <v>388</v>
      </c>
      <c r="R458" s="111" t="s">
        <v>388</v>
      </c>
      <c r="S458" s="111" t="s">
        <v>388</v>
      </c>
      <c r="T458" s="113" t="s">
        <v>1463</v>
      </c>
      <c r="U458" s="111" t="s">
        <v>474</v>
      </c>
      <c r="V458" s="114" t="s">
        <v>474</v>
      </c>
      <c r="W458" s="83" t="s">
        <v>399</v>
      </c>
      <c r="X458" s="114" t="s">
        <v>390</v>
      </c>
      <c r="Y458" s="114" t="s">
        <v>429</v>
      </c>
      <c r="Z458" s="114" t="s">
        <v>392</v>
      </c>
      <c r="AA458" t="s">
        <v>401</v>
      </c>
      <c r="AB458" t="s">
        <v>355</v>
      </c>
      <c r="AC458" t="s">
        <v>624</v>
      </c>
      <c r="AE458" t="s">
        <v>342</v>
      </c>
    </row>
    <row r="459" spans="1:31" x14ac:dyDescent="0.25">
      <c r="A459" s="74">
        <v>39945</v>
      </c>
      <c r="B459" s="74" t="s">
        <v>1464</v>
      </c>
      <c r="C459" s="74" t="s">
        <v>1465</v>
      </c>
      <c r="D459" s="108" t="s">
        <v>397</v>
      </c>
      <c r="E459" s="108" t="s">
        <v>388</v>
      </c>
      <c r="F459" s="108" t="s">
        <v>388</v>
      </c>
      <c r="G459" s="108" t="s">
        <v>397</v>
      </c>
      <c r="H459" s="108" t="s">
        <v>397</v>
      </c>
      <c r="I459" s="109" t="s">
        <v>397</v>
      </c>
      <c r="J459" s="110" t="s">
        <v>388</v>
      </c>
      <c r="K459" s="110" t="s">
        <v>388</v>
      </c>
      <c r="L459" s="110" t="s">
        <v>388</v>
      </c>
      <c r="M459" s="110" t="s">
        <v>388</v>
      </c>
      <c r="N459" s="110" t="s">
        <v>388</v>
      </c>
      <c r="O459" s="111" t="s">
        <v>388</v>
      </c>
      <c r="P459" s="111" t="s">
        <v>397</v>
      </c>
      <c r="Q459" s="111" t="s">
        <v>388</v>
      </c>
      <c r="R459" s="111" t="s">
        <v>388</v>
      </c>
      <c r="S459" s="111" t="s">
        <v>397</v>
      </c>
      <c r="T459" s="113" t="s">
        <v>1307</v>
      </c>
      <c r="U459" s="111" t="s">
        <v>474</v>
      </c>
      <c r="V459" s="114" t="s">
        <v>474</v>
      </c>
      <c r="W459" s="83" t="s">
        <v>399</v>
      </c>
      <c r="X459" s="114" t="s">
        <v>390</v>
      </c>
      <c r="Y459" s="114" t="s">
        <v>433</v>
      </c>
      <c r="Z459" s="114" t="s">
        <v>392</v>
      </c>
      <c r="AA459" t="s">
        <v>401</v>
      </c>
      <c r="AB459" t="s">
        <v>374</v>
      </c>
      <c r="AC459" t="s">
        <v>627</v>
      </c>
      <c r="AE459" t="s">
        <v>342</v>
      </c>
    </row>
    <row r="460" spans="1:31" x14ac:dyDescent="0.25">
      <c r="A460" s="74">
        <v>39946</v>
      </c>
      <c r="B460" s="74" t="s">
        <v>1466</v>
      </c>
      <c r="C460" s="74" t="s">
        <v>1467</v>
      </c>
      <c r="D460" s="108" t="s">
        <v>397</v>
      </c>
      <c r="E460" s="108" t="s">
        <v>388</v>
      </c>
      <c r="F460" s="108" t="s">
        <v>388</v>
      </c>
      <c r="G460" s="108" t="s">
        <v>397</v>
      </c>
      <c r="H460" s="108" t="s">
        <v>397</v>
      </c>
      <c r="I460" s="109" t="s">
        <v>397</v>
      </c>
      <c r="J460" s="110" t="s">
        <v>388</v>
      </c>
      <c r="K460" s="110" t="s">
        <v>388</v>
      </c>
      <c r="L460" s="110" t="s">
        <v>388</v>
      </c>
      <c r="M460" s="110" t="s">
        <v>388</v>
      </c>
      <c r="N460" s="110" t="s">
        <v>388</v>
      </c>
      <c r="O460" s="111" t="s">
        <v>388</v>
      </c>
      <c r="P460" s="111" t="s">
        <v>397</v>
      </c>
      <c r="Q460" s="111" t="s">
        <v>388</v>
      </c>
      <c r="R460" s="111" t="s">
        <v>397</v>
      </c>
      <c r="S460" s="111" t="s">
        <v>388</v>
      </c>
      <c r="T460" s="113" t="s">
        <v>1307</v>
      </c>
      <c r="U460" s="111" t="s">
        <v>474</v>
      </c>
      <c r="V460" s="114" t="s">
        <v>474</v>
      </c>
      <c r="W460" s="83" t="s">
        <v>399</v>
      </c>
      <c r="X460" s="114" t="s">
        <v>390</v>
      </c>
      <c r="Y460" s="114" t="s">
        <v>437</v>
      </c>
      <c r="Z460" s="114" t="s">
        <v>392</v>
      </c>
      <c r="AA460" t="s">
        <v>401</v>
      </c>
      <c r="AB460" t="s">
        <v>374</v>
      </c>
      <c r="AC460" t="s">
        <v>630</v>
      </c>
      <c r="AE460" t="s">
        <v>342</v>
      </c>
    </row>
    <row r="461" spans="1:31" x14ac:dyDescent="0.25">
      <c r="A461" s="74">
        <v>39947</v>
      </c>
      <c r="B461" s="74" t="s">
        <v>1468</v>
      </c>
      <c r="C461" s="74" t="s">
        <v>1469</v>
      </c>
      <c r="D461" s="108" t="s">
        <v>397</v>
      </c>
      <c r="E461" s="108" t="s">
        <v>388</v>
      </c>
      <c r="F461" s="108" t="s">
        <v>388</v>
      </c>
      <c r="G461" s="108" t="s">
        <v>397</v>
      </c>
      <c r="H461" s="108" t="s">
        <v>397</v>
      </c>
      <c r="I461" s="109" t="s">
        <v>397</v>
      </c>
      <c r="J461" s="110" t="s">
        <v>388</v>
      </c>
      <c r="K461" s="110" t="s">
        <v>388</v>
      </c>
      <c r="L461" s="110" t="s">
        <v>388</v>
      </c>
      <c r="M461" s="110" t="s">
        <v>388</v>
      </c>
      <c r="N461" s="110" t="s">
        <v>388</v>
      </c>
      <c r="O461" s="111" t="s">
        <v>388</v>
      </c>
      <c r="P461" s="111" t="s">
        <v>397</v>
      </c>
      <c r="Q461" s="111" t="s">
        <v>388</v>
      </c>
      <c r="R461" s="111" t="s">
        <v>397</v>
      </c>
      <c r="S461" s="111" t="s">
        <v>397</v>
      </c>
      <c r="T461" s="113" t="s">
        <v>1307</v>
      </c>
      <c r="U461" s="111" t="s">
        <v>474</v>
      </c>
      <c r="V461" s="114" t="s">
        <v>474</v>
      </c>
      <c r="W461" s="83" t="s">
        <v>399</v>
      </c>
      <c r="X461" s="114" t="s">
        <v>390</v>
      </c>
      <c r="Y461" s="114" t="s">
        <v>441</v>
      </c>
      <c r="Z461" s="114" t="s">
        <v>392</v>
      </c>
      <c r="AA461" t="s">
        <v>401</v>
      </c>
      <c r="AB461" t="s">
        <v>374</v>
      </c>
      <c r="AC461" t="s">
        <v>633</v>
      </c>
      <c r="AE461" t="s">
        <v>342</v>
      </c>
    </row>
    <row r="462" spans="1:31" x14ac:dyDescent="0.25">
      <c r="A462" s="74">
        <v>39948</v>
      </c>
      <c r="B462" s="74" t="s">
        <v>1470</v>
      </c>
      <c r="C462" s="74" t="s">
        <v>1471</v>
      </c>
      <c r="D462" s="108" t="s">
        <v>397</v>
      </c>
      <c r="E462" s="108" t="s">
        <v>388</v>
      </c>
      <c r="F462" s="108" t="s">
        <v>388</v>
      </c>
      <c r="G462" s="108" t="s">
        <v>397</v>
      </c>
      <c r="H462" s="108" t="s">
        <v>397</v>
      </c>
      <c r="I462" s="109" t="s">
        <v>397</v>
      </c>
      <c r="J462" s="110" t="s">
        <v>388</v>
      </c>
      <c r="K462" s="110" t="s">
        <v>388</v>
      </c>
      <c r="L462" s="110" t="s">
        <v>388</v>
      </c>
      <c r="M462" s="110" t="s">
        <v>388</v>
      </c>
      <c r="N462" s="110" t="s">
        <v>388</v>
      </c>
      <c r="O462" s="111" t="s">
        <v>388</v>
      </c>
      <c r="P462" s="111" t="s">
        <v>397</v>
      </c>
      <c r="Q462" s="111" t="s">
        <v>397</v>
      </c>
      <c r="R462" s="111" t="s">
        <v>388</v>
      </c>
      <c r="S462" s="111" t="s">
        <v>388</v>
      </c>
      <c r="T462" s="113" t="s">
        <v>1307</v>
      </c>
      <c r="U462" s="111" t="s">
        <v>474</v>
      </c>
      <c r="V462" s="114" t="s">
        <v>474</v>
      </c>
      <c r="W462" s="83" t="s">
        <v>399</v>
      </c>
      <c r="X462" s="114" t="s">
        <v>390</v>
      </c>
      <c r="Y462" s="114" t="s">
        <v>445</v>
      </c>
      <c r="Z462" s="114" t="s">
        <v>392</v>
      </c>
      <c r="AA462" t="s">
        <v>401</v>
      </c>
      <c r="AB462" t="s">
        <v>374</v>
      </c>
      <c r="AC462" t="s">
        <v>636</v>
      </c>
      <c r="AE462" t="s">
        <v>342</v>
      </c>
    </row>
    <row r="463" spans="1:31" x14ac:dyDescent="0.25">
      <c r="A463" s="74">
        <v>39949</v>
      </c>
      <c r="B463" s="74" t="s">
        <v>1472</v>
      </c>
      <c r="C463" s="74" t="s">
        <v>1473</v>
      </c>
      <c r="D463" s="108" t="s">
        <v>397</v>
      </c>
      <c r="E463" s="108" t="s">
        <v>388</v>
      </c>
      <c r="F463" s="108" t="s">
        <v>388</v>
      </c>
      <c r="G463" s="108" t="s">
        <v>397</v>
      </c>
      <c r="H463" s="108" t="s">
        <v>397</v>
      </c>
      <c r="I463" s="109" t="s">
        <v>397</v>
      </c>
      <c r="J463" s="110" t="s">
        <v>388</v>
      </c>
      <c r="K463" s="110" t="s">
        <v>388</v>
      </c>
      <c r="L463" s="110" t="s">
        <v>388</v>
      </c>
      <c r="M463" s="110" t="s">
        <v>388</v>
      </c>
      <c r="N463" s="110" t="s">
        <v>388</v>
      </c>
      <c r="O463" s="111" t="s">
        <v>388</v>
      </c>
      <c r="P463" s="111" t="s">
        <v>397</v>
      </c>
      <c r="Q463" s="111" t="s">
        <v>397</v>
      </c>
      <c r="R463" s="111" t="s">
        <v>388</v>
      </c>
      <c r="S463" s="111" t="s">
        <v>397</v>
      </c>
      <c r="T463" s="113" t="s">
        <v>1307</v>
      </c>
      <c r="U463" s="111" t="s">
        <v>474</v>
      </c>
      <c r="V463" s="114" t="s">
        <v>474</v>
      </c>
      <c r="W463" s="83" t="s">
        <v>399</v>
      </c>
      <c r="X463" s="114" t="s">
        <v>390</v>
      </c>
      <c r="Y463" s="114" t="s">
        <v>449</v>
      </c>
      <c r="Z463" s="114" t="s">
        <v>392</v>
      </c>
      <c r="AA463" t="s">
        <v>401</v>
      </c>
      <c r="AB463" t="s">
        <v>374</v>
      </c>
      <c r="AC463" t="s">
        <v>639</v>
      </c>
      <c r="AE463" t="s">
        <v>342</v>
      </c>
    </row>
    <row r="464" spans="1:31" x14ac:dyDescent="0.25">
      <c r="A464" s="74">
        <v>39950</v>
      </c>
      <c r="B464" s="74" t="s">
        <v>1474</v>
      </c>
      <c r="C464" s="74" t="s">
        <v>1475</v>
      </c>
      <c r="D464" s="108" t="s">
        <v>397</v>
      </c>
      <c r="E464" s="108" t="s">
        <v>388</v>
      </c>
      <c r="F464" s="108" t="s">
        <v>388</v>
      </c>
      <c r="G464" s="108" t="s">
        <v>397</v>
      </c>
      <c r="H464" s="108" t="s">
        <v>397</v>
      </c>
      <c r="I464" s="109" t="s">
        <v>397</v>
      </c>
      <c r="J464" s="110" t="s">
        <v>388</v>
      </c>
      <c r="K464" s="110" t="s">
        <v>388</v>
      </c>
      <c r="L464" s="110" t="s">
        <v>388</v>
      </c>
      <c r="M464" s="110" t="s">
        <v>388</v>
      </c>
      <c r="N464" s="110" t="s">
        <v>388</v>
      </c>
      <c r="O464" s="111" t="s">
        <v>388</v>
      </c>
      <c r="P464" s="111" t="s">
        <v>397</v>
      </c>
      <c r="Q464" s="111" t="s">
        <v>397</v>
      </c>
      <c r="R464" s="111" t="s">
        <v>397</v>
      </c>
      <c r="S464" s="111" t="s">
        <v>388</v>
      </c>
      <c r="T464" s="113" t="s">
        <v>1307</v>
      </c>
      <c r="U464" s="111" t="s">
        <v>474</v>
      </c>
      <c r="V464" s="114" t="s">
        <v>474</v>
      </c>
      <c r="W464" s="83" t="s">
        <v>399</v>
      </c>
      <c r="X464" s="114" t="s">
        <v>390</v>
      </c>
      <c r="Y464" s="114" t="s">
        <v>453</v>
      </c>
      <c r="Z464" s="114" t="s">
        <v>392</v>
      </c>
      <c r="AA464" t="s">
        <v>401</v>
      </c>
      <c r="AB464" t="s">
        <v>374</v>
      </c>
      <c r="AC464" t="s">
        <v>642</v>
      </c>
      <c r="AE464" t="s">
        <v>342</v>
      </c>
    </row>
    <row r="465" spans="1:31" x14ac:dyDescent="0.25">
      <c r="A465" s="74">
        <v>39951</v>
      </c>
      <c r="B465" s="74" t="s">
        <v>1476</v>
      </c>
      <c r="C465" s="74" t="s">
        <v>1477</v>
      </c>
      <c r="D465" s="108" t="s">
        <v>397</v>
      </c>
      <c r="E465" s="108" t="s">
        <v>388</v>
      </c>
      <c r="F465" s="108" t="s">
        <v>388</v>
      </c>
      <c r="G465" s="108" t="s">
        <v>397</v>
      </c>
      <c r="H465" s="108" t="s">
        <v>397</v>
      </c>
      <c r="I465" s="109" t="s">
        <v>397</v>
      </c>
      <c r="J465" s="110" t="s">
        <v>388</v>
      </c>
      <c r="K465" s="110" t="s">
        <v>388</v>
      </c>
      <c r="L465" s="110" t="s">
        <v>388</v>
      </c>
      <c r="M465" s="110" t="s">
        <v>388</v>
      </c>
      <c r="N465" s="110" t="s">
        <v>388</v>
      </c>
      <c r="O465" s="111" t="s">
        <v>388</v>
      </c>
      <c r="P465" s="111" t="s">
        <v>397</v>
      </c>
      <c r="Q465" s="111" t="s">
        <v>397</v>
      </c>
      <c r="R465" s="111" t="s">
        <v>397</v>
      </c>
      <c r="S465" s="111" t="s">
        <v>397</v>
      </c>
      <c r="T465" s="113" t="s">
        <v>1307</v>
      </c>
      <c r="U465" s="111" t="s">
        <v>474</v>
      </c>
      <c r="V465" s="114" t="s">
        <v>474</v>
      </c>
      <c r="W465" s="83" t="s">
        <v>399</v>
      </c>
      <c r="X465" s="114" t="s">
        <v>390</v>
      </c>
      <c r="Y465" s="114" t="s">
        <v>457</v>
      </c>
      <c r="Z465" s="114" t="s">
        <v>392</v>
      </c>
      <c r="AA465" t="s">
        <v>401</v>
      </c>
      <c r="AB465" t="s">
        <v>374</v>
      </c>
      <c r="AC465" t="s">
        <v>645</v>
      </c>
      <c r="AE465" t="s">
        <v>342</v>
      </c>
    </row>
    <row r="466" spans="1:31" x14ac:dyDescent="0.25">
      <c r="A466" s="74">
        <v>39952</v>
      </c>
      <c r="B466" s="74" t="s">
        <v>1478</v>
      </c>
      <c r="C466" s="74" t="s">
        <v>1479</v>
      </c>
      <c r="D466" s="108" t="s">
        <v>397</v>
      </c>
      <c r="E466" s="108" t="s">
        <v>388</v>
      </c>
      <c r="F466" s="108" t="s">
        <v>388</v>
      </c>
      <c r="G466" s="108" t="s">
        <v>397</v>
      </c>
      <c r="H466" s="108" t="s">
        <v>397</v>
      </c>
      <c r="I466" s="109" t="s">
        <v>397</v>
      </c>
      <c r="J466" s="110" t="s">
        <v>388</v>
      </c>
      <c r="K466" s="110" t="s">
        <v>388</v>
      </c>
      <c r="L466" s="110" t="s">
        <v>388</v>
      </c>
      <c r="M466" s="110" t="s">
        <v>388</v>
      </c>
      <c r="N466" s="110" t="s">
        <v>388</v>
      </c>
      <c r="O466" s="111" t="s">
        <v>397</v>
      </c>
      <c r="P466" s="111" t="s">
        <v>388</v>
      </c>
      <c r="Q466" s="111" t="s">
        <v>388</v>
      </c>
      <c r="R466" s="111" t="s">
        <v>388</v>
      </c>
      <c r="S466" s="111" t="s">
        <v>388</v>
      </c>
      <c r="T466" s="113" t="s">
        <v>1480</v>
      </c>
      <c r="U466" s="111" t="s">
        <v>474</v>
      </c>
      <c r="V466" s="114" t="s">
        <v>474</v>
      </c>
      <c r="W466" s="83" t="s">
        <v>399</v>
      </c>
      <c r="X466" s="114" t="s">
        <v>390</v>
      </c>
      <c r="Y466" s="114" t="s">
        <v>461</v>
      </c>
      <c r="Z466" s="114" t="s">
        <v>392</v>
      </c>
      <c r="AA466" t="s">
        <v>401</v>
      </c>
      <c r="AB466" t="s">
        <v>116</v>
      </c>
      <c r="AC466" t="s">
        <v>649</v>
      </c>
      <c r="AE466" t="s">
        <v>342</v>
      </c>
    </row>
    <row r="467" spans="1:31" x14ac:dyDescent="0.25">
      <c r="A467" s="74">
        <v>39953</v>
      </c>
      <c r="B467" s="74" t="s">
        <v>1481</v>
      </c>
      <c r="C467" s="74" t="s">
        <v>1482</v>
      </c>
      <c r="D467" s="108" t="s">
        <v>397</v>
      </c>
      <c r="E467" s="108" t="s">
        <v>388</v>
      </c>
      <c r="F467" s="108" t="s">
        <v>388</v>
      </c>
      <c r="G467" s="108" t="s">
        <v>397</v>
      </c>
      <c r="H467" s="108" t="s">
        <v>397</v>
      </c>
      <c r="I467" s="109" t="s">
        <v>397</v>
      </c>
      <c r="J467" s="110" t="s">
        <v>388</v>
      </c>
      <c r="K467" s="110" t="s">
        <v>388</v>
      </c>
      <c r="L467" s="110" t="s">
        <v>388</v>
      </c>
      <c r="M467" s="110" t="s">
        <v>388</v>
      </c>
      <c r="N467" s="110" t="s">
        <v>388</v>
      </c>
      <c r="O467" s="111" t="s">
        <v>397</v>
      </c>
      <c r="P467" s="111" t="s">
        <v>388</v>
      </c>
      <c r="Q467" s="111" t="s">
        <v>388</v>
      </c>
      <c r="R467" s="111" t="s">
        <v>388</v>
      </c>
      <c r="S467" s="111" t="s">
        <v>397</v>
      </c>
      <c r="T467" s="113" t="s">
        <v>1307</v>
      </c>
      <c r="U467" s="111" t="s">
        <v>474</v>
      </c>
      <c r="V467" s="114" t="s">
        <v>474</v>
      </c>
      <c r="W467" s="83" t="s">
        <v>399</v>
      </c>
      <c r="X467" s="114" t="s">
        <v>390</v>
      </c>
      <c r="Y467" s="114" t="s">
        <v>466</v>
      </c>
      <c r="Z467" s="114" t="s">
        <v>392</v>
      </c>
      <c r="AA467" t="s">
        <v>401</v>
      </c>
      <c r="AB467" t="s">
        <v>374</v>
      </c>
      <c r="AC467" t="s">
        <v>652</v>
      </c>
      <c r="AE467" t="s">
        <v>342</v>
      </c>
    </row>
    <row r="468" spans="1:31" x14ac:dyDescent="0.25">
      <c r="A468" s="74">
        <v>39954</v>
      </c>
      <c r="B468" s="74" t="s">
        <v>1483</v>
      </c>
      <c r="C468" s="74" t="s">
        <v>1484</v>
      </c>
      <c r="D468" s="108" t="s">
        <v>397</v>
      </c>
      <c r="E468" s="108" t="s">
        <v>388</v>
      </c>
      <c r="F468" s="108" t="s">
        <v>388</v>
      </c>
      <c r="G468" s="108" t="s">
        <v>397</v>
      </c>
      <c r="H468" s="108" t="s">
        <v>397</v>
      </c>
      <c r="I468" s="109" t="s">
        <v>397</v>
      </c>
      <c r="J468" s="110" t="s">
        <v>388</v>
      </c>
      <c r="K468" s="110" t="s">
        <v>388</v>
      </c>
      <c r="L468" s="110" t="s">
        <v>388</v>
      </c>
      <c r="M468" s="110" t="s">
        <v>388</v>
      </c>
      <c r="N468" s="110" t="s">
        <v>388</v>
      </c>
      <c r="O468" s="111" t="s">
        <v>397</v>
      </c>
      <c r="P468" s="111" t="s">
        <v>388</v>
      </c>
      <c r="Q468" s="111" t="s">
        <v>388</v>
      </c>
      <c r="R468" s="111" t="s">
        <v>397</v>
      </c>
      <c r="S468" s="111" t="s">
        <v>388</v>
      </c>
      <c r="T468" s="113" t="s">
        <v>1485</v>
      </c>
      <c r="U468" s="111" t="s">
        <v>474</v>
      </c>
      <c r="V468" s="114" t="s">
        <v>474</v>
      </c>
      <c r="W468" s="83" t="s">
        <v>399</v>
      </c>
      <c r="X468" s="114" t="s">
        <v>390</v>
      </c>
      <c r="Y468" s="114" t="s">
        <v>470</v>
      </c>
      <c r="Z468" s="114" t="s">
        <v>392</v>
      </c>
      <c r="AA468" t="s">
        <v>401</v>
      </c>
      <c r="AB468" t="s">
        <v>381</v>
      </c>
      <c r="AC468" t="s">
        <v>656</v>
      </c>
      <c r="AE468" t="s">
        <v>342</v>
      </c>
    </row>
    <row r="469" spans="1:31" x14ac:dyDescent="0.25">
      <c r="A469" s="74">
        <v>39955</v>
      </c>
      <c r="B469" s="74" t="s">
        <v>1486</v>
      </c>
      <c r="C469" s="74" t="s">
        <v>1487</v>
      </c>
      <c r="D469" s="108" t="s">
        <v>397</v>
      </c>
      <c r="E469" s="108" t="s">
        <v>388</v>
      </c>
      <c r="F469" s="108" t="s">
        <v>388</v>
      </c>
      <c r="G469" s="108" t="s">
        <v>397</v>
      </c>
      <c r="H469" s="108" t="s">
        <v>397</v>
      </c>
      <c r="I469" s="109" t="s">
        <v>397</v>
      </c>
      <c r="J469" s="110" t="s">
        <v>388</v>
      </c>
      <c r="K469" s="110" t="s">
        <v>388</v>
      </c>
      <c r="L469" s="110" t="s">
        <v>388</v>
      </c>
      <c r="M469" s="110" t="s">
        <v>388</v>
      </c>
      <c r="N469" s="110" t="s">
        <v>388</v>
      </c>
      <c r="O469" s="111" t="s">
        <v>397</v>
      </c>
      <c r="P469" s="111" t="s">
        <v>388</v>
      </c>
      <c r="Q469" s="111" t="s">
        <v>388</v>
      </c>
      <c r="R469" s="111" t="s">
        <v>397</v>
      </c>
      <c r="S469" s="111" t="s">
        <v>397</v>
      </c>
      <c r="T469" s="113" t="s">
        <v>1488</v>
      </c>
      <c r="U469" s="111" t="s">
        <v>474</v>
      </c>
      <c r="V469" s="114" t="s">
        <v>474</v>
      </c>
      <c r="W469" s="83" t="s">
        <v>399</v>
      </c>
      <c r="X469" s="114" t="s">
        <v>390</v>
      </c>
      <c r="Y469" s="114" t="s">
        <v>474</v>
      </c>
      <c r="Z469" s="114" t="s">
        <v>392</v>
      </c>
      <c r="AA469" t="s">
        <v>401</v>
      </c>
      <c r="AB469" t="s">
        <v>382</v>
      </c>
      <c r="AC469" t="s">
        <v>660</v>
      </c>
      <c r="AE469" t="s">
        <v>342</v>
      </c>
    </row>
    <row r="470" spans="1:31" x14ac:dyDescent="0.25">
      <c r="A470" s="74">
        <v>39956</v>
      </c>
      <c r="B470" s="74" t="s">
        <v>1489</v>
      </c>
      <c r="C470" s="74" t="s">
        <v>1490</v>
      </c>
      <c r="D470" s="108" t="s">
        <v>397</v>
      </c>
      <c r="E470" s="108" t="s">
        <v>388</v>
      </c>
      <c r="F470" s="108" t="s">
        <v>388</v>
      </c>
      <c r="G470" s="108" t="s">
        <v>397</v>
      </c>
      <c r="H470" s="108" t="s">
        <v>397</v>
      </c>
      <c r="I470" s="109" t="s">
        <v>397</v>
      </c>
      <c r="J470" s="110" t="s">
        <v>388</v>
      </c>
      <c r="K470" s="110" t="s">
        <v>388</v>
      </c>
      <c r="L470" s="110" t="s">
        <v>388</v>
      </c>
      <c r="M470" s="110" t="s">
        <v>388</v>
      </c>
      <c r="N470" s="110" t="s">
        <v>388</v>
      </c>
      <c r="O470" s="111" t="s">
        <v>397</v>
      </c>
      <c r="P470" s="111" t="s">
        <v>388</v>
      </c>
      <c r="Q470" s="111" t="s">
        <v>397</v>
      </c>
      <c r="R470" s="111" t="s">
        <v>388</v>
      </c>
      <c r="S470" s="111" t="s">
        <v>388</v>
      </c>
      <c r="T470" s="113" t="s">
        <v>1307</v>
      </c>
      <c r="U470" s="111" t="s">
        <v>474</v>
      </c>
      <c r="V470" s="114" t="s">
        <v>474</v>
      </c>
      <c r="W470" s="83" t="s">
        <v>399</v>
      </c>
      <c r="X470" s="114" t="s">
        <v>390</v>
      </c>
      <c r="Y470" s="114" t="s">
        <v>479</v>
      </c>
      <c r="Z470" s="114" t="s">
        <v>392</v>
      </c>
      <c r="AA470" t="s">
        <v>401</v>
      </c>
      <c r="AB470" t="s">
        <v>374</v>
      </c>
      <c r="AC470" t="s">
        <v>663</v>
      </c>
      <c r="AE470" t="s">
        <v>342</v>
      </c>
    </row>
    <row r="471" spans="1:31" x14ac:dyDescent="0.25">
      <c r="A471" s="74">
        <v>39957</v>
      </c>
      <c r="B471" s="74" t="s">
        <v>1491</v>
      </c>
      <c r="C471" s="74" t="s">
        <v>1492</v>
      </c>
      <c r="D471" s="108" t="s">
        <v>397</v>
      </c>
      <c r="E471" s="108" t="s">
        <v>388</v>
      </c>
      <c r="F471" s="108" t="s">
        <v>388</v>
      </c>
      <c r="G471" s="108" t="s">
        <v>397</v>
      </c>
      <c r="H471" s="108" t="s">
        <v>397</v>
      </c>
      <c r="I471" s="109" t="s">
        <v>397</v>
      </c>
      <c r="J471" s="110" t="s">
        <v>388</v>
      </c>
      <c r="K471" s="110" t="s">
        <v>388</v>
      </c>
      <c r="L471" s="110" t="s">
        <v>388</v>
      </c>
      <c r="M471" s="110" t="s">
        <v>388</v>
      </c>
      <c r="N471" s="110" t="s">
        <v>388</v>
      </c>
      <c r="O471" s="111" t="s">
        <v>397</v>
      </c>
      <c r="P471" s="111" t="s">
        <v>388</v>
      </c>
      <c r="Q471" s="111" t="s">
        <v>397</v>
      </c>
      <c r="R471" s="111" t="s">
        <v>388</v>
      </c>
      <c r="S471" s="111" t="s">
        <v>397</v>
      </c>
      <c r="T471" s="113" t="s">
        <v>1307</v>
      </c>
      <c r="U471" s="111" t="s">
        <v>474</v>
      </c>
      <c r="V471" s="114" t="s">
        <v>474</v>
      </c>
      <c r="W471" s="83" t="s">
        <v>399</v>
      </c>
      <c r="X471" s="114" t="s">
        <v>390</v>
      </c>
      <c r="Y471" s="114" t="s">
        <v>483</v>
      </c>
      <c r="Z471" s="114" t="s">
        <v>392</v>
      </c>
      <c r="AA471" t="s">
        <v>401</v>
      </c>
      <c r="AB471" t="s">
        <v>374</v>
      </c>
      <c r="AC471" t="s">
        <v>666</v>
      </c>
      <c r="AE471" t="s">
        <v>342</v>
      </c>
    </row>
    <row r="472" spans="1:31" x14ac:dyDescent="0.25">
      <c r="A472" s="74">
        <v>39958</v>
      </c>
      <c r="B472" s="74" t="s">
        <v>1493</v>
      </c>
      <c r="C472" s="74" t="s">
        <v>1494</v>
      </c>
      <c r="D472" s="108" t="s">
        <v>397</v>
      </c>
      <c r="E472" s="108" t="s">
        <v>388</v>
      </c>
      <c r="F472" s="108" t="s">
        <v>388</v>
      </c>
      <c r="G472" s="108" t="s">
        <v>397</v>
      </c>
      <c r="H472" s="108" t="s">
        <v>397</v>
      </c>
      <c r="I472" s="109" t="s">
        <v>397</v>
      </c>
      <c r="J472" s="110" t="s">
        <v>388</v>
      </c>
      <c r="K472" s="110" t="s">
        <v>388</v>
      </c>
      <c r="L472" s="110" t="s">
        <v>388</v>
      </c>
      <c r="M472" s="110" t="s">
        <v>388</v>
      </c>
      <c r="N472" s="110" t="s">
        <v>388</v>
      </c>
      <c r="O472" s="111" t="s">
        <v>397</v>
      </c>
      <c r="P472" s="111" t="s">
        <v>388</v>
      </c>
      <c r="Q472" s="111" t="s">
        <v>397</v>
      </c>
      <c r="R472" s="111" t="s">
        <v>397</v>
      </c>
      <c r="S472" s="111" t="s">
        <v>388</v>
      </c>
      <c r="T472" s="113" t="s">
        <v>1307</v>
      </c>
      <c r="U472" s="111" t="s">
        <v>474</v>
      </c>
      <c r="V472" s="114" t="s">
        <v>474</v>
      </c>
      <c r="W472" s="83" t="s">
        <v>399</v>
      </c>
      <c r="X472" s="114" t="s">
        <v>390</v>
      </c>
      <c r="Y472" s="114" t="s">
        <v>487</v>
      </c>
      <c r="Z472" s="114" t="s">
        <v>392</v>
      </c>
      <c r="AA472" t="s">
        <v>401</v>
      </c>
      <c r="AB472" t="s">
        <v>374</v>
      </c>
      <c r="AC472" t="s">
        <v>669</v>
      </c>
      <c r="AE472" t="s">
        <v>342</v>
      </c>
    </row>
    <row r="473" spans="1:31" x14ac:dyDescent="0.25">
      <c r="A473" s="74">
        <v>39959</v>
      </c>
      <c r="B473" s="74" t="s">
        <v>1495</v>
      </c>
      <c r="C473" s="74" t="s">
        <v>1496</v>
      </c>
      <c r="D473" s="108" t="s">
        <v>397</v>
      </c>
      <c r="E473" s="108" t="s">
        <v>388</v>
      </c>
      <c r="F473" s="108" t="s">
        <v>388</v>
      </c>
      <c r="G473" s="108" t="s">
        <v>397</v>
      </c>
      <c r="H473" s="108" t="s">
        <v>397</v>
      </c>
      <c r="I473" s="109" t="s">
        <v>397</v>
      </c>
      <c r="J473" s="110" t="s">
        <v>388</v>
      </c>
      <c r="K473" s="110" t="s">
        <v>388</v>
      </c>
      <c r="L473" s="110" t="s">
        <v>388</v>
      </c>
      <c r="M473" s="110" t="s">
        <v>388</v>
      </c>
      <c r="N473" s="110" t="s">
        <v>388</v>
      </c>
      <c r="O473" s="111" t="s">
        <v>397</v>
      </c>
      <c r="P473" s="111" t="s">
        <v>388</v>
      </c>
      <c r="Q473" s="111" t="s">
        <v>397</v>
      </c>
      <c r="R473" s="111" t="s">
        <v>397</v>
      </c>
      <c r="S473" s="111" t="s">
        <v>397</v>
      </c>
      <c r="T473" s="113" t="s">
        <v>1307</v>
      </c>
      <c r="U473" s="111" t="s">
        <v>474</v>
      </c>
      <c r="V473" s="114" t="s">
        <v>474</v>
      </c>
      <c r="W473" s="83" t="s">
        <v>399</v>
      </c>
      <c r="X473" s="114" t="s">
        <v>390</v>
      </c>
      <c r="Y473" s="114" t="s">
        <v>491</v>
      </c>
      <c r="Z473" s="114" t="s">
        <v>392</v>
      </c>
      <c r="AA473" t="s">
        <v>401</v>
      </c>
      <c r="AB473" t="s">
        <v>374</v>
      </c>
      <c r="AC473" t="s">
        <v>672</v>
      </c>
      <c r="AE473" t="s">
        <v>342</v>
      </c>
    </row>
    <row r="474" spans="1:31" x14ac:dyDescent="0.25">
      <c r="A474" s="74">
        <v>39960</v>
      </c>
      <c r="B474" s="74" t="s">
        <v>1497</v>
      </c>
      <c r="C474" s="74" t="s">
        <v>1498</v>
      </c>
      <c r="D474" s="108" t="s">
        <v>397</v>
      </c>
      <c r="E474" s="108" t="s">
        <v>388</v>
      </c>
      <c r="F474" s="108" t="s">
        <v>388</v>
      </c>
      <c r="G474" s="108" t="s">
        <v>397</v>
      </c>
      <c r="H474" s="108" t="s">
        <v>397</v>
      </c>
      <c r="I474" s="109" t="s">
        <v>397</v>
      </c>
      <c r="J474" s="110" t="s">
        <v>388</v>
      </c>
      <c r="K474" s="110" t="s">
        <v>388</v>
      </c>
      <c r="L474" s="110" t="s">
        <v>388</v>
      </c>
      <c r="M474" s="110" t="s">
        <v>388</v>
      </c>
      <c r="N474" s="110" t="s">
        <v>388</v>
      </c>
      <c r="O474" s="111" t="s">
        <v>397</v>
      </c>
      <c r="P474" s="111" t="s">
        <v>397</v>
      </c>
      <c r="Q474" s="111" t="s">
        <v>388</v>
      </c>
      <c r="R474" s="111" t="s">
        <v>388</v>
      </c>
      <c r="S474" s="111" t="s">
        <v>388</v>
      </c>
      <c r="T474" s="113" t="s">
        <v>1307</v>
      </c>
      <c r="U474" s="111" t="s">
        <v>474</v>
      </c>
      <c r="V474" s="114" t="s">
        <v>474</v>
      </c>
      <c r="W474" s="83" t="s">
        <v>399</v>
      </c>
      <c r="X474" s="114" t="s">
        <v>390</v>
      </c>
      <c r="Y474" s="114" t="s">
        <v>495</v>
      </c>
      <c r="Z474" s="114" t="s">
        <v>392</v>
      </c>
      <c r="AA474" t="s">
        <v>401</v>
      </c>
      <c r="AB474" t="s">
        <v>374</v>
      </c>
      <c r="AC474" t="s">
        <v>675</v>
      </c>
      <c r="AE474" t="s">
        <v>342</v>
      </c>
    </row>
    <row r="475" spans="1:31" x14ac:dyDescent="0.25">
      <c r="A475" s="74">
        <v>39961</v>
      </c>
      <c r="B475" s="74" t="s">
        <v>1499</v>
      </c>
      <c r="C475" s="74" t="s">
        <v>1500</v>
      </c>
      <c r="D475" s="108" t="s">
        <v>397</v>
      </c>
      <c r="E475" s="108" t="s">
        <v>388</v>
      </c>
      <c r="F475" s="108" t="s">
        <v>388</v>
      </c>
      <c r="G475" s="108" t="s">
        <v>397</v>
      </c>
      <c r="H475" s="108" t="s">
        <v>397</v>
      </c>
      <c r="I475" s="109" t="s">
        <v>397</v>
      </c>
      <c r="J475" s="110" t="s">
        <v>388</v>
      </c>
      <c r="K475" s="110" t="s">
        <v>388</v>
      </c>
      <c r="L475" s="110" t="s">
        <v>388</v>
      </c>
      <c r="M475" s="110" t="s">
        <v>388</v>
      </c>
      <c r="N475" s="110" t="s">
        <v>388</v>
      </c>
      <c r="O475" s="111" t="s">
        <v>397</v>
      </c>
      <c r="P475" s="111" t="s">
        <v>397</v>
      </c>
      <c r="Q475" s="111" t="s">
        <v>388</v>
      </c>
      <c r="R475" s="111" t="s">
        <v>388</v>
      </c>
      <c r="S475" s="111" t="s">
        <v>397</v>
      </c>
      <c r="T475" s="113" t="s">
        <v>1307</v>
      </c>
      <c r="U475" s="111" t="s">
        <v>474</v>
      </c>
      <c r="V475" s="114" t="s">
        <v>474</v>
      </c>
      <c r="W475" s="83" t="s">
        <v>399</v>
      </c>
      <c r="X475" s="114" t="s">
        <v>390</v>
      </c>
      <c r="Y475" s="114" t="s">
        <v>499</v>
      </c>
      <c r="Z475" s="114" t="s">
        <v>392</v>
      </c>
      <c r="AA475" t="s">
        <v>401</v>
      </c>
      <c r="AB475" t="s">
        <v>374</v>
      </c>
      <c r="AC475" t="s">
        <v>678</v>
      </c>
      <c r="AE475" t="s">
        <v>342</v>
      </c>
    </row>
    <row r="476" spans="1:31" x14ac:dyDescent="0.25">
      <c r="A476" s="74">
        <v>39962</v>
      </c>
      <c r="B476" s="74" t="s">
        <v>1501</v>
      </c>
      <c r="C476" s="74" t="s">
        <v>1502</v>
      </c>
      <c r="D476" s="108" t="s">
        <v>397</v>
      </c>
      <c r="E476" s="108" t="s">
        <v>388</v>
      </c>
      <c r="F476" s="108" t="s">
        <v>388</v>
      </c>
      <c r="G476" s="108" t="s">
        <v>397</v>
      </c>
      <c r="H476" s="108" t="s">
        <v>397</v>
      </c>
      <c r="I476" s="109" t="s">
        <v>397</v>
      </c>
      <c r="J476" s="110" t="s">
        <v>388</v>
      </c>
      <c r="K476" s="110" t="s">
        <v>388</v>
      </c>
      <c r="L476" s="110" t="s">
        <v>388</v>
      </c>
      <c r="M476" s="110" t="s">
        <v>388</v>
      </c>
      <c r="N476" s="110" t="s">
        <v>388</v>
      </c>
      <c r="O476" s="111" t="s">
        <v>397</v>
      </c>
      <c r="P476" s="111" t="s">
        <v>397</v>
      </c>
      <c r="Q476" s="111" t="s">
        <v>388</v>
      </c>
      <c r="R476" s="111" t="s">
        <v>397</v>
      </c>
      <c r="S476" s="111" t="s">
        <v>388</v>
      </c>
      <c r="T476" s="113" t="s">
        <v>1307</v>
      </c>
      <c r="U476" s="111" t="s">
        <v>474</v>
      </c>
      <c r="V476" s="114" t="s">
        <v>474</v>
      </c>
      <c r="W476" s="83" t="s">
        <v>399</v>
      </c>
      <c r="X476" s="114" t="s">
        <v>390</v>
      </c>
      <c r="Y476" s="114" t="s">
        <v>503</v>
      </c>
      <c r="Z476" s="114" t="s">
        <v>392</v>
      </c>
      <c r="AA476" t="s">
        <v>401</v>
      </c>
      <c r="AB476" t="s">
        <v>374</v>
      </c>
      <c r="AC476" t="s">
        <v>681</v>
      </c>
      <c r="AE476" t="s">
        <v>342</v>
      </c>
    </row>
    <row r="477" spans="1:31" x14ac:dyDescent="0.25">
      <c r="A477" s="74">
        <v>39963</v>
      </c>
      <c r="B477" s="74" t="s">
        <v>1503</v>
      </c>
      <c r="C477" s="74" t="s">
        <v>1504</v>
      </c>
      <c r="D477" s="108" t="s">
        <v>397</v>
      </c>
      <c r="E477" s="108" t="s">
        <v>388</v>
      </c>
      <c r="F477" s="108" t="s">
        <v>388</v>
      </c>
      <c r="G477" s="108" t="s">
        <v>397</v>
      </c>
      <c r="H477" s="108" t="s">
        <v>397</v>
      </c>
      <c r="I477" s="109" t="s">
        <v>397</v>
      </c>
      <c r="J477" s="110" t="s">
        <v>388</v>
      </c>
      <c r="K477" s="110" t="s">
        <v>388</v>
      </c>
      <c r="L477" s="110" t="s">
        <v>388</v>
      </c>
      <c r="M477" s="110" t="s">
        <v>388</v>
      </c>
      <c r="N477" s="110" t="s">
        <v>388</v>
      </c>
      <c r="O477" s="111" t="s">
        <v>397</v>
      </c>
      <c r="P477" s="111" t="s">
        <v>397</v>
      </c>
      <c r="Q477" s="111" t="s">
        <v>388</v>
      </c>
      <c r="R477" s="111" t="s">
        <v>397</v>
      </c>
      <c r="S477" s="111" t="s">
        <v>397</v>
      </c>
      <c r="T477" s="113" t="s">
        <v>1307</v>
      </c>
      <c r="U477" s="111" t="s">
        <v>474</v>
      </c>
      <c r="V477" s="114" t="s">
        <v>474</v>
      </c>
      <c r="W477" s="83" t="s">
        <v>399</v>
      </c>
      <c r="X477" s="114" t="s">
        <v>390</v>
      </c>
      <c r="Y477" s="114" t="s">
        <v>507</v>
      </c>
      <c r="Z477" s="114" t="s">
        <v>392</v>
      </c>
      <c r="AA477" t="s">
        <v>401</v>
      </c>
      <c r="AB477" t="s">
        <v>374</v>
      </c>
      <c r="AC477" t="s">
        <v>684</v>
      </c>
      <c r="AE477" t="s">
        <v>342</v>
      </c>
    </row>
    <row r="478" spans="1:31" x14ac:dyDescent="0.25">
      <c r="A478" s="74">
        <v>39964</v>
      </c>
      <c r="B478" s="74" t="s">
        <v>1505</v>
      </c>
      <c r="C478" s="74" t="s">
        <v>1506</v>
      </c>
      <c r="D478" s="108" t="s">
        <v>397</v>
      </c>
      <c r="E478" s="108" t="s">
        <v>388</v>
      </c>
      <c r="F478" s="108" t="s">
        <v>388</v>
      </c>
      <c r="G478" s="108" t="s">
        <v>397</v>
      </c>
      <c r="H478" s="108" t="s">
        <v>397</v>
      </c>
      <c r="I478" s="109" t="s">
        <v>397</v>
      </c>
      <c r="J478" s="110" t="s">
        <v>388</v>
      </c>
      <c r="K478" s="110" t="s">
        <v>388</v>
      </c>
      <c r="L478" s="110" t="s">
        <v>388</v>
      </c>
      <c r="M478" s="110" t="s">
        <v>388</v>
      </c>
      <c r="N478" s="110" t="s">
        <v>388</v>
      </c>
      <c r="O478" s="111" t="s">
        <v>397</v>
      </c>
      <c r="P478" s="111" t="s">
        <v>397</v>
      </c>
      <c r="Q478" s="111" t="s">
        <v>397</v>
      </c>
      <c r="R478" s="111" t="s">
        <v>388</v>
      </c>
      <c r="S478" s="111" t="s">
        <v>388</v>
      </c>
      <c r="T478" s="113" t="s">
        <v>1307</v>
      </c>
      <c r="U478" s="111" t="s">
        <v>474</v>
      </c>
      <c r="V478" s="114" t="s">
        <v>474</v>
      </c>
      <c r="W478" s="83" t="s">
        <v>399</v>
      </c>
      <c r="X478" s="114" t="s">
        <v>390</v>
      </c>
      <c r="Y478" s="114" t="s">
        <v>511</v>
      </c>
      <c r="Z478" s="114" t="s">
        <v>392</v>
      </c>
      <c r="AA478" t="s">
        <v>401</v>
      </c>
      <c r="AB478" t="s">
        <v>374</v>
      </c>
      <c r="AC478" t="s">
        <v>687</v>
      </c>
      <c r="AE478" t="s">
        <v>342</v>
      </c>
    </row>
    <row r="479" spans="1:31" x14ac:dyDescent="0.25">
      <c r="A479" s="74">
        <v>39965</v>
      </c>
      <c r="B479" s="74" t="s">
        <v>1507</v>
      </c>
      <c r="C479" s="74" t="s">
        <v>1508</v>
      </c>
      <c r="D479" s="108" t="s">
        <v>397</v>
      </c>
      <c r="E479" s="108" t="s">
        <v>388</v>
      </c>
      <c r="F479" s="108" t="s">
        <v>388</v>
      </c>
      <c r="G479" s="108" t="s">
        <v>397</v>
      </c>
      <c r="H479" s="108" t="s">
        <v>397</v>
      </c>
      <c r="I479" s="109" t="s">
        <v>397</v>
      </c>
      <c r="J479" s="110" t="s">
        <v>388</v>
      </c>
      <c r="K479" s="110" t="s">
        <v>388</v>
      </c>
      <c r="L479" s="110" t="s">
        <v>388</v>
      </c>
      <c r="M479" s="110" t="s">
        <v>388</v>
      </c>
      <c r="N479" s="110" t="s">
        <v>388</v>
      </c>
      <c r="O479" s="111" t="s">
        <v>397</v>
      </c>
      <c r="P479" s="111" t="s">
        <v>397</v>
      </c>
      <c r="Q479" s="111" t="s">
        <v>397</v>
      </c>
      <c r="R479" s="111" t="s">
        <v>388</v>
      </c>
      <c r="S479" s="111" t="s">
        <v>397</v>
      </c>
      <c r="T479" s="113" t="s">
        <v>1307</v>
      </c>
      <c r="U479" s="111" t="s">
        <v>474</v>
      </c>
      <c r="V479" s="114" t="s">
        <v>474</v>
      </c>
      <c r="W479" s="83" t="s">
        <v>399</v>
      </c>
      <c r="X479" s="114" t="s">
        <v>390</v>
      </c>
      <c r="Y479" s="114" t="s">
        <v>515</v>
      </c>
      <c r="Z479" s="114" t="s">
        <v>392</v>
      </c>
      <c r="AA479" t="s">
        <v>401</v>
      </c>
      <c r="AB479" t="s">
        <v>374</v>
      </c>
      <c r="AC479" t="s">
        <v>690</v>
      </c>
      <c r="AE479" t="s">
        <v>342</v>
      </c>
    </row>
    <row r="480" spans="1:31" x14ac:dyDescent="0.25">
      <c r="A480" s="74">
        <v>39966</v>
      </c>
      <c r="B480" s="74" t="s">
        <v>1509</v>
      </c>
      <c r="C480" s="74" t="s">
        <v>1510</v>
      </c>
      <c r="D480" s="108" t="s">
        <v>397</v>
      </c>
      <c r="E480" s="108" t="s">
        <v>388</v>
      </c>
      <c r="F480" s="108" t="s">
        <v>388</v>
      </c>
      <c r="G480" s="108" t="s">
        <v>397</v>
      </c>
      <c r="H480" s="108" t="s">
        <v>397</v>
      </c>
      <c r="I480" s="109" t="s">
        <v>397</v>
      </c>
      <c r="J480" s="110" t="s">
        <v>388</v>
      </c>
      <c r="K480" s="110" t="s">
        <v>388</v>
      </c>
      <c r="L480" s="110" t="s">
        <v>388</v>
      </c>
      <c r="M480" s="110" t="s">
        <v>388</v>
      </c>
      <c r="N480" s="110" t="s">
        <v>388</v>
      </c>
      <c r="O480" s="111" t="s">
        <v>397</v>
      </c>
      <c r="P480" s="111" t="s">
        <v>397</v>
      </c>
      <c r="Q480" s="111" t="s">
        <v>397</v>
      </c>
      <c r="R480" s="111" t="s">
        <v>397</v>
      </c>
      <c r="S480" s="111" t="s">
        <v>388</v>
      </c>
      <c r="T480" s="113" t="s">
        <v>1307</v>
      </c>
      <c r="U480" s="111" t="s">
        <v>474</v>
      </c>
      <c r="V480" s="114" t="s">
        <v>474</v>
      </c>
      <c r="W480" s="83" t="s">
        <v>399</v>
      </c>
      <c r="X480" s="114" t="s">
        <v>390</v>
      </c>
      <c r="Y480" s="114" t="s">
        <v>519</v>
      </c>
      <c r="Z480" s="114" t="s">
        <v>392</v>
      </c>
      <c r="AA480" t="s">
        <v>401</v>
      </c>
      <c r="AB480" t="s">
        <v>374</v>
      </c>
      <c r="AC480" t="s">
        <v>693</v>
      </c>
      <c r="AE480" t="s">
        <v>342</v>
      </c>
    </row>
    <row r="481" spans="1:31" x14ac:dyDescent="0.25">
      <c r="A481" s="74">
        <v>39967</v>
      </c>
      <c r="B481" s="74" t="s">
        <v>1511</v>
      </c>
      <c r="C481" s="74" t="s">
        <v>1512</v>
      </c>
      <c r="D481" s="108" t="s">
        <v>397</v>
      </c>
      <c r="E481" s="108" t="s">
        <v>388</v>
      </c>
      <c r="F481" s="108" t="s">
        <v>388</v>
      </c>
      <c r="G481" s="108" t="s">
        <v>397</v>
      </c>
      <c r="H481" s="108" t="s">
        <v>397</v>
      </c>
      <c r="I481" s="109" t="s">
        <v>397</v>
      </c>
      <c r="J481" s="110" t="s">
        <v>388</v>
      </c>
      <c r="K481" s="110" t="s">
        <v>388</v>
      </c>
      <c r="L481" s="110" t="s">
        <v>388</v>
      </c>
      <c r="M481" s="110" t="s">
        <v>388</v>
      </c>
      <c r="N481" s="110" t="s">
        <v>388</v>
      </c>
      <c r="O481" s="111" t="s">
        <v>397</v>
      </c>
      <c r="P481" s="111" t="s">
        <v>397</v>
      </c>
      <c r="Q481" s="111" t="s">
        <v>397</v>
      </c>
      <c r="R481" s="111" t="s">
        <v>397</v>
      </c>
      <c r="S481" s="111" t="s">
        <v>397</v>
      </c>
      <c r="T481" s="113" t="s">
        <v>1307</v>
      </c>
      <c r="U481" s="111" t="s">
        <v>474</v>
      </c>
      <c r="V481" s="114" t="s">
        <v>474</v>
      </c>
      <c r="W481" s="83" t="s">
        <v>399</v>
      </c>
      <c r="X481" s="114" t="s">
        <v>390</v>
      </c>
      <c r="Y481" s="114" t="s">
        <v>523</v>
      </c>
      <c r="Z481" s="114" t="s">
        <v>392</v>
      </c>
      <c r="AA481" t="s">
        <v>401</v>
      </c>
      <c r="AB481" t="s">
        <v>374</v>
      </c>
      <c r="AC481" t="s">
        <v>696</v>
      </c>
      <c r="AE481" t="s">
        <v>342</v>
      </c>
    </row>
    <row r="482" spans="1:31" x14ac:dyDescent="0.25">
      <c r="A482" s="74">
        <v>40928</v>
      </c>
      <c r="B482" s="74" t="s">
        <v>1513</v>
      </c>
      <c r="C482" s="74" t="s">
        <v>1514</v>
      </c>
      <c r="D482" s="108" t="s">
        <v>397</v>
      </c>
      <c r="E482" s="108" t="s">
        <v>388</v>
      </c>
      <c r="F482" s="108" t="s">
        <v>388</v>
      </c>
      <c r="G482" s="108" t="s">
        <v>397</v>
      </c>
      <c r="H482" s="108" t="s">
        <v>397</v>
      </c>
      <c r="I482" s="109" t="s">
        <v>397</v>
      </c>
      <c r="J482" s="110" t="s">
        <v>397</v>
      </c>
      <c r="K482" s="110" t="s">
        <v>397</v>
      </c>
      <c r="L482" s="110" t="s">
        <v>397</v>
      </c>
      <c r="M482" s="110" t="s">
        <v>397</v>
      </c>
      <c r="N482" s="110" t="s">
        <v>397</v>
      </c>
      <c r="O482" s="111" t="s">
        <v>388</v>
      </c>
      <c r="P482" s="111" t="s">
        <v>388</v>
      </c>
      <c r="Q482" s="111" t="s">
        <v>388</v>
      </c>
      <c r="R482" s="111" t="s">
        <v>388</v>
      </c>
      <c r="S482" s="111" t="s">
        <v>388</v>
      </c>
      <c r="T482" s="113" t="s">
        <v>1439</v>
      </c>
      <c r="U482" s="111" t="s">
        <v>474</v>
      </c>
      <c r="V482" s="114" t="s">
        <v>474</v>
      </c>
      <c r="W482" s="83" t="s">
        <v>399</v>
      </c>
      <c r="X482" s="114" t="s">
        <v>523</v>
      </c>
      <c r="Y482" s="114" t="s">
        <v>390</v>
      </c>
      <c r="Z482" s="114" t="s">
        <v>392</v>
      </c>
      <c r="AA482" t="s">
        <v>401</v>
      </c>
      <c r="AB482" t="s">
        <v>348</v>
      </c>
      <c r="AC482" t="s">
        <v>592</v>
      </c>
      <c r="AE482" t="s">
        <v>342</v>
      </c>
    </row>
    <row r="483" spans="1:31" x14ac:dyDescent="0.25">
      <c r="A483" s="74">
        <v>40929</v>
      </c>
      <c r="B483" s="74" t="s">
        <v>1515</v>
      </c>
      <c r="C483" s="74" t="s">
        <v>1516</v>
      </c>
      <c r="D483" s="108" t="s">
        <v>397</v>
      </c>
      <c r="E483" s="108" t="s">
        <v>388</v>
      </c>
      <c r="F483" s="108" t="s">
        <v>388</v>
      </c>
      <c r="G483" s="108" t="s">
        <v>397</v>
      </c>
      <c r="H483" s="108" t="s">
        <v>397</v>
      </c>
      <c r="I483" s="109" t="s">
        <v>397</v>
      </c>
      <c r="J483" s="110" t="s">
        <v>397</v>
      </c>
      <c r="K483" s="110" t="s">
        <v>397</v>
      </c>
      <c r="L483" s="110" t="s">
        <v>397</v>
      </c>
      <c r="M483" s="110" t="s">
        <v>397</v>
      </c>
      <c r="N483" s="110" t="s">
        <v>397</v>
      </c>
      <c r="O483" s="111" t="s">
        <v>388</v>
      </c>
      <c r="P483" s="111" t="s">
        <v>388</v>
      </c>
      <c r="Q483" s="111" t="s">
        <v>388</v>
      </c>
      <c r="R483" s="111" t="s">
        <v>388</v>
      </c>
      <c r="S483" s="111" t="s">
        <v>397</v>
      </c>
      <c r="T483" s="113" t="s">
        <v>1442</v>
      </c>
      <c r="U483" s="111" t="s">
        <v>474</v>
      </c>
      <c r="V483" s="114" t="s">
        <v>474</v>
      </c>
      <c r="W483" s="83" t="s">
        <v>399</v>
      </c>
      <c r="X483" s="114" t="s">
        <v>523</v>
      </c>
      <c r="Y483" s="114" t="s">
        <v>400</v>
      </c>
      <c r="Z483" s="114" t="s">
        <v>392</v>
      </c>
      <c r="AA483" t="s">
        <v>401</v>
      </c>
      <c r="AB483" t="s">
        <v>204</v>
      </c>
      <c r="AC483" t="s">
        <v>596</v>
      </c>
      <c r="AE483" t="s">
        <v>342</v>
      </c>
    </row>
    <row r="484" spans="1:31" x14ac:dyDescent="0.25">
      <c r="A484" s="74">
        <v>40930</v>
      </c>
      <c r="B484" s="74" t="s">
        <v>1517</v>
      </c>
      <c r="C484" s="74" t="s">
        <v>1518</v>
      </c>
      <c r="D484" s="108" t="s">
        <v>397</v>
      </c>
      <c r="E484" s="108" t="s">
        <v>388</v>
      </c>
      <c r="F484" s="108" t="s">
        <v>388</v>
      </c>
      <c r="G484" s="108" t="s">
        <v>397</v>
      </c>
      <c r="H484" s="108" t="s">
        <v>397</v>
      </c>
      <c r="I484" s="109" t="s">
        <v>397</v>
      </c>
      <c r="J484" s="110" t="s">
        <v>397</v>
      </c>
      <c r="K484" s="110" t="s">
        <v>397</v>
      </c>
      <c r="L484" s="110" t="s">
        <v>397</v>
      </c>
      <c r="M484" s="110" t="s">
        <v>397</v>
      </c>
      <c r="N484" s="110" t="s">
        <v>397</v>
      </c>
      <c r="O484" s="111" t="s">
        <v>388</v>
      </c>
      <c r="P484" s="111" t="s">
        <v>388</v>
      </c>
      <c r="Q484" s="111" t="s">
        <v>388</v>
      </c>
      <c r="R484" s="111" t="s">
        <v>397</v>
      </c>
      <c r="S484" s="111" t="s">
        <v>388</v>
      </c>
      <c r="T484" s="113" t="s">
        <v>1445</v>
      </c>
      <c r="U484" s="111" t="s">
        <v>474</v>
      </c>
      <c r="V484" s="114" t="s">
        <v>474</v>
      </c>
      <c r="W484" s="83" t="s">
        <v>399</v>
      </c>
      <c r="X484" s="114" t="s">
        <v>523</v>
      </c>
      <c r="Y484" s="114" t="s">
        <v>405</v>
      </c>
      <c r="Z484" s="114" t="s">
        <v>392</v>
      </c>
      <c r="AA484" t="s">
        <v>401</v>
      </c>
      <c r="AB484" t="s">
        <v>375</v>
      </c>
      <c r="AC484" t="s">
        <v>600</v>
      </c>
      <c r="AE484" t="s">
        <v>342</v>
      </c>
    </row>
    <row r="485" spans="1:31" x14ac:dyDescent="0.25">
      <c r="A485" s="74">
        <v>40931</v>
      </c>
      <c r="B485" s="74" t="s">
        <v>1519</v>
      </c>
      <c r="C485" s="74" t="s">
        <v>1520</v>
      </c>
      <c r="D485" s="108" t="s">
        <v>397</v>
      </c>
      <c r="E485" s="108" t="s">
        <v>388</v>
      </c>
      <c r="F485" s="108" t="s">
        <v>388</v>
      </c>
      <c r="G485" s="108" t="s">
        <v>397</v>
      </c>
      <c r="H485" s="108" t="s">
        <v>397</v>
      </c>
      <c r="I485" s="109" t="s">
        <v>397</v>
      </c>
      <c r="J485" s="110" t="s">
        <v>397</v>
      </c>
      <c r="K485" s="110" t="s">
        <v>397</v>
      </c>
      <c r="L485" s="110" t="s">
        <v>397</v>
      </c>
      <c r="M485" s="110" t="s">
        <v>397</v>
      </c>
      <c r="N485" s="110" t="s">
        <v>397</v>
      </c>
      <c r="O485" s="111" t="s">
        <v>388</v>
      </c>
      <c r="P485" s="111" t="s">
        <v>388</v>
      </c>
      <c r="Q485" s="111" t="s">
        <v>388</v>
      </c>
      <c r="R485" s="111" t="s">
        <v>397</v>
      </c>
      <c r="S485" s="111" t="s">
        <v>397</v>
      </c>
      <c r="T485" s="113" t="s">
        <v>1448</v>
      </c>
      <c r="U485" s="111" t="s">
        <v>474</v>
      </c>
      <c r="V485" s="114" t="s">
        <v>474</v>
      </c>
      <c r="W485" s="83" t="s">
        <v>399</v>
      </c>
      <c r="X485" s="114" t="s">
        <v>523</v>
      </c>
      <c r="Y485" s="114" t="s">
        <v>409</v>
      </c>
      <c r="Z485" s="114" t="s">
        <v>392</v>
      </c>
      <c r="AA485" t="s">
        <v>401</v>
      </c>
      <c r="AB485" t="s">
        <v>376</v>
      </c>
      <c r="AC485" t="s">
        <v>604</v>
      </c>
      <c r="AE485" t="s">
        <v>342</v>
      </c>
    </row>
    <row r="486" spans="1:31" x14ac:dyDescent="0.25">
      <c r="A486" s="74">
        <v>40932</v>
      </c>
      <c r="B486" s="74" t="s">
        <v>1521</v>
      </c>
      <c r="C486" s="74" t="s">
        <v>1522</v>
      </c>
      <c r="D486" s="108" t="s">
        <v>397</v>
      </c>
      <c r="E486" s="108" t="s">
        <v>388</v>
      </c>
      <c r="F486" s="108" t="s">
        <v>388</v>
      </c>
      <c r="G486" s="108" t="s">
        <v>397</v>
      </c>
      <c r="H486" s="108" t="s">
        <v>397</v>
      </c>
      <c r="I486" s="109" t="s">
        <v>397</v>
      </c>
      <c r="J486" s="110" t="s">
        <v>397</v>
      </c>
      <c r="K486" s="110" t="s">
        <v>397</v>
      </c>
      <c r="L486" s="110" t="s">
        <v>397</v>
      </c>
      <c r="M486" s="110" t="s">
        <v>397</v>
      </c>
      <c r="N486" s="110" t="s">
        <v>397</v>
      </c>
      <c r="O486" s="111" t="s">
        <v>388</v>
      </c>
      <c r="P486" s="111" t="s">
        <v>388</v>
      </c>
      <c r="Q486" s="111" t="s">
        <v>397</v>
      </c>
      <c r="R486" s="111" t="s">
        <v>388</v>
      </c>
      <c r="S486" s="111" t="s">
        <v>388</v>
      </c>
      <c r="T486" s="113" t="s">
        <v>1451</v>
      </c>
      <c r="U486" s="111" t="s">
        <v>474</v>
      </c>
      <c r="V486" s="114" t="s">
        <v>474</v>
      </c>
      <c r="W486" s="83" t="s">
        <v>399</v>
      </c>
      <c r="X486" s="114" t="s">
        <v>523</v>
      </c>
      <c r="Y486" s="114" t="s">
        <v>413</v>
      </c>
      <c r="Z486" s="114" t="s">
        <v>392</v>
      </c>
      <c r="AA486" t="s">
        <v>401</v>
      </c>
      <c r="AB486" t="s">
        <v>377</v>
      </c>
      <c r="AC486" t="s">
        <v>608</v>
      </c>
      <c r="AE486" t="s">
        <v>342</v>
      </c>
    </row>
    <row r="487" spans="1:31" x14ac:dyDescent="0.25">
      <c r="A487" s="74">
        <v>40933</v>
      </c>
      <c r="B487" s="74" t="s">
        <v>1523</v>
      </c>
      <c r="C487" s="74" t="s">
        <v>1524</v>
      </c>
      <c r="D487" s="108" t="s">
        <v>397</v>
      </c>
      <c r="E487" s="108" t="s">
        <v>388</v>
      </c>
      <c r="F487" s="108" t="s">
        <v>388</v>
      </c>
      <c r="G487" s="108" t="s">
        <v>397</v>
      </c>
      <c r="H487" s="108" t="s">
        <v>397</v>
      </c>
      <c r="I487" s="109" t="s">
        <v>397</v>
      </c>
      <c r="J487" s="110" t="s">
        <v>397</v>
      </c>
      <c r="K487" s="110" t="s">
        <v>397</v>
      </c>
      <c r="L487" s="110" t="s">
        <v>397</v>
      </c>
      <c r="M487" s="110" t="s">
        <v>397</v>
      </c>
      <c r="N487" s="110" t="s">
        <v>397</v>
      </c>
      <c r="O487" s="111" t="s">
        <v>388</v>
      </c>
      <c r="P487" s="111" t="s">
        <v>388</v>
      </c>
      <c r="Q487" s="111" t="s">
        <v>397</v>
      </c>
      <c r="R487" s="111" t="s">
        <v>388</v>
      </c>
      <c r="S487" s="111" t="s">
        <v>397</v>
      </c>
      <c r="T487" s="113" t="s">
        <v>1454</v>
      </c>
      <c r="U487" s="111" t="s">
        <v>474</v>
      </c>
      <c r="V487" s="114" t="s">
        <v>474</v>
      </c>
      <c r="W487" s="83" t="s">
        <v>399</v>
      </c>
      <c r="X487" s="114" t="s">
        <v>523</v>
      </c>
      <c r="Y487" s="114" t="s">
        <v>417</v>
      </c>
      <c r="Z487" s="114" t="s">
        <v>392</v>
      </c>
      <c r="AA487" t="s">
        <v>401</v>
      </c>
      <c r="AB487" t="s">
        <v>378</v>
      </c>
      <c r="AC487" t="s">
        <v>612</v>
      </c>
      <c r="AE487" t="s">
        <v>342</v>
      </c>
    </row>
    <row r="488" spans="1:31" x14ac:dyDescent="0.25">
      <c r="A488" s="74">
        <v>40934</v>
      </c>
      <c r="B488" s="74" t="s">
        <v>1525</v>
      </c>
      <c r="C488" s="74" t="s">
        <v>1526</v>
      </c>
      <c r="D488" s="108" t="s">
        <v>397</v>
      </c>
      <c r="E488" s="108" t="s">
        <v>388</v>
      </c>
      <c r="F488" s="108" t="s">
        <v>388</v>
      </c>
      <c r="G488" s="108" t="s">
        <v>397</v>
      </c>
      <c r="H488" s="108" t="s">
        <v>397</v>
      </c>
      <c r="I488" s="109" t="s">
        <v>397</v>
      </c>
      <c r="J488" s="110" t="s">
        <v>397</v>
      </c>
      <c r="K488" s="110" t="s">
        <v>397</v>
      </c>
      <c r="L488" s="110" t="s">
        <v>397</v>
      </c>
      <c r="M488" s="110" t="s">
        <v>397</v>
      </c>
      <c r="N488" s="110" t="s">
        <v>397</v>
      </c>
      <c r="O488" s="111" t="s">
        <v>388</v>
      </c>
      <c r="P488" s="111" t="s">
        <v>388</v>
      </c>
      <c r="Q488" s="111" t="s">
        <v>397</v>
      </c>
      <c r="R488" s="111" t="s">
        <v>397</v>
      </c>
      <c r="S488" s="111" t="s">
        <v>388</v>
      </c>
      <c r="T488" s="113" t="s">
        <v>1457</v>
      </c>
      <c r="U488" s="111" t="s">
        <v>474</v>
      </c>
      <c r="V488" s="114" t="s">
        <v>474</v>
      </c>
      <c r="W488" s="83" t="s">
        <v>399</v>
      </c>
      <c r="X488" s="114" t="s">
        <v>523</v>
      </c>
      <c r="Y488" s="114" t="s">
        <v>421</v>
      </c>
      <c r="Z488" s="114" t="s">
        <v>392</v>
      </c>
      <c r="AA488" t="s">
        <v>401</v>
      </c>
      <c r="AB488" t="s">
        <v>379</v>
      </c>
      <c r="AC488" t="s">
        <v>616</v>
      </c>
      <c r="AE488" t="s">
        <v>342</v>
      </c>
    </row>
    <row r="489" spans="1:31" x14ac:dyDescent="0.25">
      <c r="A489" s="74">
        <v>40935</v>
      </c>
      <c r="B489" s="74" t="s">
        <v>1527</v>
      </c>
      <c r="C489" s="74" t="s">
        <v>1528</v>
      </c>
      <c r="D489" s="108" t="s">
        <v>397</v>
      </c>
      <c r="E489" s="108" t="s">
        <v>388</v>
      </c>
      <c r="F489" s="108" t="s">
        <v>388</v>
      </c>
      <c r="G489" s="108" t="s">
        <v>397</v>
      </c>
      <c r="H489" s="108" t="s">
        <v>397</v>
      </c>
      <c r="I489" s="109" t="s">
        <v>397</v>
      </c>
      <c r="J489" s="110" t="s">
        <v>397</v>
      </c>
      <c r="K489" s="110" t="s">
        <v>397</v>
      </c>
      <c r="L489" s="110" t="s">
        <v>397</v>
      </c>
      <c r="M489" s="110" t="s">
        <v>397</v>
      </c>
      <c r="N489" s="110" t="s">
        <v>397</v>
      </c>
      <c r="O489" s="111" t="s">
        <v>388</v>
      </c>
      <c r="P489" s="111" t="s">
        <v>388</v>
      </c>
      <c r="Q489" s="111" t="s">
        <v>397</v>
      </c>
      <c r="R489" s="111" t="s">
        <v>397</v>
      </c>
      <c r="S489" s="111" t="s">
        <v>397</v>
      </c>
      <c r="T489" s="113" t="s">
        <v>1460</v>
      </c>
      <c r="U489" s="111" t="s">
        <v>474</v>
      </c>
      <c r="V489" s="114" t="s">
        <v>474</v>
      </c>
      <c r="W489" s="83" t="s">
        <v>399</v>
      </c>
      <c r="X489" s="114" t="s">
        <v>523</v>
      </c>
      <c r="Y489" s="114" t="s">
        <v>425</v>
      </c>
      <c r="Z489" s="114" t="s">
        <v>392</v>
      </c>
      <c r="AA489" t="s">
        <v>401</v>
      </c>
      <c r="AB489" t="s">
        <v>380</v>
      </c>
      <c r="AC489" t="s">
        <v>620</v>
      </c>
      <c r="AE489" t="s">
        <v>342</v>
      </c>
    </row>
    <row r="490" spans="1:31" x14ac:dyDescent="0.25">
      <c r="A490" s="74">
        <v>40936</v>
      </c>
      <c r="B490" s="74" t="s">
        <v>1529</v>
      </c>
      <c r="C490" s="74" t="s">
        <v>1530</v>
      </c>
      <c r="D490" s="108" t="s">
        <v>397</v>
      </c>
      <c r="E490" s="108" t="s">
        <v>388</v>
      </c>
      <c r="F490" s="108" t="s">
        <v>388</v>
      </c>
      <c r="G490" s="108" t="s">
        <v>397</v>
      </c>
      <c r="H490" s="108" t="s">
        <v>397</v>
      </c>
      <c r="I490" s="109" t="s">
        <v>397</v>
      </c>
      <c r="J490" s="110" t="s">
        <v>397</v>
      </c>
      <c r="K490" s="110" t="s">
        <v>397</v>
      </c>
      <c r="L490" s="110" t="s">
        <v>397</v>
      </c>
      <c r="M490" s="110" t="s">
        <v>397</v>
      </c>
      <c r="N490" s="110" t="s">
        <v>397</v>
      </c>
      <c r="O490" s="111" t="s">
        <v>388</v>
      </c>
      <c r="P490" s="111" t="s">
        <v>397</v>
      </c>
      <c r="Q490" s="111" t="s">
        <v>388</v>
      </c>
      <c r="R490" s="111" t="s">
        <v>388</v>
      </c>
      <c r="S490" s="111" t="s">
        <v>388</v>
      </c>
      <c r="T490" s="113" t="s">
        <v>1463</v>
      </c>
      <c r="U490" s="111" t="s">
        <v>474</v>
      </c>
      <c r="V490" s="114" t="s">
        <v>474</v>
      </c>
      <c r="W490" s="83" t="s">
        <v>399</v>
      </c>
      <c r="X490" s="114" t="s">
        <v>523</v>
      </c>
      <c r="Y490" s="114" t="s">
        <v>429</v>
      </c>
      <c r="Z490" s="114" t="s">
        <v>392</v>
      </c>
      <c r="AA490" t="s">
        <v>401</v>
      </c>
      <c r="AB490" t="s">
        <v>355</v>
      </c>
      <c r="AC490" t="s">
        <v>624</v>
      </c>
      <c r="AE490" t="s">
        <v>342</v>
      </c>
    </row>
    <row r="491" spans="1:31" x14ac:dyDescent="0.25">
      <c r="A491" s="74">
        <v>40937</v>
      </c>
      <c r="B491" s="74" t="s">
        <v>1531</v>
      </c>
      <c r="C491" s="74" t="s">
        <v>1532</v>
      </c>
      <c r="D491" s="108" t="s">
        <v>397</v>
      </c>
      <c r="E491" s="108" t="s">
        <v>388</v>
      </c>
      <c r="F491" s="108" t="s">
        <v>388</v>
      </c>
      <c r="G491" s="108" t="s">
        <v>397</v>
      </c>
      <c r="H491" s="108" t="s">
        <v>397</v>
      </c>
      <c r="I491" s="109" t="s">
        <v>397</v>
      </c>
      <c r="J491" s="110" t="s">
        <v>397</v>
      </c>
      <c r="K491" s="110" t="s">
        <v>397</v>
      </c>
      <c r="L491" s="110" t="s">
        <v>397</v>
      </c>
      <c r="M491" s="110" t="s">
        <v>397</v>
      </c>
      <c r="N491" s="110" t="s">
        <v>397</v>
      </c>
      <c r="O491" s="111" t="s">
        <v>388</v>
      </c>
      <c r="P491" s="111" t="s">
        <v>397</v>
      </c>
      <c r="Q491" s="111" t="s">
        <v>388</v>
      </c>
      <c r="R491" s="111" t="s">
        <v>388</v>
      </c>
      <c r="S491" s="111" t="s">
        <v>397</v>
      </c>
      <c r="T491" s="113" t="s">
        <v>1307</v>
      </c>
      <c r="U491" s="111" t="s">
        <v>474</v>
      </c>
      <c r="V491" s="114" t="s">
        <v>474</v>
      </c>
      <c r="W491" s="83" t="s">
        <v>399</v>
      </c>
      <c r="X491" s="114" t="s">
        <v>523</v>
      </c>
      <c r="Y491" s="114" t="s">
        <v>433</v>
      </c>
      <c r="Z491" s="114" t="s">
        <v>392</v>
      </c>
      <c r="AA491" t="s">
        <v>401</v>
      </c>
      <c r="AB491" t="s">
        <v>374</v>
      </c>
      <c r="AC491" t="s">
        <v>627</v>
      </c>
      <c r="AE491" t="s">
        <v>342</v>
      </c>
    </row>
    <row r="492" spans="1:31" x14ac:dyDescent="0.25">
      <c r="A492" s="74">
        <v>40938</v>
      </c>
      <c r="B492" s="74" t="s">
        <v>1533</v>
      </c>
      <c r="C492" s="74" t="s">
        <v>1534</v>
      </c>
      <c r="D492" s="108" t="s">
        <v>397</v>
      </c>
      <c r="E492" s="108" t="s">
        <v>388</v>
      </c>
      <c r="F492" s="108" t="s">
        <v>388</v>
      </c>
      <c r="G492" s="108" t="s">
        <v>397</v>
      </c>
      <c r="H492" s="108" t="s">
        <v>397</v>
      </c>
      <c r="I492" s="109" t="s">
        <v>397</v>
      </c>
      <c r="J492" s="110" t="s">
        <v>397</v>
      </c>
      <c r="K492" s="110" t="s">
        <v>397</v>
      </c>
      <c r="L492" s="110" t="s">
        <v>397</v>
      </c>
      <c r="M492" s="110" t="s">
        <v>397</v>
      </c>
      <c r="N492" s="110" t="s">
        <v>397</v>
      </c>
      <c r="O492" s="111" t="s">
        <v>388</v>
      </c>
      <c r="P492" s="111" t="s">
        <v>397</v>
      </c>
      <c r="Q492" s="111" t="s">
        <v>388</v>
      </c>
      <c r="R492" s="111" t="s">
        <v>397</v>
      </c>
      <c r="S492" s="111" t="s">
        <v>388</v>
      </c>
      <c r="T492" s="113" t="s">
        <v>1307</v>
      </c>
      <c r="U492" s="111" t="s">
        <v>474</v>
      </c>
      <c r="V492" s="114" t="s">
        <v>474</v>
      </c>
      <c r="W492" s="83" t="s">
        <v>399</v>
      </c>
      <c r="X492" s="114" t="s">
        <v>523</v>
      </c>
      <c r="Y492" s="114" t="s">
        <v>437</v>
      </c>
      <c r="Z492" s="114" t="s">
        <v>392</v>
      </c>
      <c r="AA492" t="s">
        <v>401</v>
      </c>
      <c r="AB492" t="s">
        <v>374</v>
      </c>
      <c r="AC492" t="s">
        <v>630</v>
      </c>
      <c r="AE492" t="s">
        <v>342</v>
      </c>
    </row>
    <row r="493" spans="1:31" x14ac:dyDescent="0.25">
      <c r="A493" s="74">
        <v>40939</v>
      </c>
      <c r="B493" s="74" t="s">
        <v>1535</v>
      </c>
      <c r="C493" s="74" t="s">
        <v>1536</v>
      </c>
      <c r="D493" s="108" t="s">
        <v>397</v>
      </c>
      <c r="E493" s="108" t="s">
        <v>388</v>
      </c>
      <c r="F493" s="108" t="s">
        <v>388</v>
      </c>
      <c r="G493" s="108" t="s">
        <v>397</v>
      </c>
      <c r="H493" s="108" t="s">
        <v>397</v>
      </c>
      <c r="I493" s="109" t="s">
        <v>397</v>
      </c>
      <c r="J493" s="110" t="s">
        <v>397</v>
      </c>
      <c r="K493" s="110" t="s">
        <v>397</v>
      </c>
      <c r="L493" s="110" t="s">
        <v>397</v>
      </c>
      <c r="M493" s="110" t="s">
        <v>397</v>
      </c>
      <c r="N493" s="110" t="s">
        <v>397</v>
      </c>
      <c r="O493" s="111" t="s">
        <v>388</v>
      </c>
      <c r="P493" s="111" t="s">
        <v>397</v>
      </c>
      <c r="Q493" s="111" t="s">
        <v>388</v>
      </c>
      <c r="R493" s="111" t="s">
        <v>397</v>
      </c>
      <c r="S493" s="111" t="s">
        <v>397</v>
      </c>
      <c r="T493" s="113" t="s">
        <v>1307</v>
      </c>
      <c r="U493" s="111" t="s">
        <v>474</v>
      </c>
      <c r="V493" s="114" t="s">
        <v>474</v>
      </c>
      <c r="W493" s="83" t="s">
        <v>399</v>
      </c>
      <c r="X493" s="114" t="s">
        <v>523</v>
      </c>
      <c r="Y493" s="114" t="s">
        <v>441</v>
      </c>
      <c r="Z493" s="114" t="s">
        <v>392</v>
      </c>
      <c r="AA493" t="s">
        <v>401</v>
      </c>
      <c r="AB493" t="s">
        <v>374</v>
      </c>
      <c r="AC493" t="s">
        <v>633</v>
      </c>
      <c r="AE493" t="s">
        <v>342</v>
      </c>
    </row>
    <row r="494" spans="1:31" x14ac:dyDescent="0.25">
      <c r="A494" s="74">
        <v>40940</v>
      </c>
      <c r="B494" s="74" t="s">
        <v>1537</v>
      </c>
      <c r="C494" s="74" t="s">
        <v>1538</v>
      </c>
      <c r="D494" s="108" t="s">
        <v>397</v>
      </c>
      <c r="E494" s="108" t="s">
        <v>388</v>
      </c>
      <c r="F494" s="108" t="s">
        <v>388</v>
      </c>
      <c r="G494" s="108" t="s">
        <v>397</v>
      </c>
      <c r="H494" s="108" t="s">
        <v>397</v>
      </c>
      <c r="I494" s="109" t="s">
        <v>397</v>
      </c>
      <c r="J494" s="110" t="s">
        <v>397</v>
      </c>
      <c r="K494" s="110" t="s">
        <v>397</v>
      </c>
      <c r="L494" s="110" t="s">
        <v>397</v>
      </c>
      <c r="M494" s="110" t="s">
        <v>397</v>
      </c>
      <c r="N494" s="110" t="s">
        <v>397</v>
      </c>
      <c r="O494" s="111" t="s">
        <v>388</v>
      </c>
      <c r="P494" s="111" t="s">
        <v>397</v>
      </c>
      <c r="Q494" s="111" t="s">
        <v>397</v>
      </c>
      <c r="R494" s="111" t="s">
        <v>388</v>
      </c>
      <c r="S494" s="111" t="s">
        <v>388</v>
      </c>
      <c r="T494" s="113" t="s">
        <v>1307</v>
      </c>
      <c r="U494" s="111" t="s">
        <v>474</v>
      </c>
      <c r="V494" s="114" t="s">
        <v>474</v>
      </c>
      <c r="W494" s="83" t="s">
        <v>399</v>
      </c>
      <c r="X494" s="114" t="s">
        <v>523</v>
      </c>
      <c r="Y494" s="114" t="s">
        <v>445</v>
      </c>
      <c r="Z494" s="114" t="s">
        <v>392</v>
      </c>
      <c r="AA494" t="s">
        <v>401</v>
      </c>
      <c r="AB494" t="s">
        <v>374</v>
      </c>
      <c r="AC494" t="s">
        <v>636</v>
      </c>
      <c r="AE494" t="s">
        <v>342</v>
      </c>
    </row>
    <row r="495" spans="1:31" x14ac:dyDescent="0.25">
      <c r="A495" s="74">
        <v>40941</v>
      </c>
      <c r="B495" s="74" t="s">
        <v>1539</v>
      </c>
      <c r="C495" s="74" t="s">
        <v>1540</v>
      </c>
      <c r="D495" s="108" t="s">
        <v>397</v>
      </c>
      <c r="E495" s="108" t="s">
        <v>388</v>
      </c>
      <c r="F495" s="108" t="s">
        <v>388</v>
      </c>
      <c r="G495" s="108" t="s">
        <v>397</v>
      </c>
      <c r="H495" s="108" t="s">
        <v>397</v>
      </c>
      <c r="I495" s="109" t="s">
        <v>397</v>
      </c>
      <c r="J495" s="110" t="s">
        <v>397</v>
      </c>
      <c r="K495" s="110" t="s">
        <v>397</v>
      </c>
      <c r="L495" s="110" t="s">
        <v>397</v>
      </c>
      <c r="M495" s="110" t="s">
        <v>397</v>
      </c>
      <c r="N495" s="110" t="s">
        <v>397</v>
      </c>
      <c r="O495" s="111" t="s">
        <v>388</v>
      </c>
      <c r="P495" s="111" t="s">
        <v>397</v>
      </c>
      <c r="Q495" s="111" t="s">
        <v>397</v>
      </c>
      <c r="R495" s="111" t="s">
        <v>388</v>
      </c>
      <c r="S495" s="111" t="s">
        <v>397</v>
      </c>
      <c r="T495" s="113" t="s">
        <v>1307</v>
      </c>
      <c r="U495" s="111" t="s">
        <v>474</v>
      </c>
      <c r="V495" s="114" t="s">
        <v>474</v>
      </c>
      <c r="W495" s="83" t="s">
        <v>399</v>
      </c>
      <c r="X495" s="114" t="s">
        <v>523</v>
      </c>
      <c r="Y495" s="114" t="s">
        <v>449</v>
      </c>
      <c r="Z495" s="114" t="s">
        <v>392</v>
      </c>
      <c r="AA495" t="s">
        <v>401</v>
      </c>
      <c r="AB495" t="s">
        <v>374</v>
      </c>
      <c r="AC495" t="s">
        <v>639</v>
      </c>
      <c r="AE495" t="s">
        <v>342</v>
      </c>
    </row>
    <row r="496" spans="1:31" x14ac:dyDescent="0.25">
      <c r="A496" s="74">
        <v>40942</v>
      </c>
      <c r="B496" s="74" t="s">
        <v>1541</v>
      </c>
      <c r="C496" s="74" t="s">
        <v>1542</v>
      </c>
      <c r="D496" s="108" t="s">
        <v>397</v>
      </c>
      <c r="E496" s="108" t="s">
        <v>388</v>
      </c>
      <c r="F496" s="108" t="s">
        <v>388</v>
      </c>
      <c r="G496" s="108" t="s">
        <v>397</v>
      </c>
      <c r="H496" s="108" t="s">
        <v>397</v>
      </c>
      <c r="I496" s="109" t="s">
        <v>397</v>
      </c>
      <c r="J496" s="110" t="s">
        <v>397</v>
      </c>
      <c r="K496" s="110" t="s">
        <v>397</v>
      </c>
      <c r="L496" s="110" t="s">
        <v>397</v>
      </c>
      <c r="M496" s="110" t="s">
        <v>397</v>
      </c>
      <c r="N496" s="110" t="s">
        <v>397</v>
      </c>
      <c r="O496" s="111" t="s">
        <v>388</v>
      </c>
      <c r="P496" s="111" t="s">
        <v>397</v>
      </c>
      <c r="Q496" s="111" t="s">
        <v>397</v>
      </c>
      <c r="R496" s="111" t="s">
        <v>397</v>
      </c>
      <c r="S496" s="111" t="s">
        <v>388</v>
      </c>
      <c r="T496" s="113" t="s">
        <v>1307</v>
      </c>
      <c r="U496" s="111" t="s">
        <v>474</v>
      </c>
      <c r="V496" s="114" t="s">
        <v>474</v>
      </c>
      <c r="W496" s="83" t="s">
        <v>399</v>
      </c>
      <c r="X496" s="114" t="s">
        <v>523</v>
      </c>
      <c r="Y496" s="114" t="s">
        <v>453</v>
      </c>
      <c r="Z496" s="114" t="s">
        <v>392</v>
      </c>
      <c r="AA496" t="s">
        <v>401</v>
      </c>
      <c r="AB496" t="s">
        <v>374</v>
      </c>
      <c r="AC496" t="s">
        <v>642</v>
      </c>
      <c r="AE496" t="s">
        <v>342</v>
      </c>
    </row>
    <row r="497" spans="1:31" x14ac:dyDescent="0.25">
      <c r="A497" s="74">
        <v>40943</v>
      </c>
      <c r="B497" s="74" t="s">
        <v>1543</v>
      </c>
      <c r="C497" s="74" t="s">
        <v>1544</v>
      </c>
      <c r="D497" s="108" t="s">
        <v>397</v>
      </c>
      <c r="E497" s="108" t="s">
        <v>388</v>
      </c>
      <c r="F497" s="108" t="s">
        <v>388</v>
      </c>
      <c r="G497" s="108" t="s">
        <v>397</v>
      </c>
      <c r="H497" s="108" t="s">
        <v>397</v>
      </c>
      <c r="I497" s="109" t="s">
        <v>397</v>
      </c>
      <c r="J497" s="110" t="s">
        <v>397</v>
      </c>
      <c r="K497" s="110" t="s">
        <v>397</v>
      </c>
      <c r="L497" s="110" t="s">
        <v>397</v>
      </c>
      <c r="M497" s="110" t="s">
        <v>397</v>
      </c>
      <c r="N497" s="110" t="s">
        <v>397</v>
      </c>
      <c r="O497" s="111" t="s">
        <v>388</v>
      </c>
      <c r="P497" s="111" t="s">
        <v>397</v>
      </c>
      <c r="Q497" s="111" t="s">
        <v>397</v>
      </c>
      <c r="R497" s="111" t="s">
        <v>397</v>
      </c>
      <c r="S497" s="111" t="s">
        <v>397</v>
      </c>
      <c r="T497" s="113" t="s">
        <v>1307</v>
      </c>
      <c r="U497" s="111" t="s">
        <v>474</v>
      </c>
      <c r="V497" s="114" t="s">
        <v>474</v>
      </c>
      <c r="W497" s="83" t="s">
        <v>399</v>
      </c>
      <c r="X497" s="114" t="s">
        <v>523</v>
      </c>
      <c r="Y497" s="114" t="s">
        <v>457</v>
      </c>
      <c r="Z497" s="114" t="s">
        <v>392</v>
      </c>
      <c r="AA497" t="s">
        <v>401</v>
      </c>
      <c r="AB497" t="s">
        <v>374</v>
      </c>
      <c r="AC497" t="s">
        <v>645</v>
      </c>
      <c r="AE497" t="s">
        <v>342</v>
      </c>
    </row>
    <row r="498" spans="1:31" x14ac:dyDescent="0.25">
      <c r="A498" s="74">
        <v>40944</v>
      </c>
      <c r="B498" s="74" t="s">
        <v>1545</v>
      </c>
      <c r="C498" s="74" t="s">
        <v>1546</v>
      </c>
      <c r="D498" s="108" t="s">
        <v>397</v>
      </c>
      <c r="E498" s="108" t="s">
        <v>388</v>
      </c>
      <c r="F498" s="108" t="s">
        <v>388</v>
      </c>
      <c r="G498" s="108" t="s">
        <v>397</v>
      </c>
      <c r="H498" s="108" t="s">
        <v>397</v>
      </c>
      <c r="I498" s="109" t="s">
        <v>397</v>
      </c>
      <c r="J498" s="110" t="s">
        <v>397</v>
      </c>
      <c r="K498" s="110" t="s">
        <v>397</v>
      </c>
      <c r="L498" s="110" t="s">
        <v>397</v>
      </c>
      <c r="M498" s="110" t="s">
        <v>397</v>
      </c>
      <c r="N498" s="110" t="s">
        <v>397</v>
      </c>
      <c r="O498" s="111" t="s">
        <v>397</v>
      </c>
      <c r="P498" s="111" t="s">
        <v>388</v>
      </c>
      <c r="Q498" s="111" t="s">
        <v>388</v>
      </c>
      <c r="R498" s="111" t="s">
        <v>388</v>
      </c>
      <c r="S498" s="111" t="s">
        <v>388</v>
      </c>
      <c r="T498" s="113" t="s">
        <v>1480</v>
      </c>
      <c r="U498" s="111" t="s">
        <v>474</v>
      </c>
      <c r="V498" s="114" t="s">
        <v>474</v>
      </c>
      <c r="W498" s="83" t="s">
        <v>399</v>
      </c>
      <c r="X498" s="114" t="s">
        <v>523</v>
      </c>
      <c r="Y498" s="114" t="s">
        <v>461</v>
      </c>
      <c r="Z498" s="114" t="s">
        <v>392</v>
      </c>
      <c r="AA498" t="s">
        <v>401</v>
      </c>
      <c r="AB498" t="s">
        <v>116</v>
      </c>
      <c r="AC498" t="s">
        <v>649</v>
      </c>
      <c r="AE498" t="s">
        <v>342</v>
      </c>
    </row>
    <row r="499" spans="1:31" x14ac:dyDescent="0.25">
      <c r="A499" s="74">
        <v>40945</v>
      </c>
      <c r="B499" s="74" t="s">
        <v>1547</v>
      </c>
      <c r="C499" s="74" t="s">
        <v>1548</v>
      </c>
      <c r="D499" s="108" t="s">
        <v>397</v>
      </c>
      <c r="E499" s="108" t="s">
        <v>388</v>
      </c>
      <c r="F499" s="108" t="s">
        <v>388</v>
      </c>
      <c r="G499" s="108" t="s">
        <v>397</v>
      </c>
      <c r="H499" s="108" t="s">
        <v>397</v>
      </c>
      <c r="I499" s="109" t="s">
        <v>397</v>
      </c>
      <c r="J499" s="110" t="s">
        <v>397</v>
      </c>
      <c r="K499" s="110" t="s">
        <v>397</v>
      </c>
      <c r="L499" s="110" t="s">
        <v>397</v>
      </c>
      <c r="M499" s="110" t="s">
        <v>397</v>
      </c>
      <c r="N499" s="110" t="s">
        <v>397</v>
      </c>
      <c r="O499" s="111" t="s">
        <v>397</v>
      </c>
      <c r="P499" s="111" t="s">
        <v>388</v>
      </c>
      <c r="Q499" s="111" t="s">
        <v>388</v>
      </c>
      <c r="R499" s="111" t="s">
        <v>388</v>
      </c>
      <c r="S499" s="111" t="s">
        <v>397</v>
      </c>
      <c r="T499" s="113" t="s">
        <v>1307</v>
      </c>
      <c r="U499" s="111" t="s">
        <v>474</v>
      </c>
      <c r="V499" s="114" t="s">
        <v>474</v>
      </c>
      <c r="W499" s="83" t="s">
        <v>399</v>
      </c>
      <c r="X499" s="114" t="s">
        <v>523</v>
      </c>
      <c r="Y499" s="114" t="s">
        <v>466</v>
      </c>
      <c r="Z499" s="114" t="s">
        <v>392</v>
      </c>
      <c r="AA499" t="s">
        <v>401</v>
      </c>
      <c r="AB499" t="s">
        <v>374</v>
      </c>
      <c r="AC499" t="s">
        <v>652</v>
      </c>
      <c r="AE499" t="s">
        <v>342</v>
      </c>
    </row>
    <row r="500" spans="1:31" x14ac:dyDescent="0.25">
      <c r="A500" s="74">
        <v>40946</v>
      </c>
      <c r="B500" s="74" t="s">
        <v>1549</v>
      </c>
      <c r="C500" s="74" t="s">
        <v>1550</v>
      </c>
      <c r="D500" s="108" t="s">
        <v>397</v>
      </c>
      <c r="E500" s="108" t="s">
        <v>388</v>
      </c>
      <c r="F500" s="108" t="s">
        <v>388</v>
      </c>
      <c r="G500" s="108" t="s">
        <v>397</v>
      </c>
      <c r="H500" s="108" t="s">
        <v>397</v>
      </c>
      <c r="I500" s="109" t="s">
        <v>397</v>
      </c>
      <c r="J500" s="110" t="s">
        <v>397</v>
      </c>
      <c r="K500" s="110" t="s">
        <v>397</v>
      </c>
      <c r="L500" s="110" t="s">
        <v>397</v>
      </c>
      <c r="M500" s="110" t="s">
        <v>397</v>
      </c>
      <c r="N500" s="110" t="s">
        <v>397</v>
      </c>
      <c r="O500" s="111" t="s">
        <v>397</v>
      </c>
      <c r="P500" s="111" t="s">
        <v>388</v>
      </c>
      <c r="Q500" s="111" t="s">
        <v>388</v>
      </c>
      <c r="R500" s="111" t="s">
        <v>397</v>
      </c>
      <c r="S500" s="111" t="s">
        <v>388</v>
      </c>
      <c r="T500" s="113" t="s">
        <v>1485</v>
      </c>
      <c r="U500" s="111" t="s">
        <v>474</v>
      </c>
      <c r="V500" s="114" t="s">
        <v>474</v>
      </c>
      <c r="W500" s="83" t="s">
        <v>399</v>
      </c>
      <c r="X500" s="114" t="s">
        <v>523</v>
      </c>
      <c r="Y500" s="114" t="s">
        <v>470</v>
      </c>
      <c r="Z500" s="114" t="s">
        <v>392</v>
      </c>
      <c r="AA500" t="s">
        <v>401</v>
      </c>
      <c r="AB500" t="s">
        <v>381</v>
      </c>
      <c r="AC500" t="s">
        <v>656</v>
      </c>
      <c r="AE500" t="s">
        <v>342</v>
      </c>
    </row>
    <row r="501" spans="1:31" x14ac:dyDescent="0.25">
      <c r="A501" s="74">
        <v>40947</v>
      </c>
      <c r="B501" s="74" t="s">
        <v>1551</v>
      </c>
      <c r="C501" s="74" t="s">
        <v>1552</v>
      </c>
      <c r="D501" s="108" t="s">
        <v>397</v>
      </c>
      <c r="E501" s="108" t="s">
        <v>388</v>
      </c>
      <c r="F501" s="108" t="s">
        <v>388</v>
      </c>
      <c r="G501" s="108" t="s">
        <v>397</v>
      </c>
      <c r="H501" s="108" t="s">
        <v>397</v>
      </c>
      <c r="I501" s="109" t="s">
        <v>397</v>
      </c>
      <c r="J501" s="110" t="s">
        <v>397</v>
      </c>
      <c r="K501" s="110" t="s">
        <v>397</v>
      </c>
      <c r="L501" s="110" t="s">
        <v>397</v>
      </c>
      <c r="M501" s="110" t="s">
        <v>397</v>
      </c>
      <c r="N501" s="110" t="s">
        <v>397</v>
      </c>
      <c r="O501" s="111" t="s">
        <v>397</v>
      </c>
      <c r="P501" s="111" t="s">
        <v>388</v>
      </c>
      <c r="Q501" s="111" t="s">
        <v>388</v>
      </c>
      <c r="R501" s="111" t="s">
        <v>397</v>
      </c>
      <c r="S501" s="111" t="s">
        <v>397</v>
      </c>
      <c r="T501" s="113" t="s">
        <v>1488</v>
      </c>
      <c r="U501" s="111" t="s">
        <v>474</v>
      </c>
      <c r="V501" s="114" t="s">
        <v>474</v>
      </c>
      <c r="W501" s="83" t="s">
        <v>399</v>
      </c>
      <c r="X501" s="114" t="s">
        <v>523</v>
      </c>
      <c r="Y501" s="114" t="s">
        <v>474</v>
      </c>
      <c r="Z501" s="114" t="s">
        <v>392</v>
      </c>
      <c r="AA501" t="s">
        <v>401</v>
      </c>
      <c r="AB501" t="s">
        <v>382</v>
      </c>
      <c r="AC501" t="s">
        <v>660</v>
      </c>
      <c r="AE501" t="s">
        <v>342</v>
      </c>
    </row>
    <row r="502" spans="1:31" x14ac:dyDescent="0.25">
      <c r="A502" s="74">
        <v>40948</v>
      </c>
      <c r="B502" s="74" t="s">
        <v>1553</v>
      </c>
      <c r="C502" s="74" t="s">
        <v>1554</v>
      </c>
      <c r="D502" s="108" t="s">
        <v>397</v>
      </c>
      <c r="E502" s="108" t="s">
        <v>388</v>
      </c>
      <c r="F502" s="108" t="s">
        <v>388</v>
      </c>
      <c r="G502" s="108" t="s">
        <v>397</v>
      </c>
      <c r="H502" s="108" t="s">
        <v>397</v>
      </c>
      <c r="I502" s="109" t="s">
        <v>397</v>
      </c>
      <c r="J502" s="110" t="s">
        <v>397</v>
      </c>
      <c r="K502" s="110" t="s">
        <v>397</v>
      </c>
      <c r="L502" s="110" t="s">
        <v>397</v>
      </c>
      <c r="M502" s="110" t="s">
        <v>397</v>
      </c>
      <c r="N502" s="110" t="s">
        <v>397</v>
      </c>
      <c r="O502" s="111" t="s">
        <v>397</v>
      </c>
      <c r="P502" s="111" t="s">
        <v>388</v>
      </c>
      <c r="Q502" s="111" t="s">
        <v>397</v>
      </c>
      <c r="R502" s="111" t="s">
        <v>388</v>
      </c>
      <c r="S502" s="111" t="s">
        <v>388</v>
      </c>
      <c r="T502" s="113" t="s">
        <v>1307</v>
      </c>
      <c r="U502" s="111" t="s">
        <v>474</v>
      </c>
      <c r="V502" s="114" t="s">
        <v>474</v>
      </c>
      <c r="W502" s="83" t="s">
        <v>399</v>
      </c>
      <c r="X502" s="114" t="s">
        <v>523</v>
      </c>
      <c r="Y502" s="114" t="s">
        <v>479</v>
      </c>
      <c r="Z502" s="114" t="s">
        <v>392</v>
      </c>
      <c r="AA502" t="s">
        <v>401</v>
      </c>
      <c r="AB502" t="s">
        <v>374</v>
      </c>
      <c r="AC502" t="s">
        <v>663</v>
      </c>
      <c r="AE502" t="s">
        <v>342</v>
      </c>
    </row>
    <row r="503" spans="1:31" x14ac:dyDescent="0.25">
      <c r="A503" s="74">
        <v>40949</v>
      </c>
      <c r="B503" s="74" t="s">
        <v>1555</v>
      </c>
      <c r="C503" s="74" t="s">
        <v>1556</v>
      </c>
      <c r="D503" s="108" t="s">
        <v>397</v>
      </c>
      <c r="E503" s="108" t="s">
        <v>388</v>
      </c>
      <c r="F503" s="108" t="s">
        <v>388</v>
      </c>
      <c r="G503" s="108" t="s">
        <v>397</v>
      </c>
      <c r="H503" s="108" t="s">
        <v>397</v>
      </c>
      <c r="I503" s="109" t="s">
        <v>397</v>
      </c>
      <c r="J503" s="110" t="s">
        <v>397</v>
      </c>
      <c r="K503" s="110" t="s">
        <v>397</v>
      </c>
      <c r="L503" s="110" t="s">
        <v>397</v>
      </c>
      <c r="M503" s="110" t="s">
        <v>397</v>
      </c>
      <c r="N503" s="110" t="s">
        <v>397</v>
      </c>
      <c r="O503" s="111" t="s">
        <v>397</v>
      </c>
      <c r="P503" s="111" t="s">
        <v>388</v>
      </c>
      <c r="Q503" s="111" t="s">
        <v>397</v>
      </c>
      <c r="R503" s="111" t="s">
        <v>388</v>
      </c>
      <c r="S503" s="111" t="s">
        <v>397</v>
      </c>
      <c r="T503" s="113" t="s">
        <v>1307</v>
      </c>
      <c r="U503" s="111" t="s">
        <v>474</v>
      </c>
      <c r="V503" s="114" t="s">
        <v>474</v>
      </c>
      <c r="W503" s="83" t="s">
        <v>399</v>
      </c>
      <c r="X503" s="114" t="s">
        <v>523</v>
      </c>
      <c r="Y503" s="114" t="s">
        <v>483</v>
      </c>
      <c r="Z503" s="114" t="s">
        <v>392</v>
      </c>
      <c r="AA503" t="s">
        <v>401</v>
      </c>
      <c r="AB503" t="s">
        <v>374</v>
      </c>
      <c r="AC503" t="s">
        <v>666</v>
      </c>
      <c r="AE503" t="s">
        <v>342</v>
      </c>
    </row>
    <row r="504" spans="1:31" x14ac:dyDescent="0.25">
      <c r="A504" s="74">
        <v>40950</v>
      </c>
      <c r="B504" s="74" t="s">
        <v>1557</v>
      </c>
      <c r="C504" s="74" t="s">
        <v>1558</v>
      </c>
      <c r="D504" s="108" t="s">
        <v>397</v>
      </c>
      <c r="E504" s="108" t="s">
        <v>388</v>
      </c>
      <c r="F504" s="108" t="s">
        <v>388</v>
      </c>
      <c r="G504" s="108" t="s">
        <v>397</v>
      </c>
      <c r="H504" s="108" t="s">
        <v>397</v>
      </c>
      <c r="I504" s="109" t="s">
        <v>397</v>
      </c>
      <c r="J504" s="110" t="s">
        <v>397</v>
      </c>
      <c r="K504" s="110" t="s">
        <v>397</v>
      </c>
      <c r="L504" s="110" t="s">
        <v>397</v>
      </c>
      <c r="M504" s="110" t="s">
        <v>397</v>
      </c>
      <c r="N504" s="110" t="s">
        <v>397</v>
      </c>
      <c r="O504" s="111" t="s">
        <v>397</v>
      </c>
      <c r="P504" s="111" t="s">
        <v>388</v>
      </c>
      <c r="Q504" s="111" t="s">
        <v>397</v>
      </c>
      <c r="R504" s="111" t="s">
        <v>397</v>
      </c>
      <c r="S504" s="111" t="s">
        <v>388</v>
      </c>
      <c r="T504" s="113" t="s">
        <v>1307</v>
      </c>
      <c r="U504" s="111" t="s">
        <v>474</v>
      </c>
      <c r="V504" s="114" t="s">
        <v>474</v>
      </c>
      <c r="W504" s="83" t="s">
        <v>399</v>
      </c>
      <c r="X504" s="114" t="s">
        <v>523</v>
      </c>
      <c r="Y504" s="114" t="s">
        <v>487</v>
      </c>
      <c r="Z504" s="114" t="s">
        <v>392</v>
      </c>
      <c r="AA504" t="s">
        <v>401</v>
      </c>
      <c r="AB504" t="s">
        <v>374</v>
      </c>
      <c r="AC504" t="s">
        <v>669</v>
      </c>
      <c r="AE504" t="s">
        <v>342</v>
      </c>
    </row>
    <row r="505" spans="1:31" x14ac:dyDescent="0.25">
      <c r="A505" s="74">
        <v>40951</v>
      </c>
      <c r="B505" s="74" t="s">
        <v>1559</v>
      </c>
      <c r="C505" s="74" t="s">
        <v>1560</v>
      </c>
      <c r="D505" s="108" t="s">
        <v>397</v>
      </c>
      <c r="E505" s="108" t="s">
        <v>388</v>
      </c>
      <c r="F505" s="108" t="s">
        <v>388</v>
      </c>
      <c r="G505" s="108" t="s">
        <v>397</v>
      </c>
      <c r="H505" s="108" t="s">
        <v>397</v>
      </c>
      <c r="I505" s="109" t="s">
        <v>397</v>
      </c>
      <c r="J505" s="110" t="s">
        <v>397</v>
      </c>
      <c r="K505" s="110" t="s">
        <v>397</v>
      </c>
      <c r="L505" s="110" t="s">
        <v>397</v>
      </c>
      <c r="M505" s="110" t="s">
        <v>397</v>
      </c>
      <c r="N505" s="110" t="s">
        <v>397</v>
      </c>
      <c r="O505" s="111" t="s">
        <v>397</v>
      </c>
      <c r="P505" s="111" t="s">
        <v>388</v>
      </c>
      <c r="Q505" s="111" t="s">
        <v>397</v>
      </c>
      <c r="R505" s="111" t="s">
        <v>397</v>
      </c>
      <c r="S505" s="111" t="s">
        <v>397</v>
      </c>
      <c r="T505" s="113" t="s">
        <v>1307</v>
      </c>
      <c r="U505" s="111" t="s">
        <v>474</v>
      </c>
      <c r="V505" s="114" t="s">
        <v>474</v>
      </c>
      <c r="W505" s="83" t="s">
        <v>399</v>
      </c>
      <c r="X505" s="114" t="s">
        <v>523</v>
      </c>
      <c r="Y505" s="114" t="s">
        <v>491</v>
      </c>
      <c r="Z505" s="114" t="s">
        <v>392</v>
      </c>
      <c r="AA505" t="s">
        <v>401</v>
      </c>
      <c r="AB505" t="s">
        <v>374</v>
      </c>
      <c r="AC505" t="s">
        <v>672</v>
      </c>
      <c r="AE505" t="s">
        <v>342</v>
      </c>
    </row>
    <row r="506" spans="1:31" x14ac:dyDescent="0.25">
      <c r="A506" s="74">
        <v>40952</v>
      </c>
      <c r="B506" s="74" t="s">
        <v>1561</v>
      </c>
      <c r="C506" s="74" t="s">
        <v>1562</v>
      </c>
      <c r="D506" s="108" t="s">
        <v>397</v>
      </c>
      <c r="E506" s="108" t="s">
        <v>388</v>
      </c>
      <c r="F506" s="108" t="s">
        <v>388</v>
      </c>
      <c r="G506" s="108" t="s">
        <v>397</v>
      </c>
      <c r="H506" s="108" t="s">
        <v>397</v>
      </c>
      <c r="I506" s="109" t="s">
        <v>397</v>
      </c>
      <c r="J506" s="110" t="s">
        <v>397</v>
      </c>
      <c r="K506" s="110" t="s">
        <v>397</v>
      </c>
      <c r="L506" s="110" t="s">
        <v>397</v>
      </c>
      <c r="M506" s="110" t="s">
        <v>397</v>
      </c>
      <c r="N506" s="110" t="s">
        <v>397</v>
      </c>
      <c r="O506" s="111" t="s">
        <v>397</v>
      </c>
      <c r="P506" s="111" t="s">
        <v>397</v>
      </c>
      <c r="Q506" s="111" t="s">
        <v>388</v>
      </c>
      <c r="R506" s="111" t="s">
        <v>388</v>
      </c>
      <c r="S506" s="111" t="s">
        <v>388</v>
      </c>
      <c r="T506" s="113" t="s">
        <v>1307</v>
      </c>
      <c r="U506" s="111" t="s">
        <v>474</v>
      </c>
      <c r="V506" s="114" t="s">
        <v>474</v>
      </c>
      <c r="W506" s="83" t="s">
        <v>399</v>
      </c>
      <c r="X506" s="114" t="s">
        <v>523</v>
      </c>
      <c r="Y506" s="114" t="s">
        <v>495</v>
      </c>
      <c r="Z506" s="114" t="s">
        <v>392</v>
      </c>
      <c r="AA506" t="s">
        <v>401</v>
      </c>
      <c r="AB506" t="s">
        <v>374</v>
      </c>
      <c r="AC506" t="s">
        <v>675</v>
      </c>
      <c r="AE506" t="s">
        <v>342</v>
      </c>
    </row>
    <row r="507" spans="1:31" x14ac:dyDescent="0.25">
      <c r="A507" s="74">
        <v>40953</v>
      </c>
      <c r="B507" s="74" t="s">
        <v>1563</v>
      </c>
      <c r="C507" s="74" t="s">
        <v>1564</v>
      </c>
      <c r="D507" s="108" t="s">
        <v>397</v>
      </c>
      <c r="E507" s="108" t="s">
        <v>388</v>
      </c>
      <c r="F507" s="108" t="s">
        <v>388</v>
      </c>
      <c r="G507" s="108" t="s">
        <v>397</v>
      </c>
      <c r="H507" s="108" t="s">
        <v>397</v>
      </c>
      <c r="I507" s="109" t="s">
        <v>397</v>
      </c>
      <c r="J507" s="110" t="s">
        <v>397</v>
      </c>
      <c r="K507" s="110" t="s">
        <v>397</v>
      </c>
      <c r="L507" s="110" t="s">
        <v>397</v>
      </c>
      <c r="M507" s="110" t="s">
        <v>397</v>
      </c>
      <c r="N507" s="110" t="s">
        <v>397</v>
      </c>
      <c r="O507" s="111" t="s">
        <v>397</v>
      </c>
      <c r="P507" s="111" t="s">
        <v>397</v>
      </c>
      <c r="Q507" s="111" t="s">
        <v>388</v>
      </c>
      <c r="R507" s="111" t="s">
        <v>388</v>
      </c>
      <c r="S507" s="111" t="s">
        <v>397</v>
      </c>
      <c r="T507" s="113" t="s">
        <v>1307</v>
      </c>
      <c r="U507" s="111" t="s">
        <v>474</v>
      </c>
      <c r="V507" s="114" t="s">
        <v>474</v>
      </c>
      <c r="W507" s="83" t="s">
        <v>399</v>
      </c>
      <c r="X507" s="114" t="s">
        <v>523</v>
      </c>
      <c r="Y507" s="114" t="s">
        <v>499</v>
      </c>
      <c r="Z507" s="114" t="s">
        <v>392</v>
      </c>
      <c r="AA507" t="s">
        <v>401</v>
      </c>
      <c r="AB507" t="s">
        <v>374</v>
      </c>
      <c r="AC507" t="s">
        <v>678</v>
      </c>
      <c r="AE507" t="s">
        <v>342</v>
      </c>
    </row>
    <row r="508" spans="1:31" x14ac:dyDescent="0.25">
      <c r="A508" s="74">
        <v>40954</v>
      </c>
      <c r="B508" s="74" t="s">
        <v>1565</v>
      </c>
      <c r="C508" s="74" t="s">
        <v>1566</v>
      </c>
      <c r="D508" s="108" t="s">
        <v>397</v>
      </c>
      <c r="E508" s="108" t="s">
        <v>388</v>
      </c>
      <c r="F508" s="108" t="s">
        <v>388</v>
      </c>
      <c r="G508" s="108" t="s">
        <v>397</v>
      </c>
      <c r="H508" s="108" t="s">
        <v>397</v>
      </c>
      <c r="I508" s="109" t="s">
        <v>397</v>
      </c>
      <c r="J508" s="110" t="s">
        <v>397</v>
      </c>
      <c r="K508" s="110" t="s">
        <v>397</v>
      </c>
      <c r="L508" s="110" t="s">
        <v>397</v>
      </c>
      <c r="M508" s="110" t="s">
        <v>397</v>
      </c>
      <c r="N508" s="110" t="s">
        <v>397</v>
      </c>
      <c r="O508" s="111" t="s">
        <v>397</v>
      </c>
      <c r="P508" s="111" t="s">
        <v>397</v>
      </c>
      <c r="Q508" s="111" t="s">
        <v>388</v>
      </c>
      <c r="R508" s="111" t="s">
        <v>397</v>
      </c>
      <c r="S508" s="111" t="s">
        <v>388</v>
      </c>
      <c r="T508" s="113" t="s">
        <v>1307</v>
      </c>
      <c r="U508" s="111" t="s">
        <v>474</v>
      </c>
      <c r="V508" s="114" t="s">
        <v>474</v>
      </c>
      <c r="W508" s="83" t="s">
        <v>399</v>
      </c>
      <c r="X508" s="114" t="s">
        <v>523</v>
      </c>
      <c r="Y508" s="114" t="s">
        <v>503</v>
      </c>
      <c r="Z508" s="114" t="s">
        <v>392</v>
      </c>
      <c r="AA508" t="s">
        <v>401</v>
      </c>
      <c r="AB508" t="s">
        <v>374</v>
      </c>
      <c r="AC508" t="s">
        <v>681</v>
      </c>
      <c r="AE508" t="s">
        <v>342</v>
      </c>
    </row>
    <row r="509" spans="1:31" x14ac:dyDescent="0.25">
      <c r="A509" s="74">
        <v>40955</v>
      </c>
      <c r="B509" s="74" t="s">
        <v>1567</v>
      </c>
      <c r="C509" s="74" t="s">
        <v>1568</v>
      </c>
      <c r="D509" s="108" t="s">
        <v>397</v>
      </c>
      <c r="E509" s="108" t="s">
        <v>388</v>
      </c>
      <c r="F509" s="108" t="s">
        <v>388</v>
      </c>
      <c r="G509" s="108" t="s">
        <v>397</v>
      </c>
      <c r="H509" s="108" t="s">
        <v>397</v>
      </c>
      <c r="I509" s="109" t="s">
        <v>397</v>
      </c>
      <c r="J509" s="110" t="s">
        <v>397</v>
      </c>
      <c r="K509" s="110" t="s">
        <v>397</v>
      </c>
      <c r="L509" s="110" t="s">
        <v>397</v>
      </c>
      <c r="M509" s="110" t="s">
        <v>397</v>
      </c>
      <c r="N509" s="110" t="s">
        <v>397</v>
      </c>
      <c r="O509" s="111" t="s">
        <v>397</v>
      </c>
      <c r="P509" s="111" t="s">
        <v>397</v>
      </c>
      <c r="Q509" s="111" t="s">
        <v>388</v>
      </c>
      <c r="R509" s="111" t="s">
        <v>397</v>
      </c>
      <c r="S509" s="111" t="s">
        <v>397</v>
      </c>
      <c r="T509" s="113" t="s">
        <v>1307</v>
      </c>
      <c r="U509" s="111" t="s">
        <v>474</v>
      </c>
      <c r="V509" s="114" t="s">
        <v>474</v>
      </c>
      <c r="W509" s="83" t="s">
        <v>399</v>
      </c>
      <c r="X509" s="114" t="s">
        <v>523</v>
      </c>
      <c r="Y509" s="114" t="s">
        <v>507</v>
      </c>
      <c r="Z509" s="114" t="s">
        <v>392</v>
      </c>
      <c r="AA509" t="s">
        <v>401</v>
      </c>
      <c r="AB509" t="s">
        <v>374</v>
      </c>
      <c r="AC509" t="s">
        <v>684</v>
      </c>
      <c r="AE509" t="s">
        <v>342</v>
      </c>
    </row>
    <row r="510" spans="1:31" x14ac:dyDescent="0.25">
      <c r="A510" s="74">
        <v>40956</v>
      </c>
      <c r="B510" s="74" t="s">
        <v>1569</v>
      </c>
      <c r="C510" s="74" t="s">
        <v>1570</v>
      </c>
      <c r="D510" s="108" t="s">
        <v>397</v>
      </c>
      <c r="E510" s="108" t="s">
        <v>388</v>
      </c>
      <c r="F510" s="108" t="s">
        <v>388</v>
      </c>
      <c r="G510" s="108" t="s">
        <v>397</v>
      </c>
      <c r="H510" s="108" t="s">
        <v>397</v>
      </c>
      <c r="I510" s="109" t="s">
        <v>397</v>
      </c>
      <c r="J510" s="110" t="s">
        <v>397</v>
      </c>
      <c r="K510" s="110" t="s">
        <v>397</v>
      </c>
      <c r="L510" s="110" t="s">
        <v>397</v>
      </c>
      <c r="M510" s="110" t="s">
        <v>397</v>
      </c>
      <c r="N510" s="110" t="s">
        <v>397</v>
      </c>
      <c r="O510" s="111" t="s">
        <v>397</v>
      </c>
      <c r="P510" s="111" t="s">
        <v>397</v>
      </c>
      <c r="Q510" s="111" t="s">
        <v>397</v>
      </c>
      <c r="R510" s="111" t="s">
        <v>388</v>
      </c>
      <c r="S510" s="111" t="s">
        <v>388</v>
      </c>
      <c r="T510" s="113" t="s">
        <v>1307</v>
      </c>
      <c r="U510" s="111" t="s">
        <v>474</v>
      </c>
      <c r="V510" s="114" t="s">
        <v>474</v>
      </c>
      <c r="W510" s="83" t="s">
        <v>399</v>
      </c>
      <c r="X510" s="114" t="s">
        <v>523</v>
      </c>
      <c r="Y510" s="114" t="s">
        <v>511</v>
      </c>
      <c r="Z510" s="114" t="s">
        <v>392</v>
      </c>
      <c r="AA510" t="s">
        <v>401</v>
      </c>
      <c r="AB510" t="s">
        <v>374</v>
      </c>
      <c r="AC510" t="s">
        <v>687</v>
      </c>
      <c r="AE510" t="s">
        <v>342</v>
      </c>
    </row>
    <row r="511" spans="1:31" x14ac:dyDescent="0.25">
      <c r="A511" s="74">
        <v>40957</v>
      </c>
      <c r="B511" s="74" t="s">
        <v>1571</v>
      </c>
      <c r="C511" s="74" t="s">
        <v>1572</v>
      </c>
      <c r="D511" s="108" t="s">
        <v>397</v>
      </c>
      <c r="E511" s="108" t="s">
        <v>388</v>
      </c>
      <c r="F511" s="108" t="s">
        <v>388</v>
      </c>
      <c r="G511" s="108" t="s">
        <v>397</v>
      </c>
      <c r="H511" s="108" t="s">
        <v>397</v>
      </c>
      <c r="I511" s="109" t="s">
        <v>397</v>
      </c>
      <c r="J511" s="110" t="s">
        <v>397</v>
      </c>
      <c r="K511" s="110" t="s">
        <v>397</v>
      </c>
      <c r="L511" s="110" t="s">
        <v>397</v>
      </c>
      <c r="M511" s="110" t="s">
        <v>397</v>
      </c>
      <c r="N511" s="110" t="s">
        <v>397</v>
      </c>
      <c r="O511" s="111" t="s">
        <v>397</v>
      </c>
      <c r="P511" s="111" t="s">
        <v>397</v>
      </c>
      <c r="Q511" s="111" t="s">
        <v>397</v>
      </c>
      <c r="R511" s="111" t="s">
        <v>388</v>
      </c>
      <c r="S511" s="111" t="s">
        <v>397</v>
      </c>
      <c r="T511" s="113" t="s">
        <v>1307</v>
      </c>
      <c r="U511" s="111" t="s">
        <v>474</v>
      </c>
      <c r="V511" s="114" t="s">
        <v>474</v>
      </c>
      <c r="W511" s="83" t="s">
        <v>399</v>
      </c>
      <c r="X511" s="114" t="s">
        <v>523</v>
      </c>
      <c r="Y511" s="114" t="s">
        <v>515</v>
      </c>
      <c r="Z511" s="114" t="s">
        <v>392</v>
      </c>
      <c r="AA511" t="s">
        <v>401</v>
      </c>
      <c r="AB511" t="s">
        <v>374</v>
      </c>
      <c r="AC511" t="s">
        <v>690</v>
      </c>
      <c r="AE511" t="s">
        <v>342</v>
      </c>
    </row>
    <row r="512" spans="1:31" x14ac:dyDescent="0.25">
      <c r="A512" s="74">
        <v>40958</v>
      </c>
      <c r="B512" s="74" t="s">
        <v>1573</v>
      </c>
      <c r="C512" s="74" t="s">
        <v>1574</v>
      </c>
      <c r="D512" s="108" t="s">
        <v>397</v>
      </c>
      <c r="E512" s="108" t="s">
        <v>388</v>
      </c>
      <c r="F512" s="108" t="s">
        <v>388</v>
      </c>
      <c r="G512" s="108" t="s">
        <v>397</v>
      </c>
      <c r="H512" s="108" t="s">
        <v>397</v>
      </c>
      <c r="I512" s="109" t="s">
        <v>397</v>
      </c>
      <c r="J512" s="110" t="s">
        <v>397</v>
      </c>
      <c r="K512" s="110" t="s">
        <v>397</v>
      </c>
      <c r="L512" s="110" t="s">
        <v>397</v>
      </c>
      <c r="M512" s="110" t="s">
        <v>397</v>
      </c>
      <c r="N512" s="110" t="s">
        <v>397</v>
      </c>
      <c r="O512" s="111" t="s">
        <v>397</v>
      </c>
      <c r="P512" s="111" t="s">
        <v>397</v>
      </c>
      <c r="Q512" s="111" t="s">
        <v>397</v>
      </c>
      <c r="R512" s="111" t="s">
        <v>397</v>
      </c>
      <c r="S512" s="111" t="s">
        <v>388</v>
      </c>
      <c r="T512" s="113" t="s">
        <v>1307</v>
      </c>
      <c r="U512" s="111" t="s">
        <v>474</v>
      </c>
      <c r="V512" s="114" t="s">
        <v>474</v>
      </c>
      <c r="W512" s="83" t="s">
        <v>399</v>
      </c>
      <c r="X512" s="114" t="s">
        <v>523</v>
      </c>
      <c r="Y512" s="114" t="s">
        <v>519</v>
      </c>
      <c r="Z512" s="114" t="s">
        <v>392</v>
      </c>
      <c r="AA512" t="s">
        <v>401</v>
      </c>
      <c r="AB512" t="s">
        <v>374</v>
      </c>
      <c r="AC512" t="s">
        <v>693</v>
      </c>
      <c r="AE512" t="s">
        <v>342</v>
      </c>
    </row>
    <row r="513" spans="1:31" x14ac:dyDescent="0.25">
      <c r="A513" s="74">
        <v>40959</v>
      </c>
      <c r="B513" s="74" t="s">
        <v>1575</v>
      </c>
      <c r="C513" s="74" t="s">
        <v>1576</v>
      </c>
      <c r="D513" s="108" t="s">
        <v>397</v>
      </c>
      <c r="E513" s="108" t="s">
        <v>388</v>
      </c>
      <c r="F513" s="108" t="s">
        <v>388</v>
      </c>
      <c r="G513" s="108" t="s">
        <v>397</v>
      </c>
      <c r="H513" s="108" t="s">
        <v>397</v>
      </c>
      <c r="I513" s="109" t="s">
        <v>397</v>
      </c>
      <c r="J513" s="110" t="s">
        <v>397</v>
      </c>
      <c r="K513" s="110" t="s">
        <v>397</v>
      </c>
      <c r="L513" s="110" t="s">
        <v>397</v>
      </c>
      <c r="M513" s="110" t="s">
        <v>397</v>
      </c>
      <c r="N513" s="110" t="s">
        <v>397</v>
      </c>
      <c r="O513" s="111" t="s">
        <v>397</v>
      </c>
      <c r="P513" s="111" t="s">
        <v>397</v>
      </c>
      <c r="Q513" s="111" t="s">
        <v>397</v>
      </c>
      <c r="R513" s="111" t="s">
        <v>397</v>
      </c>
      <c r="S513" s="111" t="s">
        <v>397</v>
      </c>
      <c r="T513" s="113" t="s">
        <v>1307</v>
      </c>
      <c r="U513" s="111" t="s">
        <v>474</v>
      </c>
      <c r="V513" s="114" t="s">
        <v>474</v>
      </c>
      <c r="W513" s="83" t="s">
        <v>399</v>
      </c>
      <c r="X513" s="114" t="s">
        <v>523</v>
      </c>
      <c r="Y513" s="114" t="s">
        <v>523</v>
      </c>
      <c r="Z513" s="114" t="s">
        <v>392</v>
      </c>
      <c r="AA513" t="s">
        <v>401</v>
      </c>
      <c r="AB513" t="s">
        <v>374</v>
      </c>
      <c r="AC513" t="s">
        <v>696</v>
      </c>
      <c r="AE513" t="s">
        <v>342</v>
      </c>
    </row>
    <row r="514" spans="1:31" x14ac:dyDescent="0.25">
      <c r="T514" s="113"/>
      <c r="U514" s="111"/>
      <c r="W514" s="83"/>
    </row>
    <row r="515" spans="1:31" x14ac:dyDescent="0.25">
      <c r="T515" s="113"/>
      <c r="U515" s="111"/>
      <c r="W515" s="83"/>
    </row>
    <row r="516" spans="1:31" x14ac:dyDescent="0.25">
      <c r="T516" s="113"/>
      <c r="U516" s="111"/>
      <c r="W516" s="83"/>
    </row>
    <row r="517" spans="1:31" x14ac:dyDescent="0.25">
      <c r="T517" s="113"/>
      <c r="U517" s="111"/>
      <c r="W517" s="83"/>
    </row>
    <row r="518" spans="1:31" x14ac:dyDescent="0.25">
      <c r="T518" s="113"/>
      <c r="U518" s="111"/>
      <c r="W518" s="83"/>
    </row>
    <row r="519" spans="1:31" x14ac:dyDescent="0.25">
      <c r="T519" s="113"/>
      <c r="U519" s="111"/>
      <c r="W519" s="83"/>
    </row>
    <row r="520" spans="1:31" x14ac:dyDescent="0.25">
      <c r="T520" s="113"/>
      <c r="U520" s="111"/>
      <c r="W520" s="83"/>
    </row>
    <row r="521" spans="1:31" x14ac:dyDescent="0.25">
      <c r="T521" s="113"/>
      <c r="U521" s="111"/>
      <c r="W521" s="83"/>
    </row>
    <row r="522" spans="1:31" x14ac:dyDescent="0.25">
      <c r="T522" s="113"/>
      <c r="U522" s="111"/>
      <c r="W522" s="83"/>
    </row>
    <row r="523" spans="1:31" x14ac:dyDescent="0.25">
      <c r="T523" s="113"/>
      <c r="U523" s="111"/>
      <c r="W523" s="83"/>
    </row>
    <row r="524" spans="1:31" x14ac:dyDescent="0.25">
      <c r="T524" s="113"/>
      <c r="U524" s="111"/>
      <c r="W524" s="83"/>
    </row>
    <row r="525" spans="1:31" x14ac:dyDescent="0.25">
      <c r="T525" s="113"/>
      <c r="U525" s="111"/>
      <c r="W525" s="83"/>
    </row>
    <row r="526" spans="1:31" x14ac:dyDescent="0.25">
      <c r="T526" s="113"/>
      <c r="U526" s="111"/>
      <c r="W526" s="83"/>
    </row>
    <row r="527" spans="1:31" x14ac:dyDescent="0.25">
      <c r="T527" s="113"/>
      <c r="U527" s="111"/>
      <c r="W527" s="83"/>
    </row>
    <row r="528" spans="1:31" x14ac:dyDescent="0.25">
      <c r="T528" s="113"/>
      <c r="U528" s="111"/>
      <c r="W528" s="83"/>
    </row>
    <row r="529" spans="20:23" x14ac:dyDescent="0.25">
      <c r="T529" s="113"/>
      <c r="U529" s="111"/>
      <c r="W529" s="83"/>
    </row>
    <row r="530" spans="20:23" x14ac:dyDescent="0.25">
      <c r="T530" s="113"/>
      <c r="U530" s="111"/>
      <c r="W530" s="83"/>
    </row>
    <row r="531" spans="20:23" x14ac:dyDescent="0.25">
      <c r="T531" s="113"/>
      <c r="U531" s="111"/>
      <c r="W531" s="83"/>
    </row>
    <row r="532" spans="20:23" x14ac:dyDescent="0.25">
      <c r="T532" s="113"/>
      <c r="U532" s="111"/>
      <c r="W532" s="83"/>
    </row>
    <row r="533" spans="20:23" x14ac:dyDescent="0.25">
      <c r="T533" s="113"/>
      <c r="U533" s="111"/>
      <c r="W533" s="83"/>
    </row>
    <row r="534" spans="20:23" x14ac:dyDescent="0.25">
      <c r="T534" s="113"/>
      <c r="U534" s="111"/>
      <c r="W534" s="83"/>
    </row>
    <row r="535" spans="20:23" x14ac:dyDescent="0.25">
      <c r="T535" s="113"/>
      <c r="U535" s="111"/>
      <c r="W535" s="83"/>
    </row>
    <row r="536" spans="20:23" x14ac:dyDescent="0.25">
      <c r="T536" s="113"/>
      <c r="U536" s="111"/>
      <c r="W536" s="83"/>
    </row>
    <row r="537" spans="20:23" x14ac:dyDescent="0.25">
      <c r="T537" s="113"/>
      <c r="U537" s="111"/>
      <c r="W537" s="83"/>
    </row>
    <row r="538" spans="20:23" x14ac:dyDescent="0.25">
      <c r="T538" s="113"/>
      <c r="U538" s="111"/>
      <c r="W538" s="83"/>
    </row>
    <row r="539" spans="20:23" x14ac:dyDescent="0.25">
      <c r="T539" s="113"/>
      <c r="U539" s="111"/>
      <c r="W539" s="83"/>
    </row>
    <row r="540" spans="20:23" x14ac:dyDescent="0.25">
      <c r="T540" s="113"/>
      <c r="U540" s="111"/>
      <c r="W540" s="83"/>
    </row>
    <row r="541" spans="20:23" x14ac:dyDescent="0.25">
      <c r="T541" s="113"/>
      <c r="U541" s="111"/>
      <c r="W541" s="83"/>
    </row>
    <row r="542" spans="20:23" x14ac:dyDescent="0.25">
      <c r="T542" s="113"/>
      <c r="U542" s="111"/>
      <c r="W542" s="83"/>
    </row>
    <row r="543" spans="20:23" x14ac:dyDescent="0.25">
      <c r="T543" s="113"/>
      <c r="U543" s="111"/>
      <c r="W543" s="83"/>
    </row>
    <row r="544" spans="20:23" x14ac:dyDescent="0.25">
      <c r="T544" s="113"/>
      <c r="U544" s="111"/>
      <c r="W544" s="83"/>
    </row>
    <row r="545" spans="20:23" x14ac:dyDescent="0.25">
      <c r="T545" s="113"/>
      <c r="U545" s="111"/>
      <c r="W545" s="83"/>
    </row>
    <row r="546" spans="20:23" x14ac:dyDescent="0.25">
      <c r="T546" s="113"/>
      <c r="U546" s="111"/>
      <c r="W546" s="83"/>
    </row>
    <row r="547" spans="20:23" x14ac:dyDescent="0.25">
      <c r="T547" s="113"/>
      <c r="U547" s="111"/>
      <c r="W547" s="83"/>
    </row>
    <row r="548" spans="20:23" x14ac:dyDescent="0.25">
      <c r="T548" s="113"/>
      <c r="U548" s="111"/>
      <c r="W548" s="83"/>
    </row>
    <row r="549" spans="20:23" x14ac:dyDescent="0.25">
      <c r="T549" s="113"/>
      <c r="U549" s="111"/>
      <c r="W549" s="83"/>
    </row>
    <row r="550" spans="20:23" x14ac:dyDescent="0.25">
      <c r="T550" s="113"/>
      <c r="U550" s="111"/>
      <c r="W550" s="83"/>
    </row>
    <row r="551" spans="20:23" x14ac:dyDescent="0.25">
      <c r="T551" s="113"/>
      <c r="U551" s="111"/>
      <c r="W551" s="83"/>
    </row>
    <row r="552" spans="20:23" x14ac:dyDescent="0.25">
      <c r="T552" s="113"/>
      <c r="U552" s="111"/>
      <c r="W552" s="83"/>
    </row>
    <row r="553" spans="20:23" x14ac:dyDescent="0.25">
      <c r="T553" s="113"/>
      <c r="U553" s="111"/>
      <c r="W553" s="83"/>
    </row>
    <row r="554" spans="20:23" x14ac:dyDescent="0.25">
      <c r="T554" s="113"/>
      <c r="U554" s="111"/>
      <c r="W554" s="83"/>
    </row>
    <row r="555" spans="20:23" x14ac:dyDescent="0.25">
      <c r="T555" s="113"/>
      <c r="U555" s="111"/>
      <c r="W555" s="83"/>
    </row>
    <row r="556" spans="20:23" x14ac:dyDescent="0.25">
      <c r="T556" s="113"/>
      <c r="U556" s="111"/>
      <c r="W556" s="83"/>
    </row>
    <row r="557" spans="20:23" x14ac:dyDescent="0.25">
      <c r="T557" s="113"/>
      <c r="U557" s="111"/>
      <c r="W557" s="83"/>
    </row>
    <row r="558" spans="20:23" x14ac:dyDescent="0.25">
      <c r="T558" s="113"/>
      <c r="U558" s="111"/>
      <c r="W558" s="83"/>
    </row>
    <row r="559" spans="20:23" x14ac:dyDescent="0.25">
      <c r="T559" s="113"/>
      <c r="U559" s="111"/>
      <c r="W559" s="83"/>
    </row>
    <row r="560" spans="20:23" x14ac:dyDescent="0.25">
      <c r="T560" s="113"/>
      <c r="U560" s="111"/>
      <c r="W560" s="83"/>
    </row>
    <row r="561" spans="20:23" x14ac:dyDescent="0.25">
      <c r="T561" s="113"/>
      <c r="U561" s="111"/>
      <c r="W561" s="83"/>
    </row>
    <row r="562" spans="20:23" x14ac:dyDescent="0.25">
      <c r="T562" s="113"/>
      <c r="U562" s="111"/>
      <c r="W562" s="83"/>
    </row>
    <row r="563" spans="20:23" x14ac:dyDescent="0.25">
      <c r="T563" s="113"/>
      <c r="U563" s="111"/>
      <c r="W563" s="83"/>
    </row>
    <row r="564" spans="20:23" x14ac:dyDescent="0.25">
      <c r="T564" s="113"/>
      <c r="U564" s="111"/>
      <c r="W564" s="83"/>
    </row>
    <row r="565" spans="20:23" x14ac:dyDescent="0.25">
      <c r="T565" s="113"/>
      <c r="U565" s="111"/>
      <c r="W565" s="83"/>
    </row>
    <row r="566" spans="20:23" x14ac:dyDescent="0.25">
      <c r="T566" s="113"/>
      <c r="U566" s="111"/>
      <c r="W566" s="83"/>
    </row>
    <row r="567" spans="20:23" x14ac:dyDescent="0.25">
      <c r="T567" s="113"/>
      <c r="U567" s="111"/>
      <c r="W567" s="83"/>
    </row>
    <row r="568" spans="20:23" x14ac:dyDescent="0.25">
      <c r="T568" s="113"/>
      <c r="U568" s="111"/>
      <c r="W568" s="83"/>
    </row>
    <row r="569" spans="20:23" x14ac:dyDescent="0.25">
      <c r="T569" s="113"/>
      <c r="U569" s="111"/>
      <c r="W569" s="83"/>
    </row>
    <row r="570" spans="20:23" x14ac:dyDescent="0.25">
      <c r="T570" s="113"/>
      <c r="U570" s="111"/>
      <c r="W570" s="83"/>
    </row>
    <row r="571" spans="20:23" x14ac:dyDescent="0.25">
      <c r="T571" s="113"/>
      <c r="U571" s="111"/>
      <c r="W571" s="83"/>
    </row>
    <row r="572" spans="20:23" x14ac:dyDescent="0.25">
      <c r="T572" s="113"/>
      <c r="U572" s="111"/>
      <c r="W572" s="83"/>
    </row>
    <row r="573" spans="20:23" x14ac:dyDescent="0.25">
      <c r="T573" s="113"/>
      <c r="U573" s="111"/>
      <c r="W573" s="83"/>
    </row>
    <row r="574" spans="20:23" x14ac:dyDescent="0.25">
      <c r="T574" s="113"/>
      <c r="U574" s="111"/>
      <c r="W574" s="83"/>
    </row>
    <row r="575" spans="20:23" x14ac:dyDescent="0.25">
      <c r="T575" s="113"/>
      <c r="U575" s="111"/>
      <c r="W575" s="83"/>
    </row>
    <row r="576" spans="20:23" x14ac:dyDescent="0.25">
      <c r="T576" s="113"/>
      <c r="U576" s="111"/>
      <c r="W576" s="83"/>
    </row>
    <row r="577" spans="20:23" x14ac:dyDescent="0.25">
      <c r="T577" s="113"/>
      <c r="U577" s="111"/>
      <c r="W577" s="83"/>
    </row>
    <row r="578" spans="20:23" x14ac:dyDescent="0.25">
      <c r="T578" s="113"/>
      <c r="U578" s="111"/>
      <c r="W578" s="83"/>
    </row>
    <row r="579" spans="20:23" x14ac:dyDescent="0.25">
      <c r="T579" s="113"/>
      <c r="U579" s="111"/>
      <c r="W579" s="83"/>
    </row>
    <row r="580" spans="20:23" x14ac:dyDescent="0.25">
      <c r="T580" s="113"/>
      <c r="U580" s="111"/>
      <c r="W580" s="83"/>
    </row>
    <row r="581" spans="20:23" x14ac:dyDescent="0.25">
      <c r="T581" s="113"/>
      <c r="U581" s="111"/>
      <c r="W581" s="83"/>
    </row>
    <row r="582" spans="20:23" x14ac:dyDescent="0.25">
      <c r="T582" s="113"/>
      <c r="U582" s="111"/>
      <c r="W582" s="83"/>
    </row>
    <row r="583" spans="20:23" x14ac:dyDescent="0.25">
      <c r="T583" s="113"/>
      <c r="U583" s="111"/>
      <c r="W583" s="83"/>
    </row>
    <row r="584" spans="20:23" x14ac:dyDescent="0.25">
      <c r="T584" s="113"/>
      <c r="U584" s="111"/>
      <c r="W584" s="83"/>
    </row>
    <row r="585" spans="20:23" x14ac:dyDescent="0.25">
      <c r="T585" s="113"/>
      <c r="U585" s="111"/>
      <c r="W585" s="83"/>
    </row>
    <row r="586" spans="20:23" x14ac:dyDescent="0.25">
      <c r="T586" s="113"/>
      <c r="U586" s="111"/>
      <c r="W586" s="83"/>
    </row>
    <row r="587" spans="20:23" x14ac:dyDescent="0.25">
      <c r="T587" s="113"/>
      <c r="U587" s="111"/>
      <c r="W587" s="83"/>
    </row>
    <row r="588" spans="20:23" x14ac:dyDescent="0.25">
      <c r="T588" s="113"/>
      <c r="U588" s="111"/>
      <c r="W588" s="83"/>
    </row>
    <row r="589" spans="20:23" x14ac:dyDescent="0.25">
      <c r="T589" s="113"/>
      <c r="U589" s="111"/>
      <c r="W589" s="83"/>
    </row>
    <row r="590" spans="20:23" x14ac:dyDescent="0.25">
      <c r="T590" s="113"/>
      <c r="U590" s="111"/>
      <c r="W590" s="83"/>
    </row>
    <row r="591" spans="20:23" x14ac:dyDescent="0.25">
      <c r="T591" s="113"/>
      <c r="U591" s="111"/>
      <c r="W591" s="83"/>
    </row>
    <row r="592" spans="20:23" x14ac:dyDescent="0.25">
      <c r="T592" s="113"/>
      <c r="U592" s="111"/>
      <c r="W592" s="83"/>
    </row>
    <row r="593" spans="20:23" x14ac:dyDescent="0.25">
      <c r="T593" s="113"/>
      <c r="U593" s="111"/>
      <c r="W593" s="83"/>
    </row>
    <row r="594" spans="20:23" x14ac:dyDescent="0.25">
      <c r="T594" s="113"/>
      <c r="U594" s="111"/>
      <c r="W594" s="83"/>
    </row>
    <row r="595" spans="20:23" x14ac:dyDescent="0.25">
      <c r="T595" s="113"/>
      <c r="U595" s="111"/>
      <c r="W595" s="83"/>
    </row>
    <row r="596" spans="20:23" x14ac:dyDescent="0.25">
      <c r="T596" s="113"/>
      <c r="U596" s="111"/>
      <c r="W596" s="83"/>
    </row>
    <row r="597" spans="20:23" x14ac:dyDescent="0.25">
      <c r="T597" s="113"/>
      <c r="U597" s="111"/>
      <c r="W597" s="83"/>
    </row>
    <row r="598" spans="20:23" x14ac:dyDescent="0.25">
      <c r="T598" s="113"/>
      <c r="U598" s="111"/>
      <c r="W598" s="83"/>
    </row>
    <row r="599" spans="20:23" x14ac:dyDescent="0.25">
      <c r="T599" s="113"/>
      <c r="U599" s="111"/>
      <c r="W599" s="83"/>
    </row>
    <row r="600" spans="20:23" x14ac:dyDescent="0.25">
      <c r="T600" s="113"/>
      <c r="U600" s="111"/>
      <c r="W600" s="83"/>
    </row>
    <row r="601" spans="20:23" x14ac:dyDescent="0.25">
      <c r="T601" s="113"/>
      <c r="U601" s="111"/>
      <c r="W601" s="83"/>
    </row>
    <row r="602" spans="20:23" x14ac:dyDescent="0.25">
      <c r="T602" s="113"/>
      <c r="U602" s="111"/>
      <c r="W602" s="83"/>
    </row>
    <row r="603" spans="20:23" x14ac:dyDescent="0.25">
      <c r="T603" s="113"/>
      <c r="U603" s="111"/>
      <c r="W603" s="83"/>
    </row>
    <row r="604" spans="20:23" x14ac:dyDescent="0.25">
      <c r="T604" s="113"/>
      <c r="U604" s="111"/>
      <c r="W604" s="83"/>
    </row>
    <row r="605" spans="20:23" x14ac:dyDescent="0.25">
      <c r="T605" s="113"/>
      <c r="U605" s="111"/>
      <c r="W605" s="83"/>
    </row>
    <row r="606" spans="20:23" x14ac:dyDescent="0.25">
      <c r="T606" s="113"/>
      <c r="U606" s="111"/>
      <c r="W606" s="83"/>
    </row>
    <row r="607" spans="20:23" x14ac:dyDescent="0.25">
      <c r="T607" s="113"/>
      <c r="U607" s="111"/>
      <c r="W607" s="83"/>
    </row>
    <row r="608" spans="20:23" x14ac:dyDescent="0.25">
      <c r="T608" s="113"/>
      <c r="U608" s="111"/>
      <c r="W608" s="83"/>
    </row>
    <row r="609" spans="20:23" x14ac:dyDescent="0.25">
      <c r="T609" s="113"/>
      <c r="U609" s="111"/>
      <c r="W609" s="83"/>
    </row>
    <row r="610" spans="20:23" x14ac:dyDescent="0.25">
      <c r="T610" s="113"/>
      <c r="U610" s="111"/>
      <c r="W610" s="83"/>
    </row>
    <row r="611" spans="20:23" x14ac:dyDescent="0.25">
      <c r="T611" s="113"/>
      <c r="U611" s="111"/>
      <c r="W611" s="83"/>
    </row>
    <row r="612" spans="20:23" x14ac:dyDescent="0.25">
      <c r="T612" s="113"/>
      <c r="U612" s="111"/>
      <c r="W612" s="83"/>
    </row>
    <row r="613" spans="20:23" x14ac:dyDescent="0.25">
      <c r="T613" s="113"/>
      <c r="U613" s="111"/>
      <c r="W613" s="83"/>
    </row>
    <row r="614" spans="20:23" x14ac:dyDescent="0.25">
      <c r="T614" s="113"/>
      <c r="U614" s="111"/>
      <c r="W614" s="83"/>
    </row>
    <row r="615" spans="20:23" x14ac:dyDescent="0.25">
      <c r="T615" s="113"/>
      <c r="U615" s="111"/>
      <c r="W615" s="83"/>
    </row>
    <row r="616" spans="20:23" x14ac:dyDescent="0.25">
      <c r="T616" s="113"/>
      <c r="U616" s="111"/>
      <c r="W616" s="83"/>
    </row>
    <row r="617" spans="20:23" x14ac:dyDescent="0.25">
      <c r="T617" s="113"/>
      <c r="U617" s="111"/>
      <c r="W617" s="83"/>
    </row>
    <row r="618" spans="20:23" x14ac:dyDescent="0.25">
      <c r="T618" s="113"/>
      <c r="U618" s="111"/>
      <c r="W618" s="83"/>
    </row>
    <row r="619" spans="20:23" x14ac:dyDescent="0.25">
      <c r="T619" s="113"/>
      <c r="U619" s="111"/>
      <c r="W619" s="83"/>
    </row>
    <row r="620" spans="20:23" x14ac:dyDescent="0.25">
      <c r="T620" s="113"/>
      <c r="U620" s="111"/>
      <c r="W620" s="83"/>
    </row>
    <row r="621" spans="20:23" x14ac:dyDescent="0.25">
      <c r="T621" s="113"/>
      <c r="U621" s="111"/>
      <c r="W621" s="83"/>
    </row>
    <row r="622" spans="20:23" x14ac:dyDescent="0.25">
      <c r="T622" s="113"/>
      <c r="U622" s="111"/>
      <c r="W622" s="83"/>
    </row>
    <row r="623" spans="20:23" x14ac:dyDescent="0.25">
      <c r="T623" s="113"/>
      <c r="U623" s="111"/>
      <c r="W623" s="83"/>
    </row>
    <row r="624" spans="20:23" x14ac:dyDescent="0.25">
      <c r="T624" s="113"/>
      <c r="U624" s="111"/>
      <c r="W624" s="83"/>
    </row>
    <row r="625" spans="20:23" x14ac:dyDescent="0.25">
      <c r="T625" s="113"/>
      <c r="U625" s="111"/>
      <c r="W625" s="83"/>
    </row>
    <row r="626" spans="20:23" x14ac:dyDescent="0.25">
      <c r="T626" s="113"/>
      <c r="U626" s="111"/>
      <c r="W626" s="83"/>
    </row>
    <row r="627" spans="20:23" x14ac:dyDescent="0.25">
      <c r="T627" s="113"/>
      <c r="U627" s="111"/>
      <c r="W627" s="83"/>
    </row>
    <row r="628" spans="20:23" x14ac:dyDescent="0.25">
      <c r="T628" s="113"/>
      <c r="U628" s="111"/>
      <c r="W628" s="83"/>
    </row>
    <row r="629" spans="20:23" x14ac:dyDescent="0.25">
      <c r="T629" s="113"/>
      <c r="U629" s="111"/>
      <c r="W629" s="83"/>
    </row>
    <row r="630" spans="20:23" x14ac:dyDescent="0.25">
      <c r="T630" s="113"/>
      <c r="U630" s="111"/>
      <c r="W630" s="83"/>
    </row>
    <row r="631" spans="20:23" x14ac:dyDescent="0.25">
      <c r="T631" s="113"/>
      <c r="U631" s="111"/>
      <c r="W631" s="83"/>
    </row>
    <row r="632" spans="20:23" x14ac:dyDescent="0.25">
      <c r="T632" s="113"/>
      <c r="U632" s="111"/>
      <c r="W632" s="83"/>
    </row>
    <row r="633" spans="20:23" x14ac:dyDescent="0.25">
      <c r="T633" s="113"/>
      <c r="U633" s="111"/>
      <c r="W633" s="83"/>
    </row>
    <row r="634" spans="20:23" x14ac:dyDescent="0.25">
      <c r="T634" s="113"/>
      <c r="U634" s="111"/>
      <c r="W634" s="83"/>
    </row>
    <row r="635" spans="20:23" x14ac:dyDescent="0.25">
      <c r="T635" s="113"/>
      <c r="U635" s="111"/>
      <c r="W635" s="83"/>
    </row>
    <row r="636" spans="20:23" x14ac:dyDescent="0.25">
      <c r="T636" s="113"/>
      <c r="U636" s="111"/>
      <c r="W636" s="83"/>
    </row>
    <row r="637" spans="20:23" x14ac:dyDescent="0.25">
      <c r="T637" s="113"/>
      <c r="U637" s="111"/>
      <c r="W637" s="83"/>
    </row>
    <row r="638" spans="20:23" x14ac:dyDescent="0.25">
      <c r="T638" s="113"/>
      <c r="U638" s="111"/>
      <c r="W638" s="83"/>
    </row>
    <row r="639" spans="20:23" x14ac:dyDescent="0.25">
      <c r="T639" s="113"/>
      <c r="U639" s="111"/>
      <c r="W639" s="83"/>
    </row>
    <row r="640" spans="20:23" x14ac:dyDescent="0.25">
      <c r="T640" s="113"/>
      <c r="U640" s="111"/>
      <c r="W640" s="83"/>
    </row>
    <row r="641" spans="20:23" x14ac:dyDescent="0.25">
      <c r="T641" s="113"/>
      <c r="U641" s="111"/>
      <c r="W641" s="83"/>
    </row>
    <row r="642" spans="20:23" x14ac:dyDescent="0.25">
      <c r="T642" s="113"/>
      <c r="U642" s="111"/>
      <c r="W642" s="83"/>
    </row>
    <row r="643" spans="20:23" x14ac:dyDescent="0.25">
      <c r="T643" s="113"/>
      <c r="U643" s="111"/>
      <c r="W643" s="83"/>
    </row>
    <row r="644" spans="20:23" x14ac:dyDescent="0.25">
      <c r="T644" s="113"/>
      <c r="U644" s="111"/>
      <c r="W644" s="83"/>
    </row>
    <row r="645" spans="20:23" x14ac:dyDescent="0.25">
      <c r="T645" s="113"/>
      <c r="U645" s="111"/>
      <c r="W645" s="83"/>
    </row>
    <row r="646" spans="20:23" x14ac:dyDescent="0.25">
      <c r="T646" s="113"/>
      <c r="U646" s="111"/>
      <c r="W646" s="83"/>
    </row>
    <row r="647" spans="20:23" x14ac:dyDescent="0.25">
      <c r="T647" s="113"/>
      <c r="U647" s="111"/>
      <c r="W647" s="83"/>
    </row>
    <row r="648" spans="20:23" x14ac:dyDescent="0.25">
      <c r="T648" s="113"/>
      <c r="U648" s="111"/>
      <c r="W648" s="83"/>
    </row>
    <row r="649" spans="20:23" x14ac:dyDescent="0.25">
      <c r="T649" s="113"/>
      <c r="U649" s="111"/>
      <c r="W649" s="83"/>
    </row>
    <row r="650" spans="20:23" x14ac:dyDescent="0.25">
      <c r="T650" s="113"/>
      <c r="U650" s="111"/>
      <c r="W650" s="83"/>
    </row>
    <row r="651" spans="20:23" x14ac:dyDescent="0.25">
      <c r="T651" s="113"/>
      <c r="U651" s="111"/>
      <c r="W651" s="83"/>
    </row>
    <row r="652" spans="20:23" x14ac:dyDescent="0.25">
      <c r="T652" s="113"/>
      <c r="U652" s="111"/>
      <c r="W652" s="83"/>
    </row>
    <row r="653" spans="20:23" x14ac:dyDescent="0.25">
      <c r="T653" s="113"/>
      <c r="U653" s="111"/>
      <c r="W653" s="83"/>
    </row>
    <row r="654" spans="20:23" x14ac:dyDescent="0.25">
      <c r="T654" s="113"/>
      <c r="U654" s="111"/>
      <c r="W654" s="83"/>
    </row>
    <row r="655" spans="20:23" x14ac:dyDescent="0.25">
      <c r="T655" s="113"/>
      <c r="U655" s="111"/>
      <c r="W655" s="83"/>
    </row>
    <row r="656" spans="20:23" x14ac:dyDescent="0.25">
      <c r="T656" s="113"/>
      <c r="U656" s="111"/>
      <c r="W656" s="83"/>
    </row>
    <row r="657" spans="20:23" x14ac:dyDescent="0.25">
      <c r="T657" s="113"/>
      <c r="U657" s="111"/>
      <c r="W657" s="83"/>
    </row>
    <row r="658" spans="20:23" x14ac:dyDescent="0.25">
      <c r="T658" s="113"/>
      <c r="U658" s="111"/>
      <c r="W658" s="83"/>
    </row>
    <row r="659" spans="20:23" x14ac:dyDescent="0.25">
      <c r="T659" s="113"/>
      <c r="U659" s="111"/>
      <c r="W659" s="83"/>
    </row>
    <row r="660" spans="20:23" x14ac:dyDescent="0.25">
      <c r="T660" s="113"/>
      <c r="U660" s="111"/>
      <c r="W660" s="83"/>
    </row>
    <row r="661" spans="20:23" x14ac:dyDescent="0.25">
      <c r="T661" s="113"/>
      <c r="U661" s="111"/>
      <c r="W661" s="83"/>
    </row>
    <row r="662" spans="20:23" x14ac:dyDescent="0.25">
      <c r="T662" s="113"/>
      <c r="U662" s="111"/>
      <c r="W662" s="83"/>
    </row>
    <row r="663" spans="20:23" x14ac:dyDescent="0.25">
      <c r="T663" s="113"/>
      <c r="U663" s="111"/>
      <c r="W663" s="83"/>
    </row>
    <row r="664" spans="20:23" x14ac:dyDescent="0.25">
      <c r="T664" s="113"/>
      <c r="U664" s="111"/>
      <c r="W664" s="83"/>
    </row>
    <row r="665" spans="20:23" x14ac:dyDescent="0.25">
      <c r="T665" s="113"/>
      <c r="U665" s="111"/>
      <c r="W665" s="83"/>
    </row>
    <row r="666" spans="20:23" x14ac:dyDescent="0.25">
      <c r="T666" s="113"/>
      <c r="U666" s="111"/>
      <c r="W666" s="83"/>
    </row>
    <row r="667" spans="20:23" x14ac:dyDescent="0.25">
      <c r="T667" s="113"/>
      <c r="U667" s="111"/>
      <c r="W667" s="83"/>
    </row>
    <row r="668" spans="20:23" x14ac:dyDescent="0.25">
      <c r="T668" s="113"/>
      <c r="U668" s="111"/>
      <c r="W668" s="83"/>
    </row>
    <row r="669" spans="20:23" x14ac:dyDescent="0.25">
      <c r="T669" s="113"/>
      <c r="U669" s="111"/>
      <c r="W669" s="83"/>
    </row>
    <row r="670" spans="20:23" x14ac:dyDescent="0.25">
      <c r="T670" s="113"/>
      <c r="U670" s="111"/>
      <c r="W670" s="83"/>
    </row>
    <row r="671" spans="20:23" x14ac:dyDescent="0.25">
      <c r="T671" s="113"/>
      <c r="U671" s="111"/>
      <c r="W671" s="83"/>
    </row>
    <row r="672" spans="20:23" x14ac:dyDescent="0.25">
      <c r="T672" s="113"/>
      <c r="U672" s="111"/>
      <c r="W672" s="83"/>
    </row>
    <row r="673" spans="20:23" x14ac:dyDescent="0.25">
      <c r="T673" s="113"/>
      <c r="U673" s="111"/>
      <c r="W673" s="83"/>
    </row>
    <row r="674" spans="20:23" x14ac:dyDescent="0.25">
      <c r="T674" s="113"/>
      <c r="U674" s="111"/>
      <c r="W674" s="83"/>
    </row>
    <row r="675" spans="20:23" x14ac:dyDescent="0.25">
      <c r="T675" s="113"/>
      <c r="U675" s="111"/>
      <c r="W675" s="83"/>
    </row>
    <row r="676" spans="20:23" x14ac:dyDescent="0.25">
      <c r="T676" s="113"/>
      <c r="U676" s="111"/>
      <c r="W676" s="83"/>
    </row>
    <row r="677" spans="20:23" x14ac:dyDescent="0.25">
      <c r="T677" s="113"/>
      <c r="U677" s="111"/>
      <c r="W677" s="83"/>
    </row>
    <row r="678" spans="20:23" x14ac:dyDescent="0.25">
      <c r="T678" s="113"/>
      <c r="U678" s="111"/>
      <c r="W678" s="83"/>
    </row>
    <row r="679" spans="20:23" x14ac:dyDescent="0.25">
      <c r="T679" s="113"/>
      <c r="U679" s="111"/>
      <c r="W679" s="83"/>
    </row>
    <row r="680" spans="20:23" x14ac:dyDescent="0.25">
      <c r="T680" s="113"/>
      <c r="U680" s="111"/>
      <c r="W680" s="83"/>
    </row>
    <row r="681" spans="20:23" x14ac:dyDescent="0.25">
      <c r="T681" s="113"/>
      <c r="U681" s="111"/>
      <c r="W681" s="83"/>
    </row>
    <row r="682" spans="20:23" x14ac:dyDescent="0.25">
      <c r="T682" s="113"/>
      <c r="U682" s="111"/>
      <c r="W682" s="83"/>
    </row>
    <row r="683" spans="20:23" x14ac:dyDescent="0.25">
      <c r="T683" s="113"/>
      <c r="U683" s="111"/>
      <c r="W683" s="83"/>
    </row>
    <row r="684" spans="20:23" x14ac:dyDescent="0.25">
      <c r="T684" s="113"/>
      <c r="U684" s="111"/>
      <c r="W684" s="83"/>
    </row>
    <row r="685" spans="20:23" x14ac:dyDescent="0.25">
      <c r="T685" s="113"/>
      <c r="U685" s="111"/>
      <c r="W685" s="83"/>
    </row>
    <row r="686" spans="20:23" x14ac:dyDescent="0.25">
      <c r="T686" s="113"/>
      <c r="U686" s="111"/>
      <c r="W686" s="83"/>
    </row>
    <row r="687" spans="20:23" x14ac:dyDescent="0.25">
      <c r="T687" s="113"/>
      <c r="U687" s="111"/>
      <c r="W687" s="83"/>
    </row>
    <row r="688" spans="20:23" x14ac:dyDescent="0.25">
      <c r="T688" s="113"/>
      <c r="U688" s="111"/>
      <c r="W688" s="83"/>
    </row>
    <row r="689" spans="20:23" x14ac:dyDescent="0.25">
      <c r="T689" s="113"/>
      <c r="U689" s="111"/>
      <c r="W689" s="83"/>
    </row>
    <row r="690" spans="20:23" x14ac:dyDescent="0.25">
      <c r="T690" s="113"/>
      <c r="U690" s="111"/>
      <c r="W690" s="83"/>
    </row>
    <row r="691" spans="20:23" x14ac:dyDescent="0.25">
      <c r="T691" s="113"/>
      <c r="U691" s="111"/>
      <c r="W691" s="83"/>
    </row>
    <row r="692" spans="20:23" x14ac:dyDescent="0.25">
      <c r="T692" s="113"/>
      <c r="U692" s="111"/>
      <c r="W692" s="83"/>
    </row>
    <row r="693" spans="20:23" x14ac:dyDescent="0.25">
      <c r="T693" s="113"/>
      <c r="U693" s="111"/>
      <c r="W693" s="83"/>
    </row>
    <row r="694" spans="20:23" x14ac:dyDescent="0.25">
      <c r="T694" s="113"/>
      <c r="U694" s="111"/>
      <c r="W694" s="83"/>
    </row>
    <row r="695" spans="20:23" x14ac:dyDescent="0.25">
      <c r="T695" s="113"/>
      <c r="U695" s="111"/>
      <c r="W695" s="83"/>
    </row>
    <row r="696" spans="20:23" x14ac:dyDescent="0.25">
      <c r="T696" s="113"/>
      <c r="U696" s="111"/>
      <c r="W696" s="83"/>
    </row>
    <row r="697" spans="20:23" x14ac:dyDescent="0.25">
      <c r="T697" s="113"/>
      <c r="U697" s="111"/>
      <c r="W697" s="83"/>
    </row>
    <row r="698" spans="20:23" x14ac:dyDescent="0.25">
      <c r="T698" s="113"/>
      <c r="U698" s="111"/>
      <c r="W698" s="83"/>
    </row>
    <row r="699" spans="20:23" x14ac:dyDescent="0.25">
      <c r="T699" s="113"/>
      <c r="U699" s="111"/>
      <c r="W699" s="83"/>
    </row>
    <row r="700" spans="20:23" x14ac:dyDescent="0.25">
      <c r="T700" s="113"/>
      <c r="U700" s="111"/>
      <c r="W700" s="83"/>
    </row>
    <row r="701" spans="20:23" x14ac:dyDescent="0.25">
      <c r="T701" s="113"/>
      <c r="U701" s="111"/>
      <c r="W701" s="83"/>
    </row>
    <row r="702" spans="20:23" x14ac:dyDescent="0.25">
      <c r="T702" s="113"/>
      <c r="U702" s="111"/>
      <c r="W702" s="83"/>
    </row>
    <row r="703" spans="20:23" x14ac:dyDescent="0.25">
      <c r="T703" s="113"/>
      <c r="U703" s="111"/>
      <c r="W703" s="83"/>
    </row>
    <row r="704" spans="20:23" x14ac:dyDescent="0.25">
      <c r="T704" s="113"/>
      <c r="U704" s="111"/>
      <c r="W704" s="83"/>
    </row>
    <row r="705" spans="20:23" x14ac:dyDescent="0.25">
      <c r="T705" s="113"/>
      <c r="U705" s="111"/>
      <c r="W705" s="83"/>
    </row>
    <row r="706" spans="20:23" x14ac:dyDescent="0.25">
      <c r="T706" s="113"/>
      <c r="U706" s="111"/>
      <c r="W706" s="83"/>
    </row>
    <row r="707" spans="20:23" x14ac:dyDescent="0.25">
      <c r="T707" s="113"/>
      <c r="U707" s="111"/>
      <c r="W707" s="83"/>
    </row>
    <row r="708" spans="20:23" x14ac:dyDescent="0.25">
      <c r="T708" s="113"/>
      <c r="U708" s="111"/>
      <c r="W708" s="83"/>
    </row>
    <row r="709" spans="20:23" x14ac:dyDescent="0.25">
      <c r="T709" s="113"/>
      <c r="U709" s="111"/>
      <c r="W709" s="83"/>
    </row>
    <row r="710" spans="20:23" x14ac:dyDescent="0.25">
      <c r="T710" s="113"/>
      <c r="U710" s="111"/>
      <c r="W710" s="83"/>
    </row>
    <row r="711" spans="20:23" x14ac:dyDescent="0.25">
      <c r="T711" s="113"/>
      <c r="U711" s="111"/>
      <c r="W711" s="83"/>
    </row>
    <row r="712" spans="20:23" x14ac:dyDescent="0.25">
      <c r="T712" s="113"/>
      <c r="U712" s="111"/>
      <c r="W712" s="83"/>
    </row>
    <row r="713" spans="20:23" x14ac:dyDescent="0.25">
      <c r="T713" s="113"/>
      <c r="U713" s="111"/>
      <c r="W713" s="83"/>
    </row>
    <row r="714" spans="20:23" x14ac:dyDescent="0.25">
      <c r="T714" s="113"/>
      <c r="U714" s="111"/>
      <c r="W714" s="83"/>
    </row>
    <row r="715" spans="20:23" x14ac:dyDescent="0.25">
      <c r="T715" s="113"/>
      <c r="U715" s="111"/>
      <c r="W715" s="83"/>
    </row>
    <row r="716" spans="20:23" x14ac:dyDescent="0.25">
      <c r="T716" s="113"/>
      <c r="U716" s="111"/>
      <c r="W716" s="83"/>
    </row>
    <row r="717" spans="20:23" x14ac:dyDescent="0.25">
      <c r="T717" s="113"/>
      <c r="U717" s="111"/>
      <c r="W717" s="83"/>
    </row>
    <row r="718" spans="20:23" x14ac:dyDescent="0.25">
      <c r="T718" s="113"/>
      <c r="U718" s="111"/>
      <c r="W718" s="83"/>
    </row>
    <row r="719" spans="20:23" x14ac:dyDescent="0.25">
      <c r="T719" s="113"/>
      <c r="U719" s="111"/>
      <c r="W719" s="83"/>
    </row>
    <row r="720" spans="20:23" x14ac:dyDescent="0.25">
      <c r="T720" s="113"/>
      <c r="U720" s="111"/>
      <c r="W720" s="83"/>
    </row>
    <row r="721" spans="20:23" x14ac:dyDescent="0.25">
      <c r="T721" s="113"/>
      <c r="U721" s="111"/>
      <c r="W721" s="83"/>
    </row>
    <row r="722" spans="20:23" x14ac:dyDescent="0.25">
      <c r="T722" s="113"/>
      <c r="U722" s="111"/>
      <c r="W722" s="83"/>
    </row>
    <row r="723" spans="20:23" x14ac:dyDescent="0.25">
      <c r="T723" s="113"/>
      <c r="U723" s="111"/>
      <c r="W723" s="83"/>
    </row>
    <row r="724" spans="20:23" x14ac:dyDescent="0.25">
      <c r="T724" s="113"/>
      <c r="U724" s="111"/>
      <c r="W724" s="83"/>
    </row>
    <row r="725" spans="20:23" x14ac:dyDescent="0.25">
      <c r="T725" s="113"/>
      <c r="U725" s="111"/>
      <c r="W725" s="83"/>
    </row>
    <row r="726" spans="20:23" x14ac:dyDescent="0.25">
      <c r="T726" s="113"/>
      <c r="U726" s="111"/>
      <c r="W726" s="83"/>
    </row>
    <row r="727" spans="20:23" x14ac:dyDescent="0.25">
      <c r="T727" s="113"/>
      <c r="U727" s="111"/>
      <c r="W727" s="83"/>
    </row>
    <row r="728" spans="20:23" x14ac:dyDescent="0.25">
      <c r="T728" s="113"/>
      <c r="U728" s="111"/>
      <c r="W728" s="83"/>
    </row>
    <row r="729" spans="20:23" x14ac:dyDescent="0.25">
      <c r="T729" s="113"/>
      <c r="U729" s="111"/>
      <c r="W729" s="83"/>
    </row>
    <row r="730" spans="20:23" x14ac:dyDescent="0.25">
      <c r="T730" s="113"/>
      <c r="U730" s="111"/>
      <c r="W730" s="83"/>
    </row>
    <row r="731" spans="20:23" x14ac:dyDescent="0.25">
      <c r="T731" s="113"/>
      <c r="U731" s="111"/>
      <c r="W731" s="83"/>
    </row>
    <row r="732" spans="20:23" x14ac:dyDescent="0.25">
      <c r="T732" s="113"/>
      <c r="U732" s="111"/>
      <c r="W732" s="83"/>
    </row>
    <row r="733" spans="20:23" x14ac:dyDescent="0.25">
      <c r="T733" s="113"/>
      <c r="U733" s="111"/>
      <c r="W733" s="83"/>
    </row>
    <row r="734" spans="20:23" x14ac:dyDescent="0.25">
      <c r="T734" s="113"/>
      <c r="U734" s="111"/>
      <c r="W734" s="83"/>
    </row>
    <row r="735" spans="20:23" x14ac:dyDescent="0.25">
      <c r="T735" s="113"/>
      <c r="U735" s="111"/>
      <c r="W735" s="83"/>
    </row>
    <row r="736" spans="20:23" x14ac:dyDescent="0.25">
      <c r="T736" s="113"/>
      <c r="U736" s="111"/>
      <c r="W736" s="83"/>
    </row>
    <row r="737" spans="20:23" x14ac:dyDescent="0.25">
      <c r="T737" s="113"/>
      <c r="U737" s="111"/>
      <c r="W737" s="83"/>
    </row>
    <row r="738" spans="20:23" x14ac:dyDescent="0.25">
      <c r="T738" s="113"/>
      <c r="U738" s="111"/>
      <c r="W738" s="83"/>
    </row>
    <row r="739" spans="20:23" x14ac:dyDescent="0.25">
      <c r="T739" s="113"/>
      <c r="U739" s="111"/>
      <c r="W739" s="83"/>
    </row>
    <row r="740" spans="20:23" x14ac:dyDescent="0.25">
      <c r="T740" s="113"/>
      <c r="U740" s="111"/>
      <c r="W740" s="83"/>
    </row>
    <row r="741" spans="20:23" x14ac:dyDescent="0.25">
      <c r="T741" s="113"/>
      <c r="U741" s="111"/>
      <c r="W741" s="83"/>
    </row>
    <row r="742" spans="20:23" x14ac:dyDescent="0.25">
      <c r="T742" s="113"/>
      <c r="U742" s="111"/>
      <c r="W742" s="83"/>
    </row>
    <row r="743" spans="20:23" x14ac:dyDescent="0.25">
      <c r="T743" s="113"/>
      <c r="U743" s="111"/>
      <c r="W743" s="83"/>
    </row>
    <row r="744" spans="20:23" x14ac:dyDescent="0.25">
      <c r="T744" s="113"/>
      <c r="U744" s="111"/>
      <c r="W744" s="83"/>
    </row>
    <row r="745" spans="20:23" x14ac:dyDescent="0.25">
      <c r="T745" s="113"/>
      <c r="U745" s="111"/>
      <c r="W745" s="83"/>
    </row>
    <row r="746" spans="20:23" x14ac:dyDescent="0.25">
      <c r="T746" s="113"/>
      <c r="U746" s="111"/>
      <c r="W746" s="83"/>
    </row>
    <row r="747" spans="20:23" x14ac:dyDescent="0.25">
      <c r="T747" s="113"/>
      <c r="U747" s="111"/>
      <c r="W747" s="83"/>
    </row>
    <row r="748" spans="20:23" x14ac:dyDescent="0.25">
      <c r="T748" s="113"/>
      <c r="U748" s="111"/>
      <c r="W748" s="83"/>
    </row>
    <row r="749" spans="20:23" x14ac:dyDescent="0.25">
      <c r="T749" s="113"/>
      <c r="U749" s="111"/>
      <c r="W749" s="83"/>
    </row>
    <row r="750" spans="20:23" x14ac:dyDescent="0.25">
      <c r="T750" s="113"/>
      <c r="U750" s="111"/>
      <c r="W750" s="83"/>
    </row>
    <row r="751" spans="20:23" x14ac:dyDescent="0.25">
      <c r="T751" s="113"/>
      <c r="U751" s="111"/>
      <c r="W751" s="83"/>
    </row>
    <row r="752" spans="20:23" x14ac:dyDescent="0.25">
      <c r="T752" s="113"/>
      <c r="U752" s="111"/>
      <c r="W752" s="83"/>
    </row>
    <row r="753" spans="20:23" x14ac:dyDescent="0.25">
      <c r="T753" s="113"/>
      <c r="U753" s="111"/>
      <c r="W753" s="83"/>
    </row>
    <row r="754" spans="20:23" x14ac:dyDescent="0.25">
      <c r="T754" s="113"/>
      <c r="U754" s="111"/>
      <c r="W754" s="83"/>
    </row>
    <row r="755" spans="20:23" x14ac:dyDescent="0.25">
      <c r="T755" s="113"/>
      <c r="U755" s="111"/>
      <c r="W755" s="83"/>
    </row>
    <row r="756" spans="20:23" x14ac:dyDescent="0.25">
      <c r="T756" s="113"/>
      <c r="U756" s="111"/>
      <c r="W756" s="83"/>
    </row>
    <row r="757" spans="20:23" x14ac:dyDescent="0.25">
      <c r="T757" s="113"/>
      <c r="U757" s="111"/>
      <c r="W757" s="83"/>
    </row>
    <row r="758" spans="20:23" x14ac:dyDescent="0.25">
      <c r="T758" s="113"/>
      <c r="U758" s="111"/>
      <c r="W758" s="83"/>
    </row>
    <row r="759" spans="20:23" x14ac:dyDescent="0.25">
      <c r="T759" s="113"/>
      <c r="U759" s="111"/>
      <c r="W759" s="83"/>
    </row>
    <row r="760" spans="20:23" x14ac:dyDescent="0.25">
      <c r="T760" s="113"/>
      <c r="U760" s="111"/>
      <c r="W760" s="83"/>
    </row>
    <row r="761" spans="20:23" x14ac:dyDescent="0.25">
      <c r="T761" s="113"/>
      <c r="U761" s="111"/>
      <c r="W761" s="83"/>
    </row>
    <row r="762" spans="20:23" x14ac:dyDescent="0.25">
      <c r="T762" s="113"/>
      <c r="U762" s="111"/>
      <c r="W762" s="83"/>
    </row>
    <row r="763" spans="20:23" x14ac:dyDescent="0.25">
      <c r="T763" s="113"/>
      <c r="U763" s="111"/>
      <c r="W763" s="83"/>
    </row>
    <row r="764" spans="20:23" x14ac:dyDescent="0.25">
      <c r="T764" s="113"/>
      <c r="U764" s="111"/>
      <c r="W764" s="83"/>
    </row>
    <row r="765" spans="20:23" x14ac:dyDescent="0.25">
      <c r="T765" s="113"/>
      <c r="U765" s="111"/>
      <c r="W765" s="83"/>
    </row>
    <row r="766" spans="20:23" x14ac:dyDescent="0.25">
      <c r="T766" s="113"/>
      <c r="U766" s="111"/>
      <c r="W766" s="83"/>
    </row>
    <row r="767" spans="20:23" x14ac:dyDescent="0.25">
      <c r="T767" s="113"/>
      <c r="U767" s="111"/>
      <c r="W767" s="83"/>
    </row>
    <row r="768" spans="20:23" x14ac:dyDescent="0.25">
      <c r="T768" s="113"/>
      <c r="U768" s="111"/>
      <c r="W768" s="83"/>
    </row>
    <row r="769" spans="20:23" x14ac:dyDescent="0.25">
      <c r="T769" s="113"/>
      <c r="U769" s="111"/>
      <c r="W769" s="83"/>
    </row>
    <row r="770" spans="20:23" x14ac:dyDescent="0.25">
      <c r="T770" s="113"/>
      <c r="U770" s="111"/>
      <c r="W770" s="83"/>
    </row>
    <row r="771" spans="20:23" x14ac:dyDescent="0.25">
      <c r="T771" s="113"/>
      <c r="U771" s="111"/>
      <c r="W771" s="83"/>
    </row>
    <row r="772" spans="20:23" x14ac:dyDescent="0.25">
      <c r="T772" s="113"/>
      <c r="U772" s="111"/>
      <c r="W772" s="83"/>
    </row>
    <row r="773" spans="20:23" x14ac:dyDescent="0.25">
      <c r="T773" s="113"/>
      <c r="U773" s="111"/>
      <c r="W773" s="83"/>
    </row>
    <row r="774" spans="20:23" x14ac:dyDescent="0.25">
      <c r="T774" s="113"/>
      <c r="U774" s="111"/>
      <c r="W774" s="83"/>
    </row>
    <row r="775" spans="20:23" x14ac:dyDescent="0.25">
      <c r="T775" s="113"/>
      <c r="U775" s="111"/>
      <c r="W775" s="83"/>
    </row>
    <row r="776" spans="20:23" x14ac:dyDescent="0.25">
      <c r="T776" s="113"/>
      <c r="U776" s="111"/>
      <c r="W776" s="83"/>
    </row>
    <row r="777" spans="20:23" x14ac:dyDescent="0.25">
      <c r="T777" s="113"/>
      <c r="U777" s="111"/>
      <c r="W777" s="83"/>
    </row>
    <row r="778" spans="20:23" x14ac:dyDescent="0.25">
      <c r="T778" s="113"/>
      <c r="U778" s="111"/>
      <c r="W778" s="83"/>
    </row>
    <row r="779" spans="20:23" x14ac:dyDescent="0.25">
      <c r="T779" s="113"/>
      <c r="U779" s="111"/>
      <c r="W779" s="83"/>
    </row>
    <row r="780" spans="20:23" x14ac:dyDescent="0.25">
      <c r="T780" s="113"/>
      <c r="U780" s="111"/>
      <c r="W780" s="83"/>
    </row>
    <row r="781" spans="20:23" x14ac:dyDescent="0.25">
      <c r="T781" s="113"/>
      <c r="U781" s="111"/>
      <c r="W781" s="83"/>
    </row>
    <row r="782" spans="20:23" x14ac:dyDescent="0.25">
      <c r="T782" s="113"/>
      <c r="U782" s="111"/>
      <c r="W782" s="83"/>
    </row>
    <row r="783" spans="20:23" x14ac:dyDescent="0.25">
      <c r="T783" s="113"/>
      <c r="U783" s="111"/>
      <c r="W783" s="83"/>
    </row>
    <row r="784" spans="20:23" x14ac:dyDescent="0.25">
      <c r="T784" s="113"/>
      <c r="U784" s="111"/>
      <c r="W784" s="83"/>
    </row>
    <row r="785" spans="20:23" x14ac:dyDescent="0.25">
      <c r="T785" s="113"/>
      <c r="U785" s="111"/>
      <c r="W785" s="83"/>
    </row>
    <row r="786" spans="20:23" x14ac:dyDescent="0.25">
      <c r="T786" s="113"/>
      <c r="U786" s="111"/>
      <c r="W786" s="83"/>
    </row>
    <row r="787" spans="20:23" x14ac:dyDescent="0.25">
      <c r="T787" s="113"/>
      <c r="U787" s="111"/>
      <c r="W787" s="83"/>
    </row>
    <row r="788" spans="20:23" x14ac:dyDescent="0.25">
      <c r="T788" s="113"/>
      <c r="U788" s="111"/>
      <c r="W788" s="83"/>
    </row>
    <row r="789" spans="20:23" x14ac:dyDescent="0.25">
      <c r="T789" s="113"/>
      <c r="U789" s="111"/>
      <c r="W789" s="83"/>
    </row>
    <row r="790" spans="20:23" x14ac:dyDescent="0.25">
      <c r="T790" s="113"/>
      <c r="U790" s="111"/>
      <c r="W790" s="83"/>
    </row>
    <row r="791" spans="20:23" x14ac:dyDescent="0.25">
      <c r="T791" s="113"/>
      <c r="U791" s="111"/>
      <c r="W791" s="83"/>
    </row>
    <row r="792" spans="20:23" x14ac:dyDescent="0.25">
      <c r="T792" s="113"/>
      <c r="U792" s="111"/>
      <c r="W792" s="83"/>
    </row>
    <row r="793" spans="20:23" x14ac:dyDescent="0.25">
      <c r="T793" s="113"/>
      <c r="U793" s="111"/>
      <c r="W793" s="83"/>
    </row>
    <row r="794" spans="20:23" x14ac:dyDescent="0.25">
      <c r="T794" s="113"/>
      <c r="U794" s="111"/>
      <c r="W794" s="83"/>
    </row>
    <row r="795" spans="20:23" x14ac:dyDescent="0.25">
      <c r="T795" s="113"/>
      <c r="U795" s="111"/>
      <c r="W795" s="83"/>
    </row>
    <row r="796" spans="20:23" x14ac:dyDescent="0.25">
      <c r="T796" s="113"/>
      <c r="U796" s="111"/>
      <c r="W796" s="83"/>
    </row>
    <row r="797" spans="20:23" x14ac:dyDescent="0.25">
      <c r="T797" s="113"/>
      <c r="U797" s="111"/>
      <c r="W797" s="83"/>
    </row>
    <row r="798" spans="20:23" x14ac:dyDescent="0.25">
      <c r="T798" s="113"/>
      <c r="U798" s="111"/>
      <c r="W798" s="83"/>
    </row>
    <row r="799" spans="20:23" x14ac:dyDescent="0.25">
      <c r="T799" s="113"/>
      <c r="U799" s="111"/>
      <c r="W799" s="83"/>
    </row>
    <row r="800" spans="20:23" x14ac:dyDescent="0.25">
      <c r="T800" s="113"/>
      <c r="U800" s="111"/>
      <c r="W800" s="83"/>
    </row>
    <row r="801" spans="20:23" x14ac:dyDescent="0.25">
      <c r="T801" s="113"/>
      <c r="U801" s="111"/>
      <c r="W801" s="83"/>
    </row>
    <row r="802" spans="20:23" x14ac:dyDescent="0.25">
      <c r="T802" s="113"/>
      <c r="U802" s="111"/>
      <c r="W802" s="83"/>
    </row>
    <row r="803" spans="20:23" x14ac:dyDescent="0.25">
      <c r="T803" s="113"/>
      <c r="U803" s="111"/>
      <c r="W803" s="83"/>
    </row>
    <row r="804" spans="20:23" x14ac:dyDescent="0.25">
      <c r="T804" s="113"/>
      <c r="U804" s="111"/>
      <c r="W804" s="83"/>
    </row>
    <row r="805" spans="20:23" x14ac:dyDescent="0.25">
      <c r="T805" s="113"/>
      <c r="U805" s="111"/>
      <c r="W805" s="83"/>
    </row>
    <row r="806" spans="20:23" x14ac:dyDescent="0.25">
      <c r="T806" s="113"/>
      <c r="U806" s="111"/>
      <c r="W806" s="83"/>
    </row>
    <row r="807" spans="20:23" x14ac:dyDescent="0.25">
      <c r="T807" s="113"/>
      <c r="U807" s="111"/>
      <c r="W807" s="83"/>
    </row>
    <row r="808" spans="20:23" x14ac:dyDescent="0.25">
      <c r="T808" s="113"/>
      <c r="U808" s="111"/>
      <c r="W808" s="83"/>
    </row>
    <row r="809" spans="20:23" x14ac:dyDescent="0.25">
      <c r="T809" s="113"/>
      <c r="U809" s="111"/>
      <c r="W809" s="83"/>
    </row>
    <row r="810" spans="20:23" x14ac:dyDescent="0.25">
      <c r="T810" s="113"/>
      <c r="U810" s="111"/>
      <c r="W810" s="83"/>
    </row>
    <row r="811" spans="20:23" x14ac:dyDescent="0.25">
      <c r="T811" s="113"/>
      <c r="U811" s="111"/>
      <c r="W811" s="83"/>
    </row>
    <row r="812" spans="20:23" x14ac:dyDescent="0.25">
      <c r="T812" s="113"/>
      <c r="U812" s="111"/>
      <c r="W812" s="83"/>
    </row>
    <row r="813" spans="20:23" x14ac:dyDescent="0.25">
      <c r="T813" s="113"/>
      <c r="U813" s="111"/>
      <c r="W813" s="83"/>
    </row>
    <row r="814" spans="20:23" x14ac:dyDescent="0.25">
      <c r="T814" s="113"/>
      <c r="U814" s="111"/>
      <c r="W814" s="83"/>
    </row>
    <row r="815" spans="20:23" x14ac:dyDescent="0.25">
      <c r="T815" s="113"/>
      <c r="U815" s="111"/>
      <c r="W815" s="83"/>
    </row>
    <row r="816" spans="20:23" x14ac:dyDescent="0.25">
      <c r="T816" s="113"/>
      <c r="U816" s="111"/>
      <c r="W816" s="83"/>
    </row>
    <row r="817" spans="20:23" x14ac:dyDescent="0.25">
      <c r="T817" s="113"/>
      <c r="U817" s="111"/>
      <c r="W817" s="83"/>
    </row>
    <row r="818" spans="20:23" x14ac:dyDescent="0.25">
      <c r="T818" s="113"/>
      <c r="U818" s="111"/>
      <c r="W818" s="83"/>
    </row>
    <row r="819" spans="20:23" x14ac:dyDescent="0.25">
      <c r="T819" s="113"/>
      <c r="U819" s="111"/>
      <c r="W819" s="83"/>
    </row>
    <row r="820" spans="20:23" x14ac:dyDescent="0.25">
      <c r="T820" s="113"/>
      <c r="U820" s="111"/>
      <c r="W820" s="83"/>
    </row>
    <row r="821" spans="20:23" x14ac:dyDescent="0.25">
      <c r="T821" s="113"/>
      <c r="U821" s="111"/>
      <c r="W821" s="83"/>
    </row>
    <row r="822" spans="20:23" x14ac:dyDescent="0.25">
      <c r="T822" s="113"/>
      <c r="U822" s="111"/>
      <c r="W822" s="83"/>
    </row>
    <row r="823" spans="20:23" x14ac:dyDescent="0.25">
      <c r="T823" s="113"/>
      <c r="U823" s="111"/>
      <c r="W823" s="83"/>
    </row>
    <row r="824" spans="20:23" x14ac:dyDescent="0.25">
      <c r="T824" s="113"/>
      <c r="U824" s="111"/>
      <c r="W824" s="83"/>
    </row>
    <row r="825" spans="20:23" x14ac:dyDescent="0.25">
      <c r="T825" s="113"/>
      <c r="U825" s="111"/>
      <c r="W825" s="83"/>
    </row>
    <row r="826" spans="20:23" x14ac:dyDescent="0.25">
      <c r="T826" s="113"/>
      <c r="U826" s="111"/>
      <c r="W826" s="83"/>
    </row>
    <row r="827" spans="20:23" x14ac:dyDescent="0.25">
      <c r="T827" s="113"/>
      <c r="U827" s="111"/>
      <c r="W827" s="83"/>
    </row>
    <row r="828" spans="20:23" x14ac:dyDescent="0.25">
      <c r="T828" s="113"/>
      <c r="U828" s="111"/>
      <c r="W828" s="83"/>
    </row>
    <row r="829" spans="20:23" x14ac:dyDescent="0.25">
      <c r="T829" s="113"/>
      <c r="U829" s="111"/>
      <c r="W829" s="83"/>
    </row>
    <row r="830" spans="20:23" x14ac:dyDescent="0.25">
      <c r="T830" s="113"/>
      <c r="U830" s="111"/>
      <c r="W830" s="83"/>
    </row>
    <row r="831" spans="20:23" x14ac:dyDescent="0.25">
      <c r="T831" s="113"/>
      <c r="U831" s="111"/>
      <c r="W831" s="83"/>
    </row>
    <row r="832" spans="20:23" x14ac:dyDescent="0.25">
      <c r="T832" s="113"/>
      <c r="U832" s="111"/>
      <c r="W832" s="83"/>
    </row>
    <row r="833" spans="20:23" x14ac:dyDescent="0.25">
      <c r="T833" s="113"/>
      <c r="U833" s="111"/>
      <c r="W833" s="83"/>
    </row>
    <row r="834" spans="20:23" x14ac:dyDescent="0.25">
      <c r="T834" s="113"/>
      <c r="U834" s="111"/>
      <c r="W834" s="83"/>
    </row>
    <row r="835" spans="20:23" x14ac:dyDescent="0.25">
      <c r="T835" s="113"/>
      <c r="U835" s="111"/>
      <c r="W835" s="83"/>
    </row>
    <row r="836" spans="20:23" x14ac:dyDescent="0.25">
      <c r="T836" s="113"/>
      <c r="U836" s="111"/>
      <c r="W836" s="83"/>
    </row>
    <row r="837" spans="20:23" x14ac:dyDescent="0.25">
      <c r="T837" s="113"/>
      <c r="U837" s="111"/>
      <c r="W837" s="83"/>
    </row>
    <row r="838" spans="20:23" x14ac:dyDescent="0.25">
      <c r="T838" s="113"/>
      <c r="U838" s="111"/>
      <c r="W838" s="83"/>
    </row>
    <row r="839" spans="20:23" x14ac:dyDescent="0.25">
      <c r="T839" s="113"/>
      <c r="U839" s="111"/>
      <c r="W839" s="83"/>
    </row>
    <row r="840" spans="20:23" x14ac:dyDescent="0.25">
      <c r="T840" s="113"/>
      <c r="U840" s="111"/>
      <c r="W840" s="83"/>
    </row>
    <row r="841" spans="20:23" x14ac:dyDescent="0.25">
      <c r="T841" s="113"/>
      <c r="U841" s="111"/>
      <c r="W841" s="83"/>
    </row>
    <row r="842" spans="20:23" x14ac:dyDescent="0.25">
      <c r="T842" s="113"/>
      <c r="U842" s="111"/>
      <c r="W842" s="83"/>
    </row>
    <row r="843" spans="20:23" x14ac:dyDescent="0.25">
      <c r="T843" s="113"/>
      <c r="U843" s="111"/>
      <c r="W843" s="83"/>
    </row>
    <row r="844" spans="20:23" x14ac:dyDescent="0.25">
      <c r="T844" s="113"/>
      <c r="U844" s="111"/>
      <c r="W844" s="83"/>
    </row>
    <row r="845" spans="20:23" x14ac:dyDescent="0.25">
      <c r="T845" s="113"/>
      <c r="U845" s="111"/>
      <c r="W845" s="83"/>
    </row>
    <row r="846" spans="20:23" x14ac:dyDescent="0.25">
      <c r="T846" s="113"/>
      <c r="U846" s="111"/>
      <c r="W846" s="83"/>
    </row>
    <row r="847" spans="20:23" x14ac:dyDescent="0.25">
      <c r="T847" s="113"/>
      <c r="U847" s="111"/>
      <c r="W847" s="83"/>
    </row>
    <row r="848" spans="20:23" x14ac:dyDescent="0.25">
      <c r="T848" s="113"/>
      <c r="U848" s="111"/>
      <c r="W848" s="83"/>
    </row>
    <row r="849" spans="20:23" x14ac:dyDescent="0.25">
      <c r="T849" s="113"/>
      <c r="U849" s="111"/>
      <c r="W849" s="83"/>
    </row>
    <row r="850" spans="20:23" x14ac:dyDescent="0.25">
      <c r="T850" s="113"/>
      <c r="U850" s="111"/>
      <c r="W850" s="83"/>
    </row>
    <row r="851" spans="20:23" x14ac:dyDescent="0.25">
      <c r="T851" s="113"/>
      <c r="U851" s="111"/>
      <c r="W851" s="83"/>
    </row>
    <row r="852" spans="20:23" x14ac:dyDescent="0.25">
      <c r="T852" s="113"/>
      <c r="U852" s="111"/>
      <c r="W852" s="83"/>
    </row>
    <row r="853" spans="20:23" x14ac:dyDescent="0.25">
      <c r="T853" s="113"/>
      <c r="U853" s="111"/>
      <c r="W853" s="83"/>
    </row>
    <row r="854" spans="20:23" x14ac:dyDescent="0.25">
      <c r="T854" s="113"/>
      <c r="U854" s="111"/>
      <c r="W854" s="83"/>
    </row>
    <row r="855" spans="20:23" x14ac:dyDescent="0.25">
      <c r="T855" s="113"/>
      <c r="U855" s="111"/>
      <c r="W855" s="83"/>
    </row>
    <row r="856" spans="20:23" x14ac:dyDescent="0.25">
      <c r="T856" s="113"/>
      <c r="U856" s="111"/>
      <c r="W856" s="83"/>
    </row>
    <row r="857" spans="20:23" x14ac:dyDescent="0.25">
      <c r="T857" s="113"/>
      <c r="U857" s="111"/>
      <c r="W857" s="83"/>
    </row>
    <row r="858" spans="20:23" x14ac:dyDescent="0.25">
      <c r="T858" s="113"/>
      <c r="U858" s="111"/>
      <c r="W858" s="83"/>
    </row>
    <row r="859" spans="20:23" x14ac:dyDescent="0.25">
      <c r="T859" s="113"/>
      <c r="U859" s="111"/>
      <c r="W859" s="83"/>
    </row>
    <row r="860" spans="20:23" x14ac:dyDescent="0.25">
      <c r="T860" s="113"/>
      <c r="U860" s="111"/>
      <c r="W860" s="83"/>
    </row>
    <row r="861" spans="20:23" x14ac:dyDescent="0.25">
      <c r="T861" s="113"/>
      <c r="U861" s="111"/>
      <c r="W861" s="83"/>
    </row>
    <row r="862" spans="20:23" x14ac:dyDescent="0.25">
      <c r="T862" s="113"/>
      <c r="U862" s="111"/>
      <c r="W862" s="83"/>
    </row>
    <row r="863" spans="20:23" x14ac:dyDescent="0.25">
      <c r="T863" s="113"/>
      <c r="U863" s="111"/>
      <c r="W863" s="83"/>
    </row>
    <row r="864" spans="20:23" x14ac:dyDescent="0.25">
      <c r="T864" s="113"/>
      <c r="U864" s="111"/>
      <c r="W864" s="83"/>
    </row>
    <row r="865" spans="20:23" x14ac:dyDescent="0.25">
      <c r="T865" s="113"/>
      <c r="U865" s="111"/>
      <c r="W865" s="83"/>
    </row>
    <row r="866" spans="20:23" x14ac:dyDescent="0.25">
      <c r="T866" s="113"/>
      <c r="U866" s="111"/>
      <c r="W866" s="83"/>
    </row>
    <row r="867" spans="20:23" x14ac:dyDescent="0.25">
      <c r="T867" s="113"/>
      <c r="U867" s="111"/>
      <c r="W867" s="83"/>
    </row>
    <row r="868" spans="20:23" x14ac:dyDescent="0.25">
      <c r="T868" s="113"/>
      <c r="U868" s="111"/>
      <c r="W868" s="83"/>
    </row>
    <row r="869" spans="20:23" x14ac:dyDescent="0.25">
      <c r="T869" s="113"/>
      <c r="U869" s="111"/>
      <c r="W869" s="83"/>
    </row>
    <row r="870" spans="20:23" x14ac:dyDescent="0.25">
      <c r="T870" s="113"/>
      <c r="U870" s="111"/>
      <c r="W870" s="83"/>
    </row>
    <row r="871" spans="20:23" x14ac:dyDescent="0.25">
      <c r="T871" s="113"/>
      <c r="U871" s="111"/>
      <c r="W871" s="83"/>
    </row>
    <row r="872" spans="20:23" x14ac:dyDescent="0.25">
      <c r="T872" s="113"/>
      <c r="U872" s="111"/>
      <c r="W872" s="83"/>
    </row>
    <row r="873" spans="20:23" x14ac:dyDescent="0.25">
      <c r="T873" s="113"/>
      <c r="U873" s="111"/>
      <c r="W873" s="83"/>
    </row>
    <row r="874" spans="20:23" x14ac:dyDescent="0.25">
      <c r="T874" s="113"/>
      <c r="U874" s="111"/>
      <c r="W874" s="83"/>
    </row>
    <row r="875" spans="20:23" x14ac:dyDescent="0.25">
      <c r="T875" s="113"/>
      <c r="U875" s="111"/>
      <c r="W875" s="83"/>
    </row>
    <row r="876" spans="20:23" x14ac:dyDescent="0.25">
      <c r="T876" s="113"/>
      <c r="U876" s="111"/>
      <c r="W876" s="83"/>
    </row>
    <row r="877" spans="20:23" x14ac:dyDescent="0.25">
      <c r="T877" s="113"/>
      <c r="U877" s="111"/>
      <c r="W877" s="83"/>
    </row>
    <row r="878" spans="20:23" x14ac:dyDescent="0.25">
      <c r="T878" s="113"/>
      <c r="U878" s="111"/>
      <c r="W878" s="83"/>
    </row>
    <row r="879" spans="20:23" x14ac:dyDescent="0.25">
      <c r="T879" s="113"/>
      <c r="U879" s="111"/>
      <c r="W879" s="83"/>
    </row>
    <row r="880" spans="20:23" x14ac:dyDescent="0.25">
      <c r="T880" s="113"/>
      <c r="U880" s="111"/>
      <c r="W880" s="83"/>
    </row>
    <row r="881" spans="20:23" x14ac:dyDescent="0.25">
      <c r="T881" s="113"/>
      <c r="U881" s="111"/>
      <c r="W881" s="83"/>
    </row>
    <row r="882" spans="20:23" x14ac:dyDescent="0.25">
      <c r="T882" s="113"/>
      <c r="U882" s="111"/>
      <c r="W882" s="83"/>
    </row>
    <row r="883" spans="20:23" x14ac:dyDescent="0.25">
      <c r="T883" s="113"/>
      <c r="U883" s="111"/>
      <c r="W883" s="83"/>
    </row>
    <row r="884" spans="20:23" x14ac:dyDescent="0.25">
      <c r="T884" s="113"/>
      <c r="U884" s="111"/>
      <c r="W884" s="83"/>
    </row>
    <row r="885" spans="20:23" x14ac:dyDescent="0.25">
      <c r="T885" s="113"/>
      <c r="U885" s="111"/>
      <c r="W885" s="83"/>
    </row>
    <row r="886" spans="20:23" x14ac:dyDescent="0.25">
      <c r="T886" s="113"/>
      <c r="U886" s="111"/>
      <c r="W886" s="83"/>
    </row>
    <row r="887" spans="20:23" x14ac:dyDescent="0.25">
      <c r="T887" s="113"/>
      <c r="U887" s="111"/>
      <c r="W887" s="83"/>
    </row>
    <row r="888" spans="20:23" x14ac:dyDescent="0.25">
      <c r="T888" s="113"/>
      <c r="U888" s="111"/>
      <c r="W888" s="83"/>
    </row>
    <row r="889" spans="20:23" x14ac:dyDescent="0.25">
      <c r="T889" s="113"/>
      <c r="U889" s="111"/>
      <c r="W889" s="83"/>
    </row>
    <row r="890" spans="20:23" x14ac:dyDescent="0.25">
      <c r="T890" s="113"/>
      <c r="U890" s="111"/>
      <c r="W890" s="83"/>
    </row>
    <row r="891" spans="20:23" x14ac:dyDescent="0.25">
      <c r="T891" s="113"/>
      <c r="U891" s="111"/>
      <c r="W891" s="83"/>
    </row>
    <row r="892" spans="20:23" x14ac:dyDescent="0.25">
      <c r="T892" s="113"/>
      <c r="U892" s="111"/>
      <c r="W892" s="83"/>
    </row>
    <row r="893" spans="20:23" x14ac:dyDescent="0.25">
      <c r="T893" s="113"/>
      <c r="U893" s="111"/>
      <c r="W893" s="83"/>
    </row>
    <row r="894" spans="20:23" x14ac:dyDescent="0.25">
      <c r="T894" s="113"/>
      <c r="U894" s="111"/>
      <c r="W894" s="83"/>
    </row>
    <row r="895" spans="20:23" x14ac:dyDescent="0.25">
      <c r="T895" s="113"/>
      <c r="U895" s="111"/>
      <c r="W895" s="83"/>
    </row>
    <row r="896" spans="20:23" x14ac:dyDescent="0.25">
      <c r="T896" s="113"/>
      <c r="U896" s="111"/>
      <c r="W896" s="83"/>
    </row>
    <row r="897" spans="20:23" x14ac:dyDescent="0.25">
      <c r="T897" s="113"/>
      <c r="U897" s="111"/>
      <c r="W897" s="83"/>
    </row>
    <row r="898" spans="20:23" x14ac:dyDescent="0.25">
      <c r="T898" s="113"/>
      <c r="U898" s="111"/>
      <c r="W898" s="83"/>
    </row>
    <row r="899" spans="20:23" x14ac:dyDescent="0.25">
      <c r="T899" s="113"/>
      <c r="U899" s="111"/>
      <c r="W899" s="83"/>
    </row>
    <row r="900" spans="20:23" x14ac:dyDescent="0.25">
      <c r="T900" s="113"/>
      <c r="U900" s="111"/>
      <c r="W900" s="83"/>
    </row>
    <row r="901" spans="20:23" x14ac:dyDescent="0.25">
      <c r="T901" s="113"/>
      <c r="U901" s="111"/>
      <c r="W901" s="83"/>
    </row>
    <row r="902" spans="20:23" x14ac:dyDescent="0.25">
      <c r="T902" s="113"/>
      <c r="U902" s="111"/>
      <c r="W902" s="83"/>
    </row>
    <row r="903" spans="20:23" x14ac:dyDescent="0.25">
      <c r="T903" s="113"/>
      <c r="U903" s="111"/>
      <c r="W903" s="83"/>
    </row>
    <row r="904" spans="20:23" x14ac:dyDescent="0.25">
      <c r="T904" s="113"/>
      <c r="U904" s="111"/>
      <c r="W904" s="83"/>
    </row>
    <row r="905" spans="20:23" x14ac:dyDescent="0.25">
      <c r="T905" s="113"/>
      <c r="U905" s="111"/>
      <c r="W905" s="83"/>
    </row>
    <row r="906" spans="20:23" x14ac:dyDescent="0.25">
      <c r="T906" s="113"/>
      <c r="U906" s="111"/>
      <c r="W906" s="83"/>
    </row>
    <row r="907" spans="20:23" x14ac:dyDescent="0.25">
      <c r="T907" s="113"/>
      <c r="U907" s="111"/>
      <c r="W907" s="83"/>
    </row>
    <row r="908" spans="20:23" x14ac:dyDescent="0.25">
      <c r="T908" s="113"/>
      <c r="U908" s="111"/>
      <c r="W908" s="83"/>
    </row>
    <row r="909" spans="20:23" x14ac:dyDescent="0.25">
      <c r="T909" s="113"/>
      <c r="U909" s="111"/>
      <c r="W909" s="83"/>
    </row>
    <row r="910" spans="20:23" x14ac:dyDescent="0.25">
      <c r="T910" s="113"/>
      <c r="U910" s="111"/>
      <c r="W910" s="83"/>
    </row>
    <row r="911" spans="20:23" x14ac:dyDescent="0.25">
      <c r="T911" s="113"/>
      <c r="U911" s="111"/>
      <c r="W911" s="83"/>
    </row>
    <row r="912" spans="20:23" x14ac:dyDescent="0.25">
      <c r="T912" s="113"/>
      <c r="U912" s="111"/>
      <c r="W912" s="83"/>
    </row>
    <row r="913" spans="20:23" x14ac:dyDescent="0.25">
      <c r="T913" s="113"/>
      <c r="U913" s="111"/>
      <c r="W913" s="83"/>
    </row>
    <row r="914" spans="20:23" x14ac:dyDescent="0.25">
      <c r="T914" s="113"/>
      <c r="U914" s="111"/>
      <c r="W914" s="83"/>
    </row>
    <row r="915" spans="20:23" x14ac:dyDescent="0.25">
      <c r="T915" s="113"/>
      <c r="U915" s="111"/>
      <c r="W915" s="83"/>
    </row>
    <row r="916" spans="20:23" x14ac:dyDescent="0.25">
      <c r="T916" s="113"/>
      <c r="U916" s="111"/>
      <c r="W916" s="83"/>
    </row>
    <row r="917" spans="20:23" x14ac:dyDescent="0.25">
      <c r="T917" s="113"/>
      <c r="U917" s="111"/>
      <c r="W917" s="83"/>
    </row>
    <row r="918" spans="20:23" x14ac:dyDescent="0.25">
      <c r="T918" s="113"/>
      <c r="U918" s="111"/>
      <c r="W918" s="83"/>
    </row>
    <row r="919" spans="20:23" x14ac:dyDescent="0.25">
      <c r="T919" s="113"/>
      <c r="U919" s="111"/>
      <c r="W919" s="83"/>
    </row>
    <row r="920" spans="20:23" x14ac:dyDescent="0.25">
      <c r="T920" s="113"/>
      <c r="U920" s="111"/>
      <c r="W920" s="83"/>
    </row>
    <row r="921" spans="20:23" x14ac:dyDescent="0.25">
      <c r="T921" s="113"/>
      <c r="U921" s="111"/>
      <c r="W921" s="83"/>
    </row>
    <row r="922" spans="20:23" x14ac:dyDescent="0.25">
      <c r="T922" s="113"/>
      <c r="U922" s="111"/>
      <c r="W922" s="83"/>
    </row>
    <row r="923" spans="20:23" x14ac:dyDescent="0.25">
      <c r="T923" s="113"/>
      <c r="U923" s="111"/>
      <c r="W923" s="83"/>
    </row>
    <row r="924" spans="20:23" x14ac:dyDescent="0.25">
      <c r="T924" s="113"/>
      <c r="U924" s="111"/>
      <c r="W924" s="83"/>
    </row>
    <row r="925" spans="20:23" x14ac:dyDescent="0.25">
      <c r="T925" s="113"/>
      <c r="U925" s="111"/>
      <c r="W925" s="83"/>
    </row>
    <row r="926" spans="20:23" x14ac:dyDescent="0.25">
      <c r="T926" s="113"/>
      <c r="U926" s="111"/>
      <c r="W926" s="83"/>
    </row>
    <row r="927" spans="20:23" x14ac:dyDescent="0.25">
      <c r="T927" s="113"/>
      <c r="U927" s="111"/>
      <c r="W927" s="83"/>
    </row>
    <row r="928" spans="20:23" x14ac:dyDescent="0.25">
      <c r="T928" s="113"/>
      <c r="U928" s="111"/>
      <c r="W928" s="83"/>
    </row>
    <row r="929" spans="20:23" x14ac:dyDescent="0.25">
      <c r="T929" s="113"/>
      <c r="U929" s="111"/>
      <c r="W929" s="83"/>
    </row>
    <row r="930" spans="20:23" x14ac:dyDescent="0.25">
      <c r="T930" s="113"/>
      <c r="U930" s="111"/>
      <c r="W930" s="83"/>
    </row>
    <row r="931" spans="20:23" x14ac:dyDescent="0.25">
      <c r="T931" s="113"/>
      <c r="U931" s="111"/>
      <c r="W931" s="83"/>
    </row>
    <row r="932" spans="20:23" x14ac:dyDescent="0.25">
      <c r="T932" s="113"/>
      <c r="U932" s="111"/>
      <c r="W932" s="83"/>
    </row>
    <row r="933" spans="20:23" x14ac:dyDescent="0.25">
      <c r="T933" s="113"/>
      <c r="U933" s="111"/>
      <c r="W933" s="83"/>
    </row>
    <row r="934" spans="20:23" x14ac:dyDescent="0.25">
      <c r="T934" s="113"/>
      <c r="U934" s="111"/>
      <c r="W934" s="83"/>
    </row>
    <row r="935" spans="20:23" x14ac:dyDescent="0.25">
      <c r="T935" s="113"/>
      <c r="U935" s="111"/>
      <c r="W935" s="83"/>
    </row>
    <row r="936" spans="20:23" x14ac:dyDescent="0.25">
      <c r="T936" s="113"/>
      <c r="U936" s="111"/>
      <c r="W936" s="83"/>
    </row>
    <row r="937" spans="20:23" x14ac:dyDescent="0.25">
      <c r="T937" s="113"/>
      <c r="U937" s="111"/>
      <c r="W937" s="83"/>
    </row>
    <row r="938" spans="20:23" x14ac:dyDescent="0.25">
      <c r="T938" s="113"/>
      <c r="U938" s="111"/>
      <c r="W938" s="83"/>
    </row>
    <row r="939" spans="20:23" x14ac:dyDescent="0.25">
      <c r="T939" s="113"/>
      <c r="U939" s="111"/>
      <c r="W939" s="83"/>
    </row>
    <row r="940" spans="20:23" x14ac:dyDescent="0.25">
      <c r="T940" s="113"/>
      <c r="U940" s="111"/>
      <c r="W940" s="83"/>
    </row>
    <row r="941" spans="20:23" x14ac:dyDescent="0.25">
      <c r="T941" s="113"/>
      <c r="U941" s="111"/>
      <c r="W941" s="83"/>
    </row>
    <row r="942" spans="20:23" x14ac:dyDescent="0.25">
      <c r="T942" s="113"/>
      <c r="U942" s="111"/>
      <c r="W942" s="83"/>
    </row>
    <row r="943" spans="20:23" x14ac:dyDescent="0.25">
      <c r="T943" s="113"/>
      <c r="U943" s="111"/>
      <c r="W943" s="83"/>
    </row>
    <row r="944" spans="20:23" x14ac:dyDescent="0.25">
      <c r="T944" s="113"/>
      <c r="U944" s="111"/>
      <c r="W944" s="83"/>
    </row>
    <row r="945" spans="20:23" x14ac:dyDescent="0.25">
      <c r="T945" s="113"/>
      <c r="U945" s="111"/>
      <c r="W945" s="83"/>
    </row>
    <row r="946" spans="20:23" x14ac:dyDescent="0.25">
      <c r="T946" s="113"/>
      <c r="U946" s="111"/>
      <c r="W946" s="83"/>
    </row>
    <row r="947" spans="20:23" x14ac:dyDescent="0.25">
      <c r="T947" s="113"/>
      <c r="U947" s="111"/>
      <c r="W947" s="83"/>
    </row>
    <row r="948" spans="20:23" x14ac:dyDescent="0.25">
      <c r="T948" s="113"/>
      <c r="U948" s="111"/>
      <c r="W948" s="83"/>
    </row>
    <row r="949" spans="20:23" x14ac:dyDescent="0.25">
      <c r="T949" s="113"/>
      <c r="U949" s="111"/>
      <c r="W949" s="83"/>
    </row>
    <row r="950" spans="20:23" x14ac:dyDescent="0.25">
      <c r="T950" s="113"/>
      <c r="U950" s="111"/>
      <c r="W950" s="83"/>
    </row>
    <row r="951" spans="20:23" x14ac:dyDescent="0.25">
      <c r="T951" s="113"/>
      <c r="U951" s="111"/>
      <c r="W951" s="83"/>
    </row>
    <row r="952" spans="20:23" x14ac:dyDescent="0.25">
      <c r="T952" s="113"/>
      <c r="U952" s="111"/>
      <c r="W952" s="83"/>
    </row>
    <row r="953" spans="20:23" x14ac:dyDescent="0.25">
      <c r="T953" s="113"/>
      <c r="U953" s="111"/>
      <c r="W953" s="83"/>
    </row>
    <row r="954" spans="20:23" x14ac:dyDescent="0.25">
      <c r="T954" s="113"/>
      <c r="U954" s="111"/>
      <c r="W954" s="83"/>
    </row>
    <row r="955" spans="20:23" x14ac:dyDescent="0.25">
      <c r="T955" s="113"/>
      <c r="U955" s="111"/>
      <c r="W955" s="83"/>
    </row>
    <row r="956" spans="20:23" x14ac:dyDescent="0.25">
      <c r="T956" s="113"/>
      <c r="U956" s="111"/>
      <c r="W956" s="83"/>
    </row>
    <row r="957" spans="20:23" x14ac:dyDescent="0.25">
      <c r="T957" s="113"/>
      <c r="U957" s="111"/>
      <c r="W957" s="83"/>
    </row>
    <row r="958" spans="20:23" x14ac:dyDescent="0.25">
      <c r="T958" s="113"/>
      <c r="U958" s="111"/>
      <c r="W958" s="83"/>
    </row>
    <row r="959" spans="20:23" x14ac:dyDescent="0.25">
      <c r="T959" s="113"/>
      <c r="U959" s="111"/>
      <c r="W959" s="83"/>
    </row>
    <row r="960" spans="20:23" x14ac:dyDescent="0.25">
      <c r="T960" s="113"/>
      <c r="U960" s="111"/>
      <c r="W960" s="83"/>
    </row>
    <row r="961" spans="20:23" x14ac:dyDescent="0.25">
      <c r="T961" s="113"/>
      <c r="U961" s="111"/>
      <c r="W961" s="83"/>
    </row>
    <row r="962" spans="20:23" x14ac:dyDescent="0.25">
      <c r="T962" s="113"/>
      <c r="U962" s="111"/>
      <c r="W962" s="83"/>
    </row>
    <row r="963" spans="20:23" x14ac:dyDescent="0.25">
      <c r="T963" s="113"/>
      <c r="U963" s="111"/>
      <c r="W963" s="83"/>
    </row>
    <row r="964" spans="20:23" x14ac:dyDescent="0.25">
      <c r="T964" s="113"/>
      <c r="U964" s="111"/>
      <c r="W964" s="83"/>
    </row>
    <row r="965" spans="20:23" x14ac:dyDescent="0.25">
      <c r="T965" s="113"/>
      <c r="U965" s="111"/>
      <c r="W965" s="83"/>
    </row>
    <row r="966" spans="20:23" x14ac:dyDescent="0.25">
      <c r="T966" s="113"/>
      <c r="U966" s="111"/>
      <c r="W966" s="83"/>
    </row>
    <row r="967" spans="20:23" x14ac:dyDescent="0.25">
      <c r="T967" s="113"/>
      <c r="U967" s="111"/>
      <c r="W967" s="83"/>
    </row>
    <row r="968" spans="20:23" x14ac:dyDescent="0.25">
      <c r="T968" s="113"/>
      <c r="U968" s="111"/>
      <c r="W968" s="83"/>
    </row>
    <row r="969" spans="20:23" x14ac:dyDescent="0.25">
      <c r="T969" s="113"/>
      <c r="U969" s="111"/>
      <c r="W969" s="83"/>
    </row>
    <row r="970" spans="20:23" x14ac:dyDescent="0.25">
      <c r="T970" s="113"/>
      <c r="U970" s="111"/>
      <c r="W970" s="83"/>
    </row>
    <row r="971" spans="20:23" x14ac:dyDescent="0.25">
      <c r="T971" s="113"/>
      <c r="U971" s="111"/>
      <c r="W971" s="83"/>
    </row>
    <row r="972" spans="20:23" x14ac:dyDescent="0.25">
      <c r="T972" s="113"/>
      <c r="U972" s="111"/>
      <c r="W972" s="83"/>
    </row>
    <row r="973" spans="20:23" x14ac:dyDescent="0.25">
      <c r="T973" s="113"/>
      <c r="U973" s="111"/>
      <c r="W973" s="83"/>
    </row>
    <row r="974" spans="20:23" x14ac:dyDescent="0.25">
      <c r="T974" s="113"/>
      <c r="U974" s="111"/>
      <c r="W974" s="83"/>
    </row>
    <row r="975" spans="20:23" x14ac:dyDescent="0.25">
      <c r="T975" s="113"/>
      <c r="U975" s="111"/>
      <c r="W975" s="83"/>
    </row>
    <row r="976" spans="20:23" x14ac:dyDescent="0.25">
      <c r="T976" s="113"/>
      <c r="U976" s="111"/>
      <c r="W976" s="83"/>
    </row>
    <row r="977" spans="20:23" x14ac:dyDescent="0.25">
      <c r="T977" s="113"/>
      <c r="U977" s="111"/>
      <c r="W977" s="83"/>
    </row>
    <row r="978" spans="20:23" x14ac:dyDescent="0.25">
      <c r="T978" s="113"/>
      <c r="U978" s="111"/>
      <c r="W978" s="83"/>
    </row>
    <row r="979" spans="20:23" x14ac:dyDescent="0.25">
      <c r="T979" s="113"/>
      <c r="U979" s="111"/>
      <c r="W979" s="83"/>
    </row>
    <row r="980" spans="20:23" x14ac:dyDescent="0.25">
      <c r="T980" s="113"/>
      <c r="U980" s="111"/>
      <c r="W980" s="83"/>
    </row>
    <row r="981" spans="20:23" x14ac:dyDescent="0.25">
      <c r="T981" s="113"/>
      <c r="U981" s="111"/>
      <c r="W981" s="83"/>
    </row>
    <row r="982" spans="20:23" x14ac:dyDescent="0.25">
      <c r="T982" s="113"/>
      <c r="U982" s="111"/>
      <c r="W982" s="83"/>
    </row>
    <row r="983" spans="20:23" x14ac:dyDescent="0.25">
      <c r="T983" s="113"/>
      <c r="U983" s="111"/>
      <c r="W983" s="83"/>
    </row>
    <row r="984" spans="20:23" x14ac:dyDescent="0.25">
      <c r="T984" s="113"/>
      <c r="U984" s="111"/>
      <c r="W984" s="83"/>
    </row>
    <row r="985" spans="20:23" x14ac:dyDescent="0.25">
      <c r="T985" s="113"/>
      <c r="U985" s="111"/>
      <c r="W985" s="83"/>
    </row>
    <row r="986" spans="20:23" x14ac:dyDescent="0.25">
      <c r="T986" s="113"/>
      <c r="U986" s="111"/>
      <c r="W986" s="83"/>
    </row>
    <row r="987" spans="20:23" x14ac:dyDescent="0.25">
      <c r="T987" s="113"/>
      <c r="U987" s="111"/>
      <c r="W987" s="83"/>
    </row>
    <row r="988" spans="20:23" x14ac:dyDescent="0.25">
      <c r="T988" s="113"/>
      <c r="U988" s="111"/>
      <c r="W988" s="83"/>
    </row>
    <row r="989" spans="20:23" x14ac:dyDescent="0.25">
      <c r="T989" s="113"/>
      <c r="U989" s="111"/>
      <c r="W989" s="83"/>
    </row>
    <row r="990" spans="20:23" x14ac:dyDescent="0.25">
      <c r="T990" s="113"/>
      <c r="U990" s="111"/>
      <c r="W990" s="83"/>
    </row>
    <row r="991" spans="20:23" x14ac:dyDescent="0.25">
      <c r="T991" s="113"/>
      <c r="U991" s="111"/>
      <c r="W991" s="83"/>
    </row>
    <row r="992" spans="20:23" x14ac:dyDescent="0.25">
      <c r="T992" s="113"/>
      <c r="U992" s="111"/>
      <c r="W992" s="83"/>
    </row>
    <row r="993" spans="20:23" x14ac:dyDescent="0.25">
      <c r="T993" s="113"/>
      <c r="U993" s="111"/>
      <c r="W993" s="83"/>
    </row>
    <row r="994" spans="20:23" x14ac:dyDescent="0.25">
      <c r="T994" s="113"/>
      <c r="U994" s="111"/>
      <c r="W994" s="83"/>
    </row>
    <row r="995" spans="20:23" x14ac:dyDescent="0.25">
      <c r="T995" s="113"/>
      <c r="U995" s="111"/>
      <c r="W995" s="83"/>
    </row>
    <row r="996" spans="20:23" x14ac:dyDescent="0.25">
      <c r="T996" s="113"/>
      <c r="U996" s="111"/>
      <c r="W996" s="83"/>
    </row>
    <row r="997" spans="20:23" x14ac:dyDescent="0.25">
      <c r="T997" s="113"/>
      <c r="U997" s="111"/>
      <c r="W997" s="83"/>
    </row>
    <row r="998" spans="20:23" x14ac:dyDescent="0.25">
      <c r="T998" s="113"/>
      <c r="U998" s="111"/>
      <c r="W998" s="83"/>
    </row>
    <row r="999" spans="20:23" x14ac:dyDescent="0.25">
      <c r="T999" s="113"/>
      <c r="U999" s="111"/>
      <c r="W999" s="83"/>
    </row>
    <row r="1000" spans="20:23" x14ac:dyDescent="0.25">
      <c r="T1000" s="113"/>
      <c r="U1000" s="111"/>
      <c r="W1000" s="83"/>
    </row>
    <row r="1001" spans="20:23" x14ac:dyDescent="0.25">
      <c r="T1001" s="113"/>
      <c r="U1001" s="111"/>
      <c r="W1001" s="83"/>
    </row>
    <row r="1002" spans="20:23" x14ac:dyDescent="0.25">
      <c r="T1002" s="113"/>
      <c r="U1002" s="111"/>
      <c r="W1002" s="83"/>
    </row>
    <row r="1003" spans="20:23" x14ac:dyDescent="0.25">
      <c r="T1003" s="113"/>
      <c r="U1003" s="111"/>
      <c r="W1003" s="83"/>
    </row>
    <row r="1004" spans="20:23" x14ac:dyDescent="0.25">
      <c r="T1004" s="113"/>
      <c r="U1004" s="111"/>
      <c r="W1004" s="83"/>
    </row>
    <row r="1005" spans="20:23" x14ac:dyDescent="0.25">
      <c r="T1005" s="113"/>
      <c r="U1005" s="111"/>
      <c r="W1005" s="83"/>
    </row>
    <row r="1006" spans="20:23" x14ac:dyDescent="0.25">
      <c r="T1006" s="113"/>
      <c r="U1006" s="111"/>
      <c r="W1006" s="83"/>
    </row>
    <row r="1007" spans="20:23" x14ac:dyDescent="0.25">
      <c r="T1007" s="113"/>
      <c r="U1007" s="111"/>
      <c r="W1007" s="83"/>
    </row>
    <row r="1008" spans="20:23" x14ac:dyDescent="0.25">
      <c r="T1008" s="113"/>
      <c r="U1008" s="111"/>
      <c r="W1008" s="83"/>
    </row>
    <row r="1009" spans="20:23" x14ac:dyDescent="0.25">
      <c r="T1009" s="113"/>
      <c r="U1009" s="111"/>
      <c r="W1009" s="83"/>
    </row>
    <row r="1010" spans="20:23" x14ac:dyDescent="0.25">
      <c r="T1010" s="113"/>
      <c r="U1010" s="111"/>
      <c r="W1010" s="83"/>
    </row>
    <row r="1011" spans="20:23" x14ac:dyDescent="0.25">
      <c r="T1011" s="113"/>
      <c r="U1011" s="111"/>
      <c r="W1011" s="83"/>
    </row>
    <row r="1012" spans="20:23" x14ac:dyDescent="0.25">
      <c r="T1012" s="113"/>
      <c r="U1012" s="111"/>
      <c r="W1012" s="83"/>
    </row>
    <row r="1013" spans="20:23" x14ac:dyDescent="0.25">
      <c r="T1013" s="113"/>
      <c r="U1013" s="111"/>
      <c r="W1013" s="83"/>
    </row>
    <row r="1014" spans="20:23" x14ac:dyDescent="0.25">
      <c r="T1014" s="113"/>
      <c r="U1014" s="111"/>
      <c r="W1014" s="83"/>
    </row>
    <row r="1015" spans="20:23" x14ac:dyDescent="0.25">
      <c r="T1015" s="113"/>
      <c r="U1015" s="111"/>
      <c r="W1015" s="83"/>
    </row>
    <row r="1016" spans="20:23" x14ac:dyDescent="0.25">
      <c r="T1016" s="113"/>
      <c r="U1016" s="111"/>
      <c r="W1016" s="83"/>
    </row>
    <row r="1017" spans="20:23" x14ac:dyDescent="0.25">
      <c r="T1017" s="113"/>
      <c r="U1017" s="111"/>
      <c r="W1017" s="83"/>
    </row>
    <row r="1018" spans="20:23" x14ac:dyDescent="0.25">
      <c r="T1018" s="113"/>
      <c r="U1018" s="111"/>
      <c r="W1018" s="83"/>
    </row>
    <row r="1019" spans="20:23" x14ac:dyDescent="0.25">
      <c r="T1019" s="113"/>
      <c r="U1019" s="111"/>
      <c r="W1019" s="83"/>
    </row>
    <row r="1020" spans="20:23" x14ac:dyDescent="0.25">
      <c r="T1020" s="113"/>
      <c r="U1020" s="111"/>
      <c r="W1020" s="83"/>
    </row>
    <row r="1021" spans="20:23" x14ac:dyDescent="0.25">
      <c r="T1021" s="113"/>
      <c r="U1021" s="111"/>
      <c r="W1021" s="83"/>
    </row>
    <row r="1022" spans="20:23" x14ac:dyDescent="0.25">
      <c r="T1022" s="113"/>
      <c r="U1022" s="111"/>
      <c r="W1022" s="83"/>
    </row>
    <row r="1023" spans="20:23" x14ac:dyDescent="0.25">
      <c r="T1023" s="113"/>
      <c r="U1023" s="111"/>
      <c r="W1023" s="83"/>
    </row>
    <row r="1024" spans="20:23" x14ac:dyDescent="0.25">
      <c r="T1024" s="113"/>
      <c r="U1024" s="111"/>
      <c r="W1024" s="83"/>
    </row>
    <row r="1025" spans="20:23" x14ac:dyDescent="0.25">
      <c r="T1025" s="113"/>
      <c r="U1025" s="111"/>
      <c r="W1025" s="83"/>
    </row>
    <row r="1026" spans="20:23" x14ac:dyDescent="0.25">
      <c r="T1026" s="113"/>
      <c r="U1026" s="111"/>
      <c r="W1026" s="83"/>
    </row>
    <row r="1027" spans="20:23" x14ac:dyDescent="0.25">
      <c r="T1027" s="113"/>
      <c r="U1027" s="111"/>
      <c r="W1027" s="83"/>
    </row>
    <row r="1028" spans="20:23" x14ac:dyDescent="0.25">
      <c r="T1028" s="113"/>
      <c r="U1028" s="111"/>
      <c r="W1028" s="83"/>
    </row>
    <row r="1029" spans="20:23" x14ac:dyDescent="0.25">
      <c r="T1029" s="113"/>
      <c r="U1029" s="111"/>
      <c r="W1029" s="83"/>
    </row>
    <row r="1030" spans="20:23" x14ac:dyDescent="0.25">
      <c r="T1030" s="113"/>
      <c r="U1030" s="111"/>
      <c r="W1030" s="83"/>
    </row>
    <row r="1031" spans="20:23" x14ac:dyDescent="0.25">
      <c r="T1031" s="113"/>
      <c r="U1031" s="111"/>
      <c r="W1031" s="83"/>
    </row>
    <row r="1032" spans="20:23" x14ac:dyDescent="0.25">
      <c r="T1032" s="113"/>
      <c r="U1032" s="111"/>
      <c r="W1032" s="83"/>
    </row>
    <row r="1033" spans="20:23" x14ac:dyDescent="0.25">
      <c r="T1033" s="113"/>
      <c r="U1033" s="111"/>
      <c r="W1033" s="83"/>
    </row>
    <row r="1034" spans="20:23" x14ac:dyDescent="0.25">
      <c r="T1034" s="113"/>
      <c r="U1034" s="111"/>
      <c r="W1034" s="83"/>
    </row>
    <row r="1035" spans="20:23" x14ac:dyDescent="0.25">
      <c r="T1035" s="113"/>
      <c r="U1035" s="111"/>
      <c r="W1035" s="83"/>
    </row>
    <row r="1036" spans="20:23" x14ac:dyDescent="0.25">
      <c r="T1036" s="113"/>
      <c r="U1036" s="111"/>
      <c r="W1036" s="83"/>
    </row>
    <row r="1037" spans="20:23" x14ac:dyDescent="0.25">
      <c r="T1037" s="113"/>
      <c r="U1037" s="111"/>
      <c r="W1037" s="83"/>
    </row>
    <row r="1038" spans="20:23" x14ac:dyDescent="0.25">
      <c r="T1038" s="113"/>
      <c r="U1038" s="111"/>
      <c r="W1038" s="83"/>
    </row>
    <row r="1039" spans="20:23" x14ac:dyDescent="0.25">
      <c r="T1039" s="113"/>
      <c r="U1039" s="111"/>
      <c r="W1039" s="83"/>
    </row>
    <row r="1040" spans="20:23" x14ac:dyDescent="0.25">
      <c r="T1040" s="113"/>
      <c r="U1040" s="111"/>
      <c r="W1040" s="83"/>
    </row>
    <row r="1041" spans="20:23" x14ac:dyDescent="0.25">
      <c r="T1041" s="113"/>
      <c r="U1041" s="111"/>
      <c r="W1041" s="83"/>
    </row>
    <row r="1042" spans="20:23" x14ac:dyDescent="0.25">
      <c r="T1042" s="113"/>
      <c r="U1042" s="111"/>
      <c r="W1042" s="83"/>
    </row>
    <row r="1043" spans="20:23" x14ac:dyDescent="0.25">
      <c r="T1043" s="113"/>
      <c r="U1043" s="111"/>
      <c r="W1043" s="83"/>
    </row>
    <row r="1044" spans="20:23" x14ac:dyDescent="0.25">
      <c r="T1044" s="113"/>
      <c r="U1044" s="111"/>
      <c r="W1044" s="83"/>
    </row>
    <row r="1045" spans="20:23" x14ac:dyDescent="0.25">
      <c r="T1045" s="113"/>
      <c r="U1045" s="111"/>
      <c r="W1045" s="83"/>
    </row>
    <row r="1046" spans="20:23" x14ac:dyDescent="0.25">
      <c r="T1046" s="113"/>
      <c r="U1046" s="111"/>
      <c r="W1046" s="83"/>
    </row>
    <row r="1047" spans="20:23" x14ac:dyDescent="0.25">
      <c r="T1047" s="113"/>
      <c r="U1047" s="111"/>
      <c r="W1047" s="83"/>
    </row>
    <row r="1048" spans="20:23" x14ac:dyDescent="0.25">
      <c r="T1048" s="113"/>
      <c r="U1048" s="111"/>
      <c r="W1048" s="83"/>
    </row>
    <row r="1049" spans="20:23" x14ac:dyDescent="0.25">
      <c r="T1049" s="113"/>
      <c r="U1049" s="111"/>
      <c r="W1049" s="83"/>
    </row>
    <row r="1050" spans="20:23" x14ac:dyDescent="0.25">
      <c r="T1050" s="113"/>
      <c r="U1050" s="111"/>
      <c r="W1050" s="83"/>
    </row>
    <row r="1051" spans="20:23" x14ac:dyDescent="0.25">
      <c r="T1051" s="113"/>
      <c r="U1051" s="111"/>
      <c r="W1051" s="83"/>
    </row>
    <row r="1052" spans="20:23" x14ac:dyDescent="0.25">
      <c r="T1052" s="113"/>
      <c r="U1052" s="111"/>
      <c r="W1052" s="83"/>
    </row>
    <row r="1053" spans="20:23" x14ac:dyDescent="0.25">
      <c r="T1053" s="113"/>
      <c r="U1053" s="111"/>
      <c r="W1053" s="83"/>
    </row>
    <row r="1054" spans="20:23" x14ac:dyDescent="0.25">
      <c r="T1054" s="113"/>
      <c r="U1054" s="111"/>
      <c r="W1054" s="83"/>
    </row>
    <row r="1055" spans="20:23" x14ac:dyDescent="0.25">
      <c r="T1055" s="113"/>
      <c r="U1055" s="111"/>
      <c r="W1055" s="83"/>
    </row>
    <row r="1056" spans="20:23" x14ac:dyDescent="0.25">
      <c r="T1056" s="113"/>
      <c r="U1056" s="111"/>
      <c r="W1056" s="83"/>
    </row>
    <row r="1057" spans="20:23" x14ac:dyDescent="0.25">
      <c r="T1057" s="113"/>
      <c r="U1057" s="111"/>
      <c r="W1057" s="83"/>
    </row>
    <row r="1058" spans="20:23" x14ac:dyDescent="0.25">
      <c r="T1058" s="113"/>
      <c r="U1058" s="111"/>
      <c r="W1058" s="83"/>
    </row>
    <row r="1059" spans="20:23" x14ac:dyDescent="0.25">
      <c r="T1059" s="113"/>
      <c r="U1059" s="111"/>
      <c r="W1059" s="83"/>
    </row>
    <row r="1060" spans="20:23" x14ac:dyDescent="0.25">
      <c r="T1060" s="113"/>
      <c r="U1060" s="111"/>
      <c r="W1060" s="83"/>
    </row>
    <row r="1061" spans="20:23" x14ac:dyDescent="0.25">
      <c r="T1061" s="113"/>
      <c r="U1061" s="111"/>
      <c r="W1061" s="83"/>
    </row>
    <row r="1062" spans="20:23" x14ac:dyDescent="0.25">
      <c r="T1062" s="113"/>
      <c r="U1062" s="111"/>
      <c r="W1062" s="83"/>
    </row>
    <row r="1063" spans="20:23" x14ac:dyDescent="0.25">
      <c r="T1063" s="113"/>
      <c r="U1063" s="111"/>
      <c r="W1063" s="83"/>
    </row>
    <row r="1064" spans="20:23" x14ac:dyDescent="0.25">
      <c r="T1064" s="113"/>
      <c r="U1064" s="111"/>
      <c r="W1064" s="83"/>
    </row>
    <row r="1065" spans="20:23" x14ac:dyDescent="0.25">
      <c r="T1065" s="113"/>
      <c r="U1065" s="111"/>
      <c r="W1065" s="83"/>
    </row>
    <row r="1066" spans="20:23" x14ac:dyDescent="0.25">
      <c r="T1066" s="113"/>
      <c r="U1066" s="111"/>
      <c r="W1066" s="83"/>
    </row>
    <row r="1067" spans="20:23" x14ac:dyDescent="0.25">
      <c r="T1067" s="113"/>
      <c r="U1067" s="111"/>
      <c r="W1067" s="83"/>
    </row>
    <row r="1068" spans="20:23" x14ac:dyDescent="0.25">
      <c r="T1068" s="113"/>
      <c r="U1068" s="111"/>
      <c r="W1068" s="83"/>
    </row>
    <row r="1069" spans="20:23" x14ac:dyDescent="0.25">
      <c r="T1069" s="113"/>
      <c r="U1069" s="111"/>
      <c r="W1069" s="83"/>
    </row>
    <row r="1070" spans="20:23" x14ac:dyDescent="0.25">
      <c r="T1070" s="113"/>
      <c r="U1070" s="111"/>
      <c r="W1070" s="83"/>
    </row>
    <row r="1071" spans="20:23" x14ac:dyDescent="0.25">
      <c r="T1071" s="113"/>
      <c r="U1071" s="111"/>
      <c r="W1071" s="83"/>
    </row>
    <row r="1072" spans="20:23" x14ac:dyDescent="0.25">
      <c r="T1072" s="113"/>
      <c r="U1072" s="111"/>
      <c r="W1072" s="83"/>
    </row>
    <row r="1073" spans="20:23" x14ac:dyDescent="0.25">
      <c r="T1073" s="113"/>
      <c r="U1073" s="111"/>
      <c r="W1073" s="83"/>
    </row>
    <row r="1074" spans="20:23" x14ac:dyDescent="0.25">
      <c r="T1074" s="113"/>
      <c r="U1074" s="111"/>
      <c r="W1074" s="83"/>
    </row>
    <row r="1075" spans="20:23" x14ac:dyDescent="0.25">
      <c r="T1075" s="113"/>
      <c r="U1075" s="111"/>
      <c r="W1075" s="83"/>
    </row>
    <row r="1076" spans="20:23" x14ac:dyDescent="0.25">
      <c r="T1076" s="113"/>
      <c r="U1076" s="111"/>
      <c r="W1076" s="83"/>
    </row>
    <row r="1077" spans="20:23" x14ac:dyDescent="0.25">
      <c r="T1077" s="113"/>
      <c r="U1077" s="111"/>
      <c r="W1077" s="83"/>
    </row>
    <row r="1078" spans="20:23" x14ac:dyDescent="0.25">
      <c r="T1078" s="113"/>
      <c r="U1078" s="111"/>
      <c r="W1078" s="83"/>
    </row>
    <row r="1079" spans="20:23" x14ac:dyDescent="0.25">
      <c r="T1079" s="113"/>
      <c r="U1079" s="111"/>
      <c r="W1079" s="83"/>
    </row>
    <row r="1080" spans="20:23" x14ac:dyDescent="0.25">
      <c r="T1080" s="113"/>
      <c r="U1080" s="111"/>
      <c r="W1080" s="83"/>
    </row>
    <row r="1081" spans="20:23" x14ac:dyDescent="0.25">
      <c r="T1081" s="113"/>
      <c r="U1081" s="111"/>
      <c r="W1081" s="83"/>
    </row>
    <row r="1082" spans="20:23" x14ac:dyDescent="0.25">
      <c r="T1082" s="113"/>
      <c r="U1082" s="111"/>
      <c r="W1082" s="83"/>
    </row>
    <row r="1083" spans="20:23" x14ac:dyDescent="0.25">
      <c r="T1083" s="113"/>
      <c r="U1083" s="111"/>
      <c r="W1083" s="83"/>
    </row>
    <row r="1084" spans="20:23" x14ac:dyDescent="0.25">
      <c r="T1084" s="113"/>
      <c r="U1084" s="111"/>
      <c r="W1084" s="83"/>
    </row>
    <row r="1085" spans="20:23" x14ac:dyDescent="0.25">
      <c r="T1085" s="113"/>
      <c r="U1085" s="111"/>
      <c r="W1085" s="83"/>
    </row>
    <row r="1086" spans="20:23" x14ac:dyDescent="0.25">
      <c r="T1086" s="113"/>
      <c r="U1086" s="111"/>
      <c r="W1086" s="83"/>
    </row>
    <row r="1087" spans="20:23" x14ac:dyDescent="0.25">
      <c r="T1087" s="113"/>
      <c r="U1087" s="111"/>
      <c r="W1087" s="83"/>
    </row>
    <row r="1088" spans="20:23" x14ac:dyDescent="0.25">
      <c r="T1088" s="113"/>
      <c r="U1088" s="111"/>
      <c r="W1088" s="83"/>
    </row>
    <row r="1089" spans="20:23" x14ac:dyDescent="0.25">
      <c r="T1089" s="113"/>
      <c r="U1089" s="111"/>
      <c r="W1089" s="83"/>
    </row>
    <row r="1090" spans="20:23" x14ac:dyDescent="0.25">
      <c r="T1090" s="113"/>
      <c r="U1090" s="111"/>
      <c r="W1090" s="83"/>
    </row>
    <row r="1091" spans="20:23" x14ac:dyDescent="0.25">
      <c r="T1091" s="113"/>
      <c r="U1091" s="111"/>
      <c r="W1091" s="83"/>
    </row>
    <row r="1092" spans="20:23" x14ac:dyDescent="0.25">
      <c r="T1092" s="113"/>
      <c r="U1092" s="111"/>
      <c r="W1092" s="83"/>
    </row>
    <row r="1093" spans="20:23" x14ac:dyDescent="0.25">
      <c r="T1093" s="113"/>
      <c r="U1093" s="111"/>
      <c r="W1093" s="83"/>
    </row>
    <row r="1094" spans="20:23" x14ac:dyDescent="0.25">
      <c r="T1094" s="113"/>
      <c r="U1094" s="111"/>
      <c r="W1094" s="83"/>
    </row>
    <row r="1095" spans="20:23" x14ac:dyDescent="0.25">
      <c r="T1095" s="113"/>
      <c r="U1095" s="111"/>
      <c r="W1095" s="83"/>
    </row>
    <row r="1096" spans="20:23" x14ac:dyDescent="0.25">
      <c r="T1096" s="113"/>
      <c r="U1096" s="111"/>
      <c r="W1096" s="83"/>
    </row>
    <row r="1097" spans="20:23" x14ac:dyDescent="0.25">
      <c r="T1097" s="113"/>
      <c r="U1097" s="111"/>
      <c r="W1097" s="83"/>
    </row>
    <row r="1098" spans="20:23" x14ac:dyDescent="0.25">
      <c r="T1098" s="113"/>
      <c r="U1098" s="111"/>
      <c r="W1098" s="83"/>
    </row>
    <row r="1099" spans="20:23" x14ac:dyDescent="0.25">
      <c r="T1099" s="113"/>
      <c r="U1099" s="111"/>
      <c r="W1099" s="83"/>
    </row>
    <row r="1100" spans="20:23" x14ac:dyDescent="0.25">
      <c r="T1100" s="113"/>
      <c r="U1100" s="111"/>
      <c r="W1100" s="83"/>
    </row>
    <row r="1101" spans="20:23" x14ac:dyDescent="0.25">
      <c r="T1101" s="113"/>
      <c r="U1101" s="111"/>
      <c r="W1101" s="83"/>
    </row>
    <row r="1102" spans="20:23" x14ac:dyDescent="0.25">
      <c r="T1102" s="113"/>
      <c r="U1102" s="111"/>
      <c r="W1102" s="83"/>
    </row>
    <row r="1103" spans="20:23" x14ac:dyDescent="0.25">
      <c r="T1103" s="113"/>
      <c r="U1103" s="111"/>
      <c r="W1103" s="83"/>
    </row>
    <row r="1104" spans="20:23" x14ac:dyDescent="0.25">
      <c r="T1104" s="113"/>
      <c r="U1104" s="111"/>
      <c r="W1104" s="83"/>
    </row>
    <row r="1105" spans="20:23" x14ac:dyDescent="0.25">
      <c r="T1105" s="113"/>
      <c r="U1105" s="111"/>
      <c r="W1105" s="83"/>
    </row>
    <row r="1106" spans="20:23" x14ac:dyDescent="0.25">
      <c r="T1106" s="113"/>
      <c r="U1106" s="111"/>
      <c r="W1106" s="83"/>
    </row>
    <row r="1107" spans="20:23" x14ac:dyDescent="0.25">
      <c r="T1107" s="113"/>
      <c r="U1107" s="111"/>
      <c r="W1107" s="83"/>
    </row>
    <row r="1108" spans="20:23" x14ac:dyDescent="0.25">
      <c r="T1108" s="113"/>
      <c r="U1108" s="111"/>
      <c r="W1108" s="83"/>
    </row>
    <row r="1109" spans="20:23" x14ac:dyDescent="0.25">
      <c r="T1109" s="113"/>
      <c r="U1109" s="111"/>
      <c r="W1109" s="83"/>
    </row>
    <row r="1110" spans="20:23" x14ac:dyDescent="0.25">
      <c r="T1110" s="113"/>
      <c r="U1110" s="111"/>
      <c r="W1110" s="83"/>
    </row>
    <row r="1111" spans="20:23" x14ac:dyDescent="0.25">
      <c r="T1111" s="113"/>
      <c r="U1111" s="111"/>
      <c r="W1111" s="83"/>
    </row>
    <row r="1112" spans="20:23" x14ac:dyDescent="0.25">
      <c r="T1112" s="113"/>
      <c r="U1112" s="111"/>
      <c r="W1112" s="83"/>
    </row>
    <row r="1113" spans="20:23" x14ac:dyDescent="0.25">
      <c r="T1113" s="113"/>
      <c r="U1113" s="111"/>
      <c r="W1113" s="83"/>
    </row>
    <row r="1114" spans="20:23" x14ac:dyDescent="0.25">
      <c r="T1114" s="113"/>
      <c r="U1114" s="111"/>
      <c r="W1114" s="83"/>
    </row>
    <row r="1115" spans="20:23" x14ac:dyDescent="0.25">
      <c r="T1115" s="113"/>
      <c r="U1115" s="111"/>
      <c r="W1115" s="83"/>
    </row>
    <row r="1116" spans="20:23" x14ac:dyDescent="0.25">
      <c r="T1116" s="113"/>
      <c r="U1116" s="111"/>
      <c r="W1116" s="83"/>
    </row>
    <row r="1117" spans="20:23" x14ac:dyDescent="0.25">
      <c r="T1117" s="113"/>
      <c r="U1117" s="111"/>
      <c r="W1117" s="83"/>
    </row>
    <row r="1118" spans="20:23" x14ac:dyDescent="0.25">
      <c r="T1118" s="113"/>
      <c r="U1118" s="111"/>
      <c r="W1118" s="83"/>
    </row>
    <row r="1119" spans="20:23" x14ac:dyDescent="0.25">
      <c r="T1119" s="113"/>
      <c r="U1119" s="111"/>
      <c r="W1119" s="83"/>
    </row>
    <row r="1120" spans="20:23" x14ac:dyDescent="0.25">
      <c r="T1120" s="113"/>
      <c r="U1120" s="111"/>
      <c r="W1120" s="83"/>
    </row>
    <row r="1121" spans="20:23" x14ac:dyDescent="0.25">
      <c r="T1121" s="113"/>
      <c r="U1121" s="111"/>
      <c r="W1121" s="83"/>
    </row>
    <row r="1122" spans="20:23" x14ac:dyDescent="0.25">
      <c r="T1122" s="113"/>
      <c r="U1122" s="111"/>
      <c r="W1122" s="83"/>
    </row>
    <row r="1123" spans="20:23" x14ac:dyDescent="0.25">
      <c r="T1123" s="113"/>
      <c r="U1123" s="111"/>
      <c r="W1123" s="83"/>
    </row>
    <row r="1124" spans="20:23" x14ac:dyDescent="0.25">
      <c r="T1124" s="113"/>
      <c r="U1124" s="111"/>
      <c r="W1124" s="83"/>
    </row>
    <row r="1125" spans="20:23" x14ac:dyDescent="0.25">
      <c r="T1125" s="113"/>
      <c r="U1125" s="111"/>
      <c r="W1125" s="83"/>
    </row>
    <row r="1126" spans="20:23" x14ac:dyDescent="0.25">
      <c r="T1126" s="113"/>
      <c r="U1126" s="111"/>
      <c r="W1126" s="83"/>
    </row>
    <row r="1127" spans="20:23" x14ac:dyDescent="0.25">
      <c r="T1127" s="113"/>
      <c r="U1127" s="111"/>
      <c r="W1127" s="83"/>
    </row>
    <row r="1128" spans="20:23" x14ac:dyDescent="0.25">
      <c r="T1128" s="113"/>
      <c r="U1128" s="111"/>
      <c r="W1128" s="83"/>
    </row>
    <row r="1129" spans="20:23" x14ac:dyDescent="0.25">
      <c r="T1129" s="113"/>
      <c r="U1129" s="111"/>
      <c r="W1129" s="83"/>
    </row>
    <row r="1130" spans="20:23" x14ac:dyDescent="0.25">
      <c r="T1130" s="113"/>
      <c r="U1130" s="111"/>
      <c r="W1130" s="83"/>
    </row>
    <row r="1131" spans="20:23" x14ac:dyDescent="0.25">
      <c r="T1131" s="113"/>
      <c r="U1131" s="111"/>
      <c r="W1131" s="83"/>
    </row>
    <row r="1132" spans="20:23" x14ac:dyDescent="0.25">
      <c r="T1132" s="113"/>
      <c r="U1132" s="111"/>
      <c r="W1132" s="83"/>
    </row>
    <row r="1133" spans="20:23" x14ac:dyDescent="0.25">
      <c r="T1133" s="113"/>
      <c r="U1133" s="111"/>
      <c r="W1133" s="83"/>
    </row>
    <row r="1134" spans="20:23" x14ac:dyDescent="0.25">
      <c r="T1134" s="113"/>
      <c r="U1134" s="111"/>
      <c r="W1134" s="83"/>
    </row>
    <row r="1135" spans="20:23" x14ac:dyDescent="0.25">
      <c r="T1135" s="113"/>
      <c r="U1135" s="111"/>
      <c r="W1135" s="83"/>
    </row>
    <row r="1136" spans="20:23" x14ac:dyDescent="0.25">
      <c r="T1136" s="113"/>
      <c r="U1136" s="111"/>
      <c r="W1136" s="83"/>
    </row>
    <row r="1137" spans="20:23" x14ac:dyDescent="0.25">
      <c r="T1137" s="113"/>
      <c r="U1137" s="111"/>
      <c r="W1137" s="83"/>
    </row>
    <row r="1138" spans="20:23" x14ac:dyDescent="0.25">
      <c r="T1138" s="113"/>
      <c r="U1138" s="111"/>
      <c r="W1138" s="83"/>
    </row>
    <row r="1139" spans="20:23" x14ac:dyDescent="0.25">
      <c r="T1139" s="113"/>
      <c r="U1139" s="111"/>
      <c r="W1139" s="83"/>
    </row>
    <row r="1140" spans="20:23" x14ac:dyDescent="0.25">
      <c r="T1140" s="113"/>
      <c r="U1140" s="111"/>
      <c r="W1140" s="83"/>
    </row>
    <row r="1141" spans="20:23" x14ac:dyDescent="0.25">
      <c r="T1141" s="113"/>
      <c r="U1141" s="111"/>
      <c r="W1141" s="83"/>
    </row>
    <row r="1142" spans="20:23" x14ac:dyDescent="0.25">
      <c r="T1142" s="113"/>
      <c r="U1142" s="111"/>
      <c r="W1142" s="83"/>
    </row>
    <row r="1143" spans="20:23" x14ac:dyDescent="0.25">
      <c r="T1143" s="113"/>
      <c r="U1143" s="111"/>
      <c r="W1143" s="83"/>
    </row>
    <row r="1144" spans="20:23" x14ac:dyDescent="0.25">
      <c r="T1144" s="113"/>
      <c r="U1144" s="111"/>
      <c r="W1144" s="83"/>
    </row>
    <row r="1145" spans="20:23" x14ac:dyDescent="0.25">
      <c r="T1145" s="113"/>
      <c r="U1145" s="111"/>
      <c r="W1145" s="83"/>
    </row>
    <row r="1146" spans="20:23" x14ac:dyDescent="0.25">
      <c r="T1146" s="113"/>
      <c r="U1146" s="111"/>
      <c r="W1146" s="83"/>
    </row>
    <row r="1147" spans="20:23" x14ac:dyDescent="0.25">
      <c r="T1147" s="113"/>
      <c r="U1147" s="111"/>
      <c r="W1147" s="83"/>
    </row>
    <row r="1148" spans="20:23" x14ac:dyDescent="0.25">
      <c r="T1148" s="113"/>
      <c r="U1148" s="111"/>
      <c r="W1148" s="83"/>
    </row>
    <row r="1149" spans="20:23" x14ac:dyDescent="0.25">
      <c r="T1149" s="113"/>
      <c r="U1149" s="111"/>
      <c r="W1149" s="83"/>
    </row>
    <row r="1150" spans="20:23" x14ac:dyDescent="0.25">
      <c r="T1150" s="113"/>
      <c r="U1150" s="111"/>
      <c r="W1150" s="83"/>
    </row>
    <row r="1151" spans="20:23" x14ac:dyDescent="0.25">
      <c r="T1151" s="113"/>
      <c r="U1151" s="111"/>
      <c r="W1151" s="83"/>
    </row>
    <row r="1152" spans="20:23" x14ac:dyDescent="0.25">
      <c r="T1152" s="113"/>
      <c r="U1152" s="111"/>
      <c r="W1152" s="83"/>
    </row>
    <row r="1153" spans="20:23" x14ac:dyDescent="0.25">
      <c r="T1153" s="113"/>
      <c r="U1153" s="111"/>
      <c r="W1153" s="83"/>
    </row>
    <row r="1154" spans="20:23" x14ac:dyDescent="0.25">
      <c r="T1154" s="113"/>
      <c r="U1154" s="111"/>
      <c r="W1154" s="83"/>
    </row>
    <row r="1155" spans="20:23" x14ac:dyDescent="0.25">
      <c r="T1155" s="113"/>
      <c r="U1155" s="111"/>
      <c r="W1155" s="83"/>
    </row>
    <row r="1156" spans="20:23" x14ac:dyDescent="0.25">
      <c r="T1156" s="113"/>
      <c r="U1156" s="111"/>
      <c r="W1156" s="83"/>
    </row>
    <row r="1157" spans="20:23" x14ac:dyDescent="0.25">
      <c r="T1157" s="113"/>
      <c r="U1157" s="111"/>
      <c r="W1157" s="83"/>
    </row>
    <row r="1158" spans="20:23" x14ac:dyDescent="0.25">
      <c r="T1158" s="113"/>
      <c r="U1158" s="111"/>
      <c r="W1158" s="83"/>
    </row>
    <row r="1159" spans="20:23" x14ac:dyDescent="0.25">
      <c r="T1159" s="113"/>
      <c r="U1159" s="111"/>
      <c r="W1159" s="83"/>
    </row>
    <row r="1160" spans="20:23" x14ac:dyDescent="0.25">
      <c r="T1160" s="113"/>
      <c r="U1160" s="111"/>
      <c r="W1160" s="83"/>
    </row>
    <row r="1161" spans="20:23" x14ac:dyDescent="0.25">
      <c r="T1161" s="113"/>
      <c r="U1161" s="111"/>
      <c r="W1161" s="83"/>
    </row>
    <row r="1162" spans="20:23" x14ac:dyDescent="0.25">
      <c r="T1162" s="113"/>
      <c r="U1162" s="111"/>
      <c r="W1162" s="83"/>
    </row>
    <row r="1163" spans="20:23" x14ac:dyDescent="0.25">
      <c r="T1163" s="113"/>
      <c r="U1163" s="111"/>
      <c r="W1163" s="83"/>
    </row>
    <row r="1164" spans="20:23" x14ac:dyDescent="0.25">
      <c r="T1164" s="113"/>
      <c r="U1164" s="111"/>
      <c r="W1164" s="83"/>
    </row>
    <row r="1165" spans="20:23" x14ac:dyDescent="0.25">
      <c r="T1165" s="113"/>
      <c r="U1165" s="111"/>
      <c r="W1165" s="83"/>
    </row>
    <row r="1166" spans="20:23" x14ac:dyDescent="0.25">
      <c r="T1166" s="113"/>
      <c r="U1166" s="111"/>
      <c r="W1166" s="83"/>
    </row>
    <row r="1167" spans="20:23" x14ac:dyDescent="0.25">
      <c r="T1167" s="113"/>
      <c r="U1167" s="111"/>
      <c r="W1167" s="83"/>
    </row>
    <row r="1168" spans="20:23" x14ac:dyDescent="0.25">
      <c r="T1168" s="113"/>
      <c r="U1168" s="111"/>
      <c r="W1168" s="83"/>
    </row>
    <row r="1169" spans="20:23" x14ac:dyDescent="0.25">
      <c r="T1169" s="113"/>
      <c r="U1169" s="111"/>
      <c r="W1169" s="83"/>
    </row>
    <row r="1170" spans="20:23" x14ac:dyDescent="0.25">
      <c r="T1170" s="113"/>
      <c r="U1170" s="111"/>
      <c r="W1170" s="83"/>
    </row>
    <row r="1171" spans="20:23" x14ac:dyDescent="0.25">
      <c r="T1171" s="113"/>
      <c r="U1171" s="111"/>
      <c r="W1171" s="83"/>
    </row>
    <row r="1172" spans="20:23" x14ac:dyDescent="0.25">
      <c r="T1172" s="113"/>
      <c r="U1172" s="111"/>
      <c r="W1172" s="83"/>
    </row>
    <row r="1173" spans="20:23" x14ac:dyDescent="0.25">
      <c r="T1173" s="113"/>
      <c r="U1173" s="111"/>
      <c r="W1173" s="83"/>
    </row>
    <row r="1174" spans="20:23" x14ac:dyDescent="0.25">
      <c r="T1174" s="113"/>
      <c r="U1174" s="111"/>
      <c r="W1174" s="83"/>
    </row>
    <row r="1175" spans="20:23" x14ac:dyDescent="0.25">
      <c r="T1175" s="113"/>
      <c r="U1175" s="111"/>
      <c r="W1175" s="83"/>
    </row>
    <row r="1176" spans="20:23" x14ac:dyDescent="0.25">
      <c r="T1176" s="113"/>
      <c r="U1176" s="111"/>
      <c r="W1176" s="83"/>
    </row>
    <row r="1177" spans="20:23" x14ac:dyDescent="0.25">
      <c r="T1177" s="113"/>
      <c r="U1177" s="111"/>
      <c r="W1177" s="83"/>
    </row>
    <row r="1178" spans="20:23" x14ac:dyDescent="0.25">
      <c r="T1178" s="113"/>
      <c r="U1178" s="111"/>
      <c r="W1178" s="83"/>
    </row>
    <row r="1179" spans="20:23" x14ac:dyDescent="0.25">
      <c r="T1179" s="113"/>
      <c r="U1179" s="111"/>
      <c r="W1179" s="83"/>
    </row>
    <row r="1180" spans="20:23" x14ac:dyDescent="0.25">
      <c r="T1180" s="113"/>
      <c r="U1180" s="111"/>
      <c r="W1180" s="83"/>
    </row>
    <row r="1181" spans="20:23" x14ac:dyDescent="0.25">
      <c r="T1181" s="113"/>
      <c r="U1181" s="111"/>
      <c r="W1181" s="83"/>
    </row>
    <row r="1182" spans="20:23" x14ac:dyDescent="0.25">
      <c r="T1182" s="113"/>
      <c r="U1182" s="111"/>
      <c r="W1182" s="83"/>
    </row>
    <row r="1183" spans="20:23" x14ac:dyDescent="0.25">
      <c r="T1183" s="113"/>
      <c r="U1183" s="111"/>
      <c r="W1183" s="83"/>
    </row>
    <row r="1184" spans="20:23" x14ac:dyDescent="0.25">
      <c r="T1184" s="113"/>
      <c r="U1184" s="111"/>
      <c r="W1184" s="83"/>
    </row>
    <row r="1185" spans="20:23" x14ac:dyDescent="0.25">
      <c r="T1185" s="113"/>
      <c r="U1185" s="111"/>
      <c r="W1185" s="83"/>
    </row>
    <row r="1186" spans="20:23" x14ac:dyDescent="0.25">
      <c r="T1186" s="113"/>
      <c r="U1186" s="111"/>
      <c r="W1186" s="83"/>
    </row>
    <row r="1187" spans="20:23" x14ac:dyDescent="0.25">
      <c r="T1187" s="113"/>
      <c r="U1187" s="111"/>
      <c r="W1187" s="83"/>
    </row>
    <row r="1188" spans="20:23" x14ac:dyDescent="0.25">
      <c r="T1188" s="113"/>
      <c r="U1188" s="111"/>
      <c r="W1188" s="83"/>
    </row>
    <row r="1189" spans="20:23" x14ac:dyDescent="0.25">
      <c r="T1189" s="113"/>
      <c r="U1189" s="111"/>
      <c r="W1189" s="83"/>
    </row>
    <row r="1190" spans="20:23" x14ac:dyDescent="0.25">
      <c r="T1190" s="113"/>
      <c r="U1190" s="111"/>
      <c r="W1190" s="83"/>
    </row>
    <row r="1191" spans="20:23" x14ac:dyDescent="0.25">
      <c r="T1191" s="113"/>
      <c r="U1191" s="111"/>
      <c r="W1191" s="83"/>
    </row>
    <row r="1192" spans="20:23" x14ac:dyDescent="0.25">
      <c r="T1192" s="113"/>
      <c r="U1192" s="111"/>
      <c r="W1192" s="83"/>
    </row>
    <row r="1193" spans="20:23" x14ac:dyDescent="0.25">
      <c r="T1193" s="113"/>
      <c r="U1193" s="111"/>
      <c r="W1193" s="83"/>
    </row>
    <row r="1194" spans="20:23" x14ac:dyDescent="0.25">
      <c r="T1194" s="113"/>
      <c r="U1194" s="111"/>
      <c r="W1194" s="83"/>
    </row>
    <row r="1195" spans="20:23" x14ac:dyDescent="0.25">
      <c r="T1195" s="113"/>
      <c r="U1195" s="111"/>
      <c r="W1195" s="83"/>
    </row>
    <row r="1196" spans="20:23" x14ac:dyDescent="0.25">
      <c r="T1196" s="113"/>
      <c r="U1196" s="111"/>
      <c r="W1196" s="83"/>
    </row>
    <row r="1197" spans="20:23" x14ac:dyDescent="0.25">
      <c r="T1197" s="113"/>
      <c r="U1197" s="111"/>
      <c r="W1197" s="83"/>
    </row>
    <row r="1198" spans="20:23" x14ac:dyDescent="0.25">
      <c r="T1198" s="113"/>
      <c r="U1198" s="111"/>
      <c r="W1198" s="83"/>
    </row>
    <row r="1199" spans="20:23" x14ac:dyDescent="0.25">
      <c r="T1199" s="113"/>
      <c r="U1199" s="111"/>
      <c r="W1199" s="83"/>
    </row>
    <row r="1200" spans="20:23" x14ac:dyDescent="0.25">
      <c r="T1200" s="113"/>
      <c r="U1200" s="111"/>
      <c r="W1200" s="83"/>
    </row>
    <row r="1201" spans="20:23" x14ac:dyDescent="0.25">
      <c r="T1201" s="113"/>
      <c r="U1201" s="111"/>
      <c r="W1201" s="83"/>
    </row>
    <row r="1202" spans="20:23" x14ac:dyDescent="0.25">
      <c r="T1202" s="113"/>
      <c r="U1202" s="111"/>
      <c r="W1202" s="83"/>
    </row>
    <row r="1203" spans="20:23" x14ac:dyDescent="0.25">
      <c r="T1203" s="113"/>
      <c r="U1203" s="111"/>
      <c r="W1203" s="83"/>
    </row>
    <row r="1204" spans="20:23" x14ac:dyDescent="0.25">
      <c r="T1204" s="113"/>
      <c r="U1204" s="111"/>
      <c r="W1204" s="83"/>
    </row>
    <row r="1205" spans="20:23" x14ac:dyDescent="0.25">
      <c r="T1205" s="113"/>
      <c r="U1205" s="111"/>
      <c r="W1205" s="83"/>
    </row>
    <row r="1206" spans="20:23" x14ac:dyDescent="0.25">
      <c r="T1206" s="113"/>
      <c r="U1206" s="111"/>
      <c r="W1206" s="83"/>
    </row>
    <row r="1207" spans="20:23" x14ac:dyDescent="0.25">
      <c r="T1207" s="113"/>
      <c r="U1207" s="111"/>
      <c r="W1207" s="83"/>
    </row>
    <row r="1208" spans="20:23" x14ac:dyDescent="0.25">
      <c r="T1208" s="113"/>
      <c r="U1208" s="111"/>
      <c r="W1208" s="83"/>
    </row>
    <row r="1209" spans="20:23" x14ac:dyDescent="0.25">
      <c r="T1209" s="113"/>
      <c r="U1209" s="111"/>
      <c r="W1209" s="83"/>
    </row>
    <row r="1210" spans="20:23" x14ac:dyDescent="0.25">
      <c r="T1210" s="113"/>
      <c r="U1210" s="111"/>
      <c r="W1210" s="83"/>
    </row>
    <row r="1211" spans="20:23" x14ac:dyDescent="0.25">
      <c r="T1211" s="113"/>
      <c r="U1211" s="111"/>
      <c r="W1211" s="83"/>
    </row>
    <row r="1212" spans="20:23" x14ac:dyDescent="0.25">
      <c r="T1212" s="113"/>
      <c r="U1212" s="111"/>
      <c r="W1212" s="83"/>
    </row>
    <row r="1213" spans="20:23" x14ac:dyDescent="0.25">
      <c r="T1213" s="113"/>
      <c r="U1213" s="111"/>
      <c r="W1213" s="83"/>
    </row>
    <row r="1214" spans="20:23" x14ac:dyDescent="0.25">
      <c r="T1214" s="113"/>
      <c r="U1214" s="111"/>
      <c r="W1214" s="83"/>
    </row>
    <row r="1215" spans="20:23" x14ac:dyDescent="0.25">
      <c r="T1215" s="113"/>
      <c r="U1215" s="111"/>
      <c r="W1215" s="83"/>
    </row>
    <row r="1216" spans="20:23" x14ac:dyDescent="0.25">
      <c r="T1216" s="113"/>
      <c r="U1216" s="111"/>
      <c r="W1216" s="83"/>
    </row>
    <row r="1217" spans="20:23" x14ac:dyDescent="0.25">
      <c r="T1217" s="113"/>
      <c r="U1217" s="111"/>
      <c r="W1217" s="83"/>
    </row>
    <row r="1218" spans="20:23" x14ac:dyDescent="0.25">
      <c r="T1218" s="113"/>
      <c r="U1218" s="111"/>
      <c r="W1218" s="83"/>
    </row>
    <row r="1219" spans="20:23" x14ac:dyDescent="0.25">
      <c r="T1219" s="113"/>
      <c r="U1219" s="111"/>
      <c r="W1219" s="83"/>
    </row>
    <row r="1220" spans="20:23" x14ac:dyDescent="0.25">
      <c r="T1220" s="113"/>
      <c r="U1220" s="111"/>
      <c r="W1220" s="83"/>
    </row>
    <row r="1221" spans="20:23" x14ac:dyDescent="0.25">
      <c r="T1221" s="113"/>
      <c r="U1221" s="111"/>
      <c r="W1221" s="83"/>
    </row>
    <row r="1222" spans="20:23" x14ac:dyDescent="0.25">
      <c r="T1222" s="113"/>
      <c r="U1222" s="111"/>
      <c r="W1222" s="83"/>
    </row>
    <row r="1223" spans="20:23" x14ac:dyDescent="0.25">
      <c r="T1223" s="113"/>
      <c r="U1223" s="111"/>
      <c r="W1223" s="83"/>
    </row>
    <row r="1224" spans="20:23" x14ac:dyDescent="0.25">
      <c r="T1224" s="113"/>
      <c r="U1224" s="111"/>
      <c r="W1224" s="83"/>
    </row>
    <row r="1225" spans="20:23" x14ac:dyDescent="0.25">
      <c r="T1225" s="113"/>
      <c r="U1225" s="111"/>
      <c r="W1225" s="83"/>
    </row>
    <row r="1226" spans="20:23" x14ac:dyDescent="0.25">
      <c r="T1226" s="113"/>
      <c r="U1226" s="111"/>
      <c r="W1226" s="83"/>
    </row>
    <row r="1227" spans="20:23" x14ac:dyDescent="0.25">
      <c r="T1227" s="113"/>
      <c r="U1227" s="111"/>
      <c r="W1227" s="83"/>
    </row>
    <row r="1228" spans="20:23" x14ac:dyDescent="0.25">
      <c r="T1228" s="113"/>
      <c r="U1228" s="111"/>
      <c r="W1228" s="83"/>
    </row>
    <row r="1229" spans="20:23" x14ac:dyDescent="0.25">
      <c r="T1229" s="113"/>
      <c r="U1229" s="111"/>
      <c r="W1229" s="83"/>
    </row>
    <row r="1230" spans="20:23" x14ac:dyDescent="0.25">
      <c r="T1230" s="113"/>
      <c r="U1230" s="111"/>
      <c r="W1230" s="83"/>
    </row>
    <row r="1231" spans="20:23" x14ac:dyDescent="0.25">
      <c r="T1231" s="113"/>
      <c r="U1231" s="111"/>
      <c r="W1231" s="83"/>
    </row>
    <row r="1232" spans="20:23" x14ac:dyDescent="0.25">
      <c r="T1232" s="113"/>
      <c r="U1232" s="111"/>
      <c r="W1232" s="83"/>
    </row>
    <row r="1233" spans="20:23" x14ac:dyDescent="0.25">
      <c r="T1233" s="113"/>
      <c r="U1233" s="111"/>
      <c r="W1233" s="83"/>
    </row>
    <row r="1234" spans="20:23" x14ac:dyDescent="0.25">
      <c r="T1234" s="113"/>
      <c r="U1234" s="111"/>
      <c r="W1234" s="83"/>
    </row>
    <row r="1235" spans="20:23" x14ac:dyDescent="0.25">
      <c r="T1235" s="113"/>
      <c r="U1235" s="111"/>
      <c r="W1235" s="83"/>
    </row>
    <row r="1236" spans="20:23" x14ac:dyDescent="0.25">
      <c r="T1236" s="113"/>
      <c r="U1236" s="111"/>
      <c r="W1236" s="83"/>
    </row>
    <row r="1237" spans="20:23" x14ac:dyDescent="0.25">
      <c r="T1237" s="113"/>
      <c r="U1237" s="111"/>
      <c r="W1237" s="83"/>
    </row>
    <row r="1238" spans="20:23" x14ac:dyDescent="0.25">
      <c r="T1238" s="113"/>
      <c r="U1238" s="111"/>
      <c r="W1238" s="83"/>
    </row>
    <row r="1239" spans="20:23" x14ac:dyDescent="0.25">
      <c r="T1239" s="113"/>
      <c r="U1239" s="111"/>
      <c r="W1239" s="83"/>
    </row>
    <row r="1240" spans="20:23" x14ac:dyDescent="0.25">
      <c r="T1240" s="113"/>
      <c r="U1240" s="111"/>
      <c r="W1240" s="83"/>
    </row>
    <row r="1241" spans="20:23" x14ac:dyDescent="0.25">
      <c r="T1241" s="113"/>
      <c r="U1241" s="111"/>
      <c r="W1241" s="83"/>
    </row>
    <row r="1242" spans="20:23" x14ac:dyDescent="0.25">
      <c r="T1242" s="113"/>
      <c r="U1242" s="111"/>
      <c r="W1242" s="83"/>
    </row>
    <row r="1243" spans="20:23" x14ac:dyDescent="0.25">
      <c r="T1243" s="113"/>
      <c r="U1243" s="111"/>
      <c r="W1243" s="83"/>
    </row>
    <row r="1244" spans="20:23" x14ac:dyDescent="0.25">
      <c r="T1244" s="113"/>
      <c r="U1244" s="111"/>
      <c r="W1244" s="83"/>
    </row>
    <row r="1245" spans="20:23" x14ac:dyDescent="0.25">
      <c r="T1245" s="113"/>
      <c r="U1245" s="111"/>
      <c r="W1245" s="83"/>
    </row>
    <row r="1246" spans="20:23" x14ac:dyDescent="0.25">
      <c r="T1246" s="113"/>
      <c r="U1246" s="111"/>
      <c r="W1246" s="83"/>
    </row>
    <row r="1247" spans="20:23" x14ac:dyDescent="0.25">
      <c r="T1247" s="113"/>
      <c r="U1247" s="111"/>
      <c r="W1247" s="83"/>
    </row>
    <row r="1248" spans="20:23" x14ac:dyDescent="0.25">
      <c r="T1248" s="113"/>
      <c r="U1248" s="111"/>
      <c r="W1248" s="83"/>
    </row>
    <row r="1249" spans="20:23" x14ac:dyDescent="0.25">
      <c r="T1249" s="113"/>
      <c r="U1249" s="111"/>
      <c r="W1249" s="83"/>
    </row>
    <row r="1250" spans="20:23" x14ac:dyDescent="0.25">
      <c r="T1250" s="113"/>
      <c r="U1250" s="111"/>
      <c r="W1250" s="83"/>
    </row>
    <row r="1251" spans="20:23" x14ac:dyDescent="0.25">
      <c r="T1251" s="113"/>
      <c r="U1251" s="111"/>
      <c r="W1251" s="83"/>
    </row>
    <row r="1252" spans="20:23" x14ac:dyDescent="0.25">
      <c r="T1252" s="113"/>
      <c r="U1252" s="111"/>
      <c r="W1252" s="83"/>
    </row>
    <row r="1253" spans="20:23" x14ac:dyDescent="0.25">
      <c r="T1253" s="113"/>
      <c r="U1253" s="111"/>
      <c r="W1253" s="83"/>
    </row>
    <row r="1254" spans="20:23" x14ac:dyDescent="0.25">
      <c r="T1254" s="113"/>
      <c r="U1254" s="111"/>
      <c r="W1254" s="83"/>
    </row>
    <row r="1255" spans="20:23" x14ac:dyDescent="0.25">
      <c r="T1255" s="113"/>
      <c r="U1255" s="111"/>
      <c r="W1255" s="83"/>
    </row>
    <row r="1256" spans="20:23" x14ac:dyDescent="0.25">
      <c r="T1256" s="113"/>
      <c r="U1256" s="111"/>
      <c r="W1256" s="83"/>
    </row>
    <row r="1257" spans="20:23" x14ac:dyDescent="0.25">
      <c r="T1257" s="113"/>
      <c r="U1257" s="111"/>
      <c r="W1257" s="83"/>
    </row>
    <row r="1258" spans="20:23" x14ac:dyDescent="0.25">
      <c r="T1258" s="113"/>
      <c r="U1258" s="111"/>
      <c r="W1258" s="83"/>
    </row>
    <row r="1259" spans="20:23" x14ac:dyDescent="0.25">
      <c r="T1259" s="113"/>
      <c r="U1259" s="111"/>
      <c r="W1259" s="83"/>
    </row>
    <row r="1260" spans="20:23" x14ac:dyDescent="0.25">
      <c r="T1260" s="113"/>
      <c r="U1260" s="111"/>
      <c r="W1260" s="83"/>
    </row>
    <row r="1261" spans="20:23" x14ac:dyDescent="0.25">
      <c r="T1261" s="113"/>
      <c r="U1261" s="111"/>
      <c r="W1261" s="83"/>
    </row>
    <row r="1262" spans="20:23" x14ac:dyDescent="0.25">
      <c r="T1262" s="113"/>
      <c r="U1262" s="111"/>
      <c r="W1262" s="83"/>
    </row>
    <row r="1263" spans="20:23" x14ac:dyDescent="0.25">
      <c r="T1263" s="113"/>
      <c r="U1263" s="111"/>
      <c r="W1263" s="83"/>
    </row>
    <row r="1264" spans="20:23" x14ac:dyDescent="0.25">
      <c r="T1264" s="113"/>
      <c r="U1264" s="111"/>
      <c r="W1264" s="83"/>
    </row>
    <row r="1265" spans="20:23" x14ac:dyDescent="0.25">
      <c r="T1265" s="113"/>
      <c r="U1265" s="111"/>
      <c r="W1265" s="83"/>
    </row>
    <row r="1266" spans="20:23" x14ac:dyDescent="0.25">
      <c r="T1266" s="113"/>
      <c r="U1266" s="111"/>
      <c r="W1266" s="83"/>
    </row>
    <row r="1267" spans="20:23" x14ac:dyDescent="0.25">
      <c r="T1267" s="113"/>
      <c r="U1267" s="111"/>
      <c r="W1267" s="83"/>
    </row>
    <row r="1268" spans="20:23" x14ac:dyDescent="0.25">
      <c r="T1268" s="113"/>
      <c r="U1268" s="111"/>
      <c r="W1268" s="83"/>
    </row>
    <row r="1269" spans="20:23" x14ac:dyDescent="0.25">
      <c r="T1269" s="113"/>
      <c r="U1269" s="111"/>
      <c r="W1269" s="83"/>
    </row>
    <row r="1270" spans="20:23" x14ac:dyDescent="0.25">
      <c r="T1270" s="113"/>
      <c r="U1270" s="111"/>
      <c r="W1270" s="83"/>
    </row>
    <row r="1271" spans="20:23" x14ac:dyDescent="0.25">
      <c r="T1271" s="113"/>
      <c r="U1271" s="111"/>
      <c r="W1271" s="83"/>
    </row>
    <row r="1272" spans="20:23" x14ac:dyDescent="0.25">
      <c r="T1272" s="113"/>
      <c r="U1272" s="111"/>
      <c r="W1272" s="83"/>
    </row>
    <row r="1273" spans="20:23" x14ac:dyDescent="0.25">
      <c r="T1273" s="113"/>
      <c r="U1273" s="111"/>
      <c r="W1273" s="83"/>
    </row>
    <row r="1274" spans="20:23" x14ac:dyDescent="0.25">
      <c r="T1274" s="113"/>
      <c r="U1274" s="111"/>
      <c r="W1274" s="83"/>
    </row>
    <row r="1275" spans="20:23" x14ac:dyDescent="0.25">
      <c r="T1275" s="113"/>
      <c r="U1275" s="111"/>
      <c r="W1275" s="83"/>
    </row>
    <row r="1276" spans="20:23" x14ac:dyDescent="0.25">
      <c r="T1276" s="113"/>
      <c r="U1276" s="111"/>
      <c r="W1276" s="83"/>
    </row>
    <row r="1277" spans="20:23" x14ac:dyDescent="0.25">
      <c r="T1277" s="113"/>
      <c r="U1277" s="111"/>
      <c r="W1277" s="83"/>
    </row>
    <row r="1278" spans="20:23" x14ac:dyDescent="0.25">
      <c r="T1278" s="113"/>
      <c r="U1278" s="111"/>
      <c r="W1278" s="83"/>
    </row>
    <row r="1279" spans="20:23" x14ac:dyDescent="0.25">
      <c r="T1279" s="113"/>
      <c r="U1279" s="111"/>
      <c r="W1279" s="83"/>
    </row>
    <row r="1280" spans="20:23" x14ac:dyDescent="0.25">
      <c r="T1280" s="113"/>
      <c r="U1280" s="111"/>
      <c r="W1280" s="83"/>
    </row>
    <row r="1281" spans="20:23" x14ac:dyDescent="0.25">
      <c r="T1281" s="113"/>
      <c r="U1281" s="111"/>
      <c r="W1281" s="83"/>
    </row>
    <row r="1282" spans="20:23" x14ac:dyDescent="0.25">
      <c r="T1282" s="113"/>
      <c r="U1282" s="111"/>
      <c r="W1282" s="83"/>
    </row>
    <row r="1283" spans="20:23" x14ac:dyDescent="0.25">
      <c r="T1283" s="113"/>
      <c r="U1283" s="111"/>
      <c r="W1283" s="83"/>
    </row>
    <row r="1284" spans="20:23" x14ac:dyDescent="0.25">
      <c r="T1284" s="113"/>
      <c r="U1284" s="111"/>
      <c r="W1284" s="83"/>
    </row>
    <row r="1285" spans="20:23" x14ac:dyDescent="0.25">
      <c r="T1285" s="113"/>
      <c r="U1285" s="111"/>
      <c r="W1285" s="83"/>
    </row>
    <row r="1286" spans="20:23" x14ac:dyDescent="0.25">
      <c r="T1286" s="113"/>
      <c r="U1286" s="111"/>
      <c r="W1286" s="83"/>
    </row>
    <row r="1287" spans="20:23" x14ac:dyDescent="0.25">
      <c r="T1287" s="113"/>
      <c r="U1287" s="111"/>
      <c r="W1287" s="83"/>
    </row>
    <row r="1288" spans="20:23" x14ac:dyDescent="0.25">
      <c r="T1288" s="113"/>
      <c r="U1288" s="111"/>
      <c r="W1288" s="83"/>
    </row>
    <row r="1289" spans="20:23" x14ac:dyDescent="0.25">
      <c r="T1289" s="113"/>
      <c r="U1289" s="111"/>
      <c r="W1289" s="83"/>
    </row>
    <row r="1290" spans="20:23" x14ac:dyDescent="0.25">
      <c r="T1290" s="113"/>
      <c r="U1290" s="111"/>
      <c r="W1290" s="83"/>
    </row>
    <row r="1291" spans="20:23" x14ac:dyDescent="0.25">
      <c r="T1291" s="113"/>
      <c r="U1291" s="111"/>
      <c r="W1291" s="83"/>
    </row>
    <row r="1292" spans="20:23" x14ac:dyDescent="0.25">
      <c r="T1292" s="113"/>
      <c r="U1292" s="111"/>
      <c r="W1292" s="83"/>
    </row>
    <row r="1293" spans="20:23" x14ac:dyDescent="0.25">
      <c r="T1293" s="113"/>
      <c r="U1293" s="111"/>
      <c r="W1293" s="83"/>
    </row>
    <row r="1294" spans="20:23" x14ac:dyDescent="0.25">
      <c r="T1294" s="113"/>
      <c r="U1294" s="111"/>
      <c r="W1294" s="83"/>
    </row>
    <row r="1295" spans="20:23" x14ac:dyDescent="0.25">
      <c r="T1295" s="113"/>
      <c r="U1295" s="111"/>
      <c r="W1295" s="83"/>
    </row>
    <row r="1296" spans="20:23" x14ac:dyDescent="0.25">
      <c r="T1296" s="113"/>
      <c r="U1296" s="111"/>
      <c r="W1296" s="83"/>
    </row>
    <row r="1297" spans="20:23" x14ac:dyDescent="0.25">
      <c r="T1297" s="113"/>
      <c r="U1297" s="111"/>
      <c r="W1297" s="83"/>
    </row>
    <row r="1298" spans="20:23" x14ac:dyDescent="0.25">
      <c r="T1298" s="113"/>
      <c r="U1298" s="111"/>
      <c r="W1298" s="83"/>
    </row>
    <row r="1299" spans="20:23" x14ac:dyDescent="0.25">
      <c r="T1299" s="113"/>
      <c r="U1299" s="111"/>
      <c r="W1299" s="83"/>
    </row>
    <row r="1300" spans="20:23" x14ac:dyDescent="0.25">
      <c r="T1300" s="113"/>
      <c r="U1300" s="111"/>
      <c r="W1300" s="83"/>
    </row>
    <row r="1301" spans="20:23" x14ac:dyDescent="0.25">
      <c r="T1301" s="113"/>
      <c r="U1301" s="111"/>
      <c r="W1301" s="83"/>
    </row>
    <row r="1302" spans="20:23" x14ac:dyDescent="0.25">
      <c r="T1302" s="113"/>
      <c r="U1302" s="111"/>
      <c r="W1302" s="83"/>
    </row>
    <row r="1303" spans="20:23" x14ac:dyDescent="0.25">
      <c r="T1303" s="113"/>
      <c r="U1303" s="111"/>
      <c r="W1303" s="83"/>
    </row>
    <row r="1304" spans="20:23" x14ac:dyDescent="0.25">
      <c r="T1304" s="113"/>
      <c r="U1304" s="111"/>
      <c r="W1304" s="83"/>
    </row>
    <row r="1305" spans="20:23" x14ac:dyDescent="0.25">
      <c r="T1305" s="113"/>
      <c r="U1305" s="111"/>
      <c r="W1305" s="83"/>
    </row>
    <row r="1306" spans="20:23" x14ac:dyDescent="0.25">
      <c r="T1306" s="113"/>
      <c r="U1306" s="111"/>
      <c r="W1306" s="83"/>
    </row>
    <row r="1307" spans="20:23" x14ac:dyDescent="0.25">
      <c r="T1307" s="113"/>
      <c r="U1307" s="111"/>
      <c r="W1307" s="83"/>
    </row>
    <row r="1308" spans="20:23" x14ac:dyDescent="0.25">
      <c r="T1308" s="113"/>
      <c r="U1308" s="111"/>
      <c r="W1308" s="83"/>
    </row>
    <row r="1309" spans="20:23" x14ac:dyDescent="0.25">
      <c r="T1309" s="113"/>
      <c r="U1309" s="111"/>
      <c r="W1309" s="83"/>
    </row>
    <row r="1310" spans="20:23" x14ac:dyDescent="0.25">
      <c r="T1310" s="113"/>
      <c r="U1310" s="111"/>
      <c r="W1310" s="83"/>
    </row>
    <row r="1311" spans="20:23" x14ac:dyDescent="0.25">
      <c r="T1311" s="113"/>
      <c r="U1311" s="111"/>
      <c r="W1311" s="83"/>
    </row>
    <row r="1312" spans="20:23" x14ac:dyDescent="0.25">
      <c r="T1312" s="113"/>
      <c r="U1312" s="111"/>
      <c r="W1312" s="83"/>
    </row>
    <row r="1313" spans="20:23" x14ac:dyDescent="0.25">
      <c r="T1313" s="113"/>
      <c r="U1313" s="111"/>
      <c r="W1313" s="83"/>
    </row>
    <row r="1314" spans="20:23" x14ac:dyDescent="0.25">
      <c r="T1314" s="113"/>
      <c r="U1314" s="111"/>
      <c r="W1314" s="83"/>
    </row>
    <row r="1315" spans="20:23" x14ac:dyDescent="0.25">
      <c r="T1315" s="113"/>
      <c r="U1315" s="111"/>
      <c r="W1315" s="83"/>
    </row>
    <row r="1316" spans="20:23" x14ac:dyDescent="0.25">
      <c r="T1316" s="113"/>
      <c r="U1316" s="111"/>
      <c r="W1316" s="83"/>
    </row>
    <row r="1317" spans="20:23" x14ac:dyDescent="0.25">
      <c r="T1317" s="113"/>
      <c r="U1317" s="111"/>
      <c r="W1317" s="83"/>
    </row>
    <row r="1318" spans="20:23" x14ac:dyDescent="0.25">
      <c r="T1318" s="113"/>
      <c r="U1318" s="111"/>
      <c r="W1318" s="83"/>
    </row>
    <row r="1319" spans="20:23" x14ac:dyDescent="0.25">
      <c r="T1319" s="113"/>
      <c r="U1319" s="111"/>
      <c r="W1319" s="83"/>
    </row>
    <row r="1320" spans="20:23" x14ac:dyDescent="0.25">
      <c r="T1320" s="113"/>
      <c r="U1320" s="111"/>
      <c r="W1320" s="83"/>
    </row>
    <row r="1321" spans="20:23" x14ac:dyDescent="0.25">
      <c r="T1321" s="113"/>
      <c r="U1321" s="111"/>
      <c r="W1321" s="83"/>
    </row>
    <row r="1322" spans="20:23" x14ac:dyDescent="0.25">
      <c r="T1322" s="113"/>
      <c r="U1322" s="111"/>
      <c r="W1322" s="83"/>
    </row>
    <row r="1323" spans="20:23" x14ac:dyDescent="0.25">
      <c r="T1323" s="113"/>
      <c r="U1323" s="111"/>
      <c r="W1323" s="83"/>
    </row>
    <row r="1324" spans="20:23" x14ac:dyDescent="0.25">
      <c r="T1324" s="113"/>
      <c r="U1324" s="111"/>
      <c r="W1324" s="83"/>
    </row>
    <row r="1325" spans="20:23" x14ac:dyDescent="0.25">
      <c r="T1325" s="113"/>
      <c r="U1325" s="111"/>
      <c r="W1325" s="83"/>
    </row>
    <row r="1326" spans="20:23" x14ac:dyDescent="0.25">
      <c r="T1326" s="113"/>
      <c r="U1326" s="111"/>
      <c r="W1326" s="83"/>
    </row>
    <row r="1327" spans="20:23" x14ac:dyDescent="0.25">
      <c r="T1327" s="113"/>
      <c r="U1327" s="111"/>
      <c r="W1327" s="83"/>
    </row>
    <row r="1328" spans="20:23" x14ac:dyDescent="0.25">
      <c r="T1328" s="113"/>
      <c r="U1328" s="111"/>
      <c r="W1328" s="83"/>
    </row>
    <row r="1329" spans="20:23" x14ac:dyDescent="0.25">
      <c r="T1329" s="113"/>
      <c r="U1329" s="111"/>
      <c r="W1329" s="83"/>
    </row>
    <row r="1330" spans="20:23" x14ac:dyDescent="0.25">
      <c r="T1330" s="113"/>
      <c r="U1330" s="111"/>
      <c r="W1330" s="83"/>
    </row>
    <row r="1331" spans="20:23" x14ac:dyDescent="0.25">
      <c r="T1331" s="113"/>
      <c r="U1331" s="111"/>
      <c r="W1331" s="83"/>
    </row>
    <row r="1332" spans="20:23" x14ac:dyDescent="0.25">
      <c r="T1332" s="113"/>
      <c r="U1332" s="111"/>
      <c r="W1332" s="83"/>
    </row>
    <row r="1333" spans="20:23" x14ac:dyDescent="0.25">
      <c r="T1333" s="113"/>
      <c r="U1333" s="111"/>
      <c r="W1333" s="83"/>
    </row>
    <row r="1334" spans="20:23" x14ac:dyDescent="0.25">
      <c r="T1334" s="113"/>
      <c r="U1334" s="111"/>
      <c r="W1334" s="83"/>
    </row>
    <row r="1335" spans="20:23" x14ac:dyDescent="0.25">
      <c r="T1335" s="113"/>
      <c r="U1335" s="111"/>
      <c r="W1335" s="83"/>
    </row>
    <row r="1336" spans="20:23" x14ac:dyDescent="0.25">
      <c r="T1336" s="113"/>
      <c r="U1336" s="111"/>
      <c r="W1336" s="83"/>
    </row>
    <row r="1337" spans="20:23" x14ac:dyDescent="0.25">
      <c r="T1337" s="113"/>
      <c r="U1337" s="111"/>
      <c r="W1337" s="83"/>
    </row>
    <row r="1338" spans="20:23" x14ac:dyDescent="0.25">
      <c r="T1338" s="113"/>
      <c r="U1338" s="111"/>
      <c r="W1338" s="83"/>
    </row>
    <row r="1339" spans="20:23" x14ac:dyDescent="0.25">
      <c r="T1339" s="113"/>
      <c r="U1339" s="111"/>
      <c r="W1339" s="83"/>
    </row>
    <row r="1340" spans="20:23" x14ac:dyDescent="0.25">
      <c r="T1340" s="113"/>
      <c r="U1340" s="111"/>
      <c r="W1340" s="83"/>
    </row>
    <row r="1341" spans="20:23" x14ac:dyDescent="0.25">
      <c r="T1341" s="113"/>
      <c r="U1341" s="111"/>
      <c r="W1341" s="83"/>
    </row>
    <row r="1342" spans="20:23" x14ac:dyDescent="0.25">
      <c r="T1342" s="113"/>
      <c r="U1342" s="111"/>
      <c r="W1342" s="83"/>
    </row>
    <row r="1343" spans="20:23" x14ac:dyDescent="0.25">
      <c r="T1343" s="113"/>
      <c r="U1343" s="111"/>
      <c r="W1343" s="83"/>
    </row>
    <row r="1344" spans="20:23" x14ac:dyDescent="0.25">
      <c r="T1344" s="113"/>
      <c r="U1344" s="111"/>
      <c r="W1344" s="83"/>
    </row>
    <row r="1345" spans="20:23" x14ac:dyDescent="0.25">
      <c r="T1345" s="113"/>
      <c r="U1345" s="111"/>
      <c r="W1345" s="83"/>
    </row>
    <row r="1346" spans="20:23" x14ac:dyDescent="0.25">
      <c r="T1346" s="113"/>
      <c r="U1346" s="111"/>
      <c r="W1346" s="83"/>
    </row>
    <row r="1347" spans="20:23" x14ac:dyDescent="0.25">
      <c r="T1347" s="113"/>
      <c r="U1347" s="111"/>
      <c r="W1347" s="83"/>
    </row>
    <row r="1348" spans="20:23" x14ac:dyDescent="0.25">
      <c r="T1348" s="113"/>
      <c r="U1348" s="111"/>
      <c r="W1348" s="83"/>
    </row>
    <row r="1349" spans="20:23" x14ac:dyDescent="0.25">
      <c r="T1349" s="113"/>
      <c r="U1349" s="111"/>
      <c r="W1349" s="83"/>
    </row>
    <row r="1350" spans="20:23" x14ac:dyDescent="0.25">
      <c r="T1350" s="113"/>
      <c r="U1350" s="111"/>
      <c r="W1350" s="83"/>
    </row>
    <row r="1351" spans="20:23" x14ac:dyDescent="0.25">
      <c r="T1351" s="113"/>
      <c r="U1351" s="111"/>
      <c r="W1351" s="83"/>
    </row>
    <row r="1352" spans="20:23" x14ac:dyDescent="0.25">
      <c r="T1352" s="113"/>
      <c r="U1352" s="111"/>
      <c r="W1352" s="83"/>
    </row>
    <row r="1353" spans="20:23" x14ac:dyDescent="0.25">
      <c r="T1353" s="113"/>
      <c r="U1353" s="111"/>
      <c r="W1353" s="83"/>
    </row>
    <row r="1354" spans="20:23" x14ac:dyDescent="0.25">
      <c r="T1354" s="113"/>
      <c r="U1354" s="111"/>
      <c r="W1354" s="83"/>
    </row>
    <row r="1355" spans="20:23" x14ac:dyDescent="0.25">
      <c r="T1355" s="113"/>
      <c r="U1355" s="111"/>
      <c r="W1355" s="83"/>
    </row>
    <row r="1356" spans="20:23" x14ac:dyDescent="0.25">
      <c r="T1356" s="113"/>
      <c r="U1356" s="111"/>
      <c r="W1356" s="83"/>
    </row>
    <row r="1357" spans="20:23" x14ac:dyDescent="0.25">
      <c r="T1357" s="113"/>
      <c r="U1357" s="111"/>
      <c r="W1357" s="83"/>
    </row>
    <row r="1358" spans="20:23" x14ac:dyDescent="0.25">
      <c r="T1358" s="113"/>
      <c r="U1358" s="111"/>
      <c r="W1358" s="83"/>
    </row>
    <row r="1359" spans="20:23" x14ac:dyDescent="0.25">
      <c r="T1359" s="113"/>
      <c r="U1359" s="111"/>
      <c r="W1359" s="83"/>
    </row>
    <row r="1360" spans="20:23" x14ac:dyDescent="0.25">
      <c r="T1360" s="113"/>
      <c r="U1360" s="111"/>
      <c r="W1360" s="83"/>
    </row>
    <row r="1361" spans="20:23" x14ac:dyDescent="0.25">
      <c r="T1361" s="113"/>
      <c r="U1361" s="111"/>
      <c r="W1361" s="83"/>
    </row>
    <row r="1362" spans="20:23" x14ac:dyDescent="0.25">
      <c r="T1362" s="113"/>
      <c r="U1362" s="111"/>
      <c r="W1362" s="83"/>
    </row>
    <row r="1363" spans="20:23" x14ac:dyDescent="0.25">
      <c r="T1363" s="113"/>
      <c r="U1363" s="111"/>
      <c r="W1363" s="83"/>
    </row>
    <row r="1364" spans="20:23" x14ac:dyDescent="0.25">
      <c r="T1364" s="113"/>
      <c r="U1364" s="111"/>
      <c r="W1364" s="83"/>
    </row>
    <row r="1365" spans="20:23" x14ac:dyDescent="0.25">
      <c r="T1365" s="113"/>
      <c r="U1365" s="111"/>
      <c r="W1365" s="83"/>
    </row>
    <row r="1366" spans="20:23" x14ac:dyDescent="0.25">
      <c r="T1366" s="113"/>
      <c r="U1366" s="111"/>
      <c r="W1366" s="83"/>
    </row>
    <row r="1367" spans="20:23" x14ac:dyDescent="0.25">
      <c r="T1367" s="113"/>
      <c r="U1367" s="111"/>
      <c r="W1367" s="83"/>
    </row>
    <row r="1368" spans="20:23" x14ac:dyDescent="0.25">
      <c r="T1368" s="113"/>
      <c r="U1368" s="111"/>
      <c r="W1368" s="83"/>
    </row>
    <row r="1369" spans="20:23" x14ac:dyDescent="0.25">
      <c r="T1369" s="113"/>
      <c r="U1369" s="111"/>
      <c r="W1369" s="83"/>
    </row>
    <row r="1370" spans="20:23" x14ac:dyDescent="0.25">
      <c r="T1370" s="113"/>
      <c r="U1370" s="111"/>
      <c r="W1370" s="83"/>
    </row>
    <row r="1371" spans="20:23" x14ac:dyDescent="0.25">
      <c r="T1371" s="113"/>
      <c r="U1371" s="111"/>
      <c r="W1371" s="83"/>
    </row>
    <row r="1372" spans="20:23" x14ac:dyDescent="0.25">
      <c r="T1372" s="113"/>
      <c r="U1372" s="111"/>
      <c r="W1372" s="83"/>
    </row>
    <row r="1373" spans="20:23" x14ac:dyDescent="0.25">
      <c r="T1373" s="113"/>
      <c r="U1373" s="111"/>
      <c r="W1373" s="83"/>
    </row>
    <row r="1374" spans="20:23" x14ac:dyDescent="0.25">
      <c r="T1374" s="113"/>
      <c r="U1374" s="111"/>
      <c r="W1374" s="83"/>
    </row>
    <row r="1375" spans="20:23" x14ac:dyDescent="0.25">
      <c r="T1375" s="113"/>
      <c r="U1375" s="111"/>
      <c r="W1375" s="83"/>
    </row>
    <row r="1376" spans="20:23" x14ac:dyDescent="0.25">
      <c r="T1376" s="113"/>
      <c r="U1376" s="111"/>
      <c r="W1376" s="83"/>
    </row>
    <row r="1377" spans="20:23" x14ac:dyDescent="0.25">
      <c r="T1377" s="113"/>
      <c r="U1377" s="111"/>
      <c r="W1377" s="83"/>
    </row>
    <row r="1378" spans="20:23" x14ac:dyDescent="0.25">
      <c r="T1378" s="113"/>
      <c r="U1378" s="111"/>
      <c r="W1378" s="83"/>
    </row>
    <row r="1379" spans="20:23" x14ac:dyDescent="0.25">
      <c r="T1379" s="113"/>
      <c r="U1379" s="111"/>
      <c r="W1379" s="83"/>
    </row>
    <row r="1380" spans="20:23" x14ac:dyDescent="0.25">
      <c r="T1380" s="113"/>
      <c r="U1380" s="111"/>
      <c r="W1380" s="83"/>
    </row>
    <row r="1381" spans="20:23" x14ac:dyDescent="0.25">
      <c r="T1381" s="113"/>
      <c r="U1381" s="111"/>
      <c r="W1381" s="83"/>
    </row>
    <row r="1382" spans="20:23" x14ac:dyDescent="0.25">
      <c r="T1382" s="113"/>
      <c r="U1382" s="111"/>
      <c r="W1382" s="83"/>
    </row>
    <row r="1383" spans="20:23" x14ac:dyDescent="0.25">
      <c r="T1383" s="113"/>
      <c r="U1383" s="111"/>
      <c r="W1383" s="83"/>
    </row>
    <row r="1384" spans="20:23" x14ac:dyDescent="0.25">
      <c r="T1384" s="113"/>
      <c r="U1384" s="111"/>
      <c r="W1384" s="83"/>
    </row>
    <row r="1385" spans="20:23" x14ac:dyDescent="0.25">
      <c r="T1385" s="113"/>
      <c r="U1385" s="111"/>
      <c r="W1385" s="83"/>
    </row>
    <row r="1386" spans="20:23" x14ac:dyDescent="0.25">
      <c r="T1386" s="113"/>
      <c r="U1386" s="111"/>
      <c r="W1386" s="83"/>
    </row>
    <row r="1387" spans="20:23" x14ac:dyDescent="0.25">
      <c r="T1387" s="113"/>
      <c r="U1387" s="111"/>
      <c r="W1387" s="83"/>
    </row>
    <row r="1388" spans="20:23" x14ac:dyDescent="0.25">
      <c r="T1388" s="113"/>
      <c r="U1388" s="111"/>
      <c r="W1388" s="83"/>
    </row>
    <row r="1389" spans="20:23" x14ac:dyDescent="0.25">
      <c r="T1389" s="113"/>
      <c r="U1389" s="111"/>
      <c r="W1389" s="83"/>
    </row>
    <row r="1390" spans="20:23" x14ac:dyDescent="0.25">
      <c r="T1390" s="113"/>
      <c r="U1390" s="111"/>
      <c r="W1390" s="83"/>
    </row>
    <row r="1391" spans="20:23" x14ac:dyDescent="0.25">
      <c r="T1391" s="113"/>
      <c r="U1391" s="111"/>
      <c r="W1391" s="83"/>
    </row>
    <row r="1392" spans="20:23" x14ac:dyDescent="0.25">
      <c r="T1392" s="113"/>
      <c r="U1392" s="111"/>
      <c r="W1392" s="83"/>
    </row>
    <row r="1393" spans="20:23" x14ac:dyDescent="0.25">
      <c r="T1393" s="113"/>
      <c r="U1393" s="111"/>
      <c r="W1393" s="83"/>
    </row>
    <row r="1394" spans="20:23" x14ac:dyDescent="0.25">
      <c r="T1394" s="113"/>
      <c r="U1394" s="111"/>
      <c r="W1394" s="83"/>
    </row>
    <row r="1395" spans="20:23" x14ac:dyDescent="0.25">
      <c r="T1395" s="113"/>
      <c r="U1395" s="111"/>
      <c r="W1395" s="83"/>
    </row>
    <row r="1396" spans="20:23" x14ac:dyDescent="0.25">
      <c r="T1396" s="113"/>
      <c r="U1396" s="111"/>
      <c r="W1396" s="83"/>
    </row>
    <row r="1397" spans="20:23" x14ac:dyDescent="0.25">
      <c r="T1397" s="113"/>
      <c r="U1397" s="111"/>
      <c r="W1397" s="83"/>
    </row>
    <row r="1398" spans="20:23" x14ac:dyDescent="0.25">
      <c r="T1398" s="113"/>
      <c r="U1398" s="111"/>
      <c r="W1398" s="83"/>
    </row>
    <row r="1399" spans="20:23" x14ac:dyDescent="0.25">
      <c r="T1399" s="113"/>
      <c r="U1399" s="111"/>
      <c r="W1399" s="83"/>
    </row>
    <row r="1400" spans="20:23" x14ac:dyDescent="0.25">
      <c r="T1400" s="113"/>
      <c r="U1400" s="111"/>
      <c r="W1400" s="83"/>
    </row>
    <row r="1401" spans="20:23" x14ac:dyDescent="0.25">
      <c r="T1401" s="113"/>
      <c r="U1401" s="111"/>
      <c r="W1401" s="83"/>
    </row>
    <row r="1402" spans="20:23" x14ac:dyDescent="0.25">
      <c r="T1402" s="113"/>
      <c r="U1402" s="111"/>
      <c r="W1402" s="83"/>
    </row>
    <row r="1403" spans="20:23" x14ac:dyDescent="0.25">
      <c r="T1403" s="113"/>
      <c r="U1403" s="111"/>
      <c r="W1403" s="83"/>
    </row>
    <row r="1404" spans="20:23" x14ac:dyDescent="0.25">
      <c r="T1404" s="113"/>
      <c r="U1404" s="111"/>
      <c r="W1404" s="83"/>
    </row>
    <row r="1405" spans="20:23" x14ac:dyDescent="0.25">
      <c r="T1405" s="113"/>
      <c r="U1405" s="111"/>
      <c r="W1405" s="83"/>
    </row>
    <row r="1406" spans="20:23" x14ac:dyDescent="0.25">
      <c r="T1406" s="113"/>
      <c r="U1406" s="111"/>
      <c r="W1406" s="83"/>
    </row>
    <row r="1407" spans="20:23" x14ac:dyDescent="0.25">
      <c r="T1407" s="113"/>
      <c r="U1407" s="111"/>
      <c r="W1407" s="83"/>
    </row>
    <row r="1408" spans="20:23" x14ac:dyDescent="0.25">
      <c r="T1408" s="113"/>
      <c r="U1408" s="111"/>
      <c r="W1408" s="83"/>
    </row>
    <row r="1409" spans="20:23" x14ac:dyDescent="0.25">
      <c r="T1409" s="113"/>
      <c r="U1409" s="111"/>
      <c r="W1409" s="83"/>
    </row>
    <row r="1410" spans="20:23" x14ac:dyDescent="0.25">
      <c r="T1410" s="113"/>
      <c r="U1410" s="111"/>
      <c r="W1410" s="83"/>
    </row>
    <row r="1411" spans="20:23" x14ac:dyDescent="0.25">
      <c r="T1411" s="113"/>
      <c r="U1411" s="111"/>
      <c r="W1411" s="83"/>
    </row>
    <row r="1412" spans="20:23" x14ac:dyDescent="0.25">
      <c r="T1412" s="113"/>
      <c r="U1412" s="111"/>
      <c r="W1412" s="83"/>
    </row>
    <row r="1413" spans="20:23" x14ac:dyDescent="0.25">
      <c r="T1413" s="113"/>
      <c r="U1413" s="111"/>
      <c r="W1413" s="83"/>
    </row>
    <row r="1414" spans="20:23" x14ac:dyDescent="0.25">
      <c r="T1414" s="113"/>
      <c r="U1414" s="111"/>
      <c r="W1414" s="83"/>
    </row>
    <row r="1415" spans="20:23" x14ac:dyDescent="0.25">
      <c r="T1415" s="113"/>
      <c r="U1415" s="111"/>
      <c r="W1415" s="83"/>
    </row>
    <row r="1416" spans="20:23" x14ac:dyDescent="0.25">
      <c r="T1416" s="113"/>
      <c r="U1416" s="111"/>
      <c r="W1416" s="83"/>
    </row>
    <row r="1417" spans="20:23" x14ac:dyDescent="0.25">
      <c r="T1417" s="113"/>
      <c r="U1417" s="111"/>
      <c r="W1417" s="83"/>
    </row>
    <row r="1418" spans="20:23" x14ac:dyDescent="0.25">
      <c r="T1418" s="113"/>
      <c r="U1418" s="111"/>
      <c r="W1418" s="83"/>
    </row>
    <row r="1419" spans="20:23" x14ac:dyDescent="0.25">
      <c r="T1419" s="113"/>
      <c r="U1419" s="111"/>
      <c r="W1419" s="83"/>
    </row>
    <row r="1420" spans="20:23" x14ac:dyDescent="0.25">
      <c r="T1420" s="113"/>
      <c r="U1420" s="111"/>
      <c r="W1420" s="83"/>
    </row>
    <row r="1421" spans="20:23" x14ac:dyDescent="0.25">
      <c r="T1421" s="113"/>
      <c r="U1421" s="111"/>
      <c r="W1421" s="83"/>
    </row>
    <row r="1422" spans="20:23" x14ac:dyDescent="0.25">
      <c r="T1422" s="113"/>
      <c r="U1422" s="111"/>
      <c r="W1422" s="83"/>
    </row>
    <row r="1423" spans="20:23" x14ac:dyDescent="0.25">
      <c r="T1423" s="113"/>
      <c r="U1423" s="111"/>
      <c r="W1423" s="83"/>
    </row>
    <row r="1424" spans="20:23" x14ac:dyDescent="0.25">
      <c r="T1424" s="113"/>
      <c r="U1424" s="111"/>
      <c r="W1424" s="83"/>
    </row>
    <row r="1425" spans="20:23" x14ac:dyDescent="0.25">
      <c r="T1425" s="113"/>
      <c r="U1425" s="111"/>
      <c r="W1425" s="83"/>
    </row>
    <row r="1426" spans="20:23" x14ac:dyDescent="0.25">
      <c r="T1426" s="113"/>
      <c r="U1426" s="111"/>
      <c r="W1426" s="83"/>
    </row>
    <row r="1427" spans="20:23" x14ac:dyDescent="0.25">
      <c r="T1427" s="113"/>
      <c r="U1427" s="111"/>
      <c r="W1427" s="83"/>
    </row>
    <row r="1428" spans="20:23" x14ac:dyDescent="0.25">
      <c r="T1428" s="113"/>
      <c r="U1428" s="111"/>
      <c r="W1428" s="83"/>
    </row>
    <row r="1429" spans="20:23" x14ac:dyDescent="0.25">
      <c r="T1429" s="113"/>
      <c r="U1429" s="111"/>
      <c r="W1429" s="83"/>
    </row>
    <row r="1430" spans="20:23" x14ac:dyDescent="0.25">
      <c r="T1430" s="113"/>
      <c r="U1430" s="111"/>
      <c r="W1430" s="83"/>
    </row>
    <row r="1431" spans="20:23" x14ac:dyDescent="0.25">
      <c r="T1431" s="113"/>
      <c r="U1431" s="111"/>
      <c r="W1431" s="83"/>
    </row>
    <row r="1432" spans="20:23" x14ac:dyDescent="0.25">
      <c r="T1432" s="113"/>
      <c r="U1432" s="111"/>
      <c r="W1432" s="83"/>
    </row>
    <row r="1433" spans="20:23" x14ac:dyDescent="0.25">
      <c r="T1433" s="113"/>
      <c r="U1433" s="111"/>
      <c r="W1433" s="83"/>
    </row>
    <row r="1434" spans="20:23" x14ac:dyDescent="0.25">
      <c r="T1434" s="113"/>
      <c r="U1434" s="111"/>
      <c r="W1434" s="83"/>
    </row>
    <row r="1435" spans="20:23" x14ac:dyDescent="0.25">
      <c r="T1435" s="113"/>
      <c r="U1435" s="111"/>
      <c r="W1435" s="83"/>
    </row>
    <row r="1436" spans="20:23" x14ac:dyDescent="0.25">
      <c r="T1436" s="113"/>
      <c r="U1436" s="111"/>
      <c r="W1436" s="83"/>
    </row>
    <row r="1437" spans="20:23" x14ac:dyDescent="0.25">
      <c r="T1437" s="113"/>
      <c r="U1437" s="111"/>
      <c r="W1437" s="83"/>
    </row>
    <row r="1438" spans="20:23" x14ac:dyDescent="0.25">
      <c r="T1438" s="113"/>
      <c r="U1438" s="111"/>
      <c r="W1438" s="83"/>
    </row>
    <row r="1439" spans="20:23" x14ac:dyDescent="0.25">
      <c r="T1439" s="113"/>
      <c r="U1439" s="111"/>
      <c r="W1439" s="83"/>
    </row>
    <row r="1440" spans="20:23" x14ac:dyDescent="0.25">
      <c r="T1440" s="113"/>
      <c r="U1440" s="111"/>
      <c r="W1440" s="83"/>
    </row>
    <row r="1441" spans="20:23" x14ac:dyDescent="0.25">
      <c r="T1441" s="113"/>
      <c r="U1441" s="111"/>
      <c r="W1441" s="83"/>
    </row>
    <row r="1442" spans="20:23" x14ac:dyDescent="0.25">
      <c r="T1442" s="113"/>
      <c r="U1442" s="111"/>
      <c r="W1442" s="83"/>
    </row>
    <row r="1443" spans="20:23" x14ac:dyDescent="0.25">
      <c r="T1443" s="113"/>
      <c r="U1443" s="111"/>
      <c r="W1443" s="83"/>
    </row>
    <row r="1444" spans="20:23" x14ac:dyDescent="0.25">
      <c r="T1444" s="113"/>
      <c r="U1444" s="111"/>
      <c r="W1444" s="83"/>
    </row>
    <row r="1445" spans="20:23" x14ac:dyDescent="0.25">
      <c r="T1445" s="113"/>
      <c r="U1445" s="111"/>
      <c r="W1445" s="83"/>
    </row>
    <row r="1446" spans="20:23" x14ac:dyDescent="0.25">
      <c r="T1446" s="113"/>
      <c r="U1446" s="111"/>
      <c r="W1446" s="83"/>
    </row>
    <row r="1447" spans="20:23" x14ac:dyDescent="0.25">
      <c r="T1447" s="113"/>
      <c r="U1447" s="111"/>
      <c r="W1447" s="83"/>
    </row>
    <row r="1448" spans="20:23" x14ac:dyDescent="0.25">
      <c r="T1448" s="113"/>
      <c r="U1448" s="111"/>
      <c r="W1448" s="83"/>
    </row>
    <row r="1449" spans="20:23" x14ac:dyDescent="0.25">
      <c r="T1449" s="113"/>
      <c r="U1449" s="111"/>
      <c r="W1449" s="83"/>
    </row>
    <row r="1450" spans="20:23" x14ac:dyDescent="0.25">
      <c r="T1450" s="113"/>
      <c r="U1450" s="111"/>
      <c r="W1450" s="83"/>
    </row>
    <row r="1451" spans="20:23" x14ac:dyDescent="0.25">
      <c r="T1451" s="113"/>
      <c r="U1451" s="111"/>
      <c r="W1451" s="83"/>
    </row>
    <row r="1452" spans="20:23" x14ac:dyDescent="0.25">
      <c r="T1452" s="113"/>
      <c r="U1452" s="111"/>
      <c r="W1452" s="83"/>
    </row>
    <row r="1453" spans="20:23" x14ac:dyDescent="0.25">
      <c r="T1453" s="113"/>
      <c r="U1453" s="111"/>
      <c r="W1453" s="83"/>
    </row>
    <row r="1454" spans="20:23" x14ac:dyDescent="0.25">
      <c r="T1454" s="113"/>
      <c r="U1454" s="111"/>
      <c r="W1454" s="83"/>
    </row>
    <row r="1455" spans="20:23" x14ac:dyDescent="0.25">
      <c r="T1455" s="113"/>
      <c r="U1455" s="111"/>
      <c r="W1455" s="83"/>
    </row>
    <row r="1456" spans="20:23" x14ac:dyDescent="0.25">
      <c r="T1456" s="113"/>
      <c r="U1456" s="111"/>
      <c r="W1456" s="83"/>
    </row>
    <row r="1457" spans="20:23" x14ac:dyDescent="0.25">
      <c r="T1457" s="113"/>
      <c r="U1457" s="111"/>
      <c r="W1457" s="83"/>
    </row>
    <row r="1458" spans="20:23" x14ac:dyDescent="0.25">
      <c r="T1458" s="113"/>
      <c r="U1458" s="111"/>
      <c r="W1458" s="83"/>
    </row>
    <row r="1459" spans="20:23" x14ac:dyDescent="0.25">
      <c r="T1459" s="113"/>
      <c r="U1459" s="111"/>
      <c r="W1459" s="83"/>
    </row>
    <row r="1460" spans="20:23" x14ac:dyDescent="0.25">
      <c r="T1460" s="113"/>
      <c r="U1460" s="111"/>
      <c r="W1460" s="83"/>
    </row>
    <row r="1461" spans="20:23" x14ac:dyDescent="0.25">
      <c r="T1461" s="113"/>
      <c r="U1461" s="111"/>
      <c r="W1461" s="83"/>
    </row>
    <row r="1462" spans="20:23" x14ac:dyDescent="0.25">
      <c r="T1462" s="113"/>
      <c r="U1462" s="111"/>
      <c r="W1462" s="83"/>
    </row>
    <row r="1463" spans="20:23" x14ac:dyDescent="0.25">
      <c r="T1463" s="113"/>
      <c r="U1463" s="111"/>
      <c r="W1463" s="83"/>
    </row>
    <row r="1464" spans="20:23" x14ac:dyDescent="0.25">
      <c r="T1464" s="113"/>
      <c r="U1464" s="111"/>
      <c r="W1464" s="83"/>
    </row>
    <row r="1465" spans="20:23" x14ac:dyDescent="0.25">
      <c r="T1465" s="113"/>
      <c r="U1465" s="111"/>
      <c r="W1465" s="83"/>
    </row>
    <row r="1466" spans="20:23" x14ac:dyDescent="0.25">
      <c r="T1466" s="113"/>
      <c r="U1466" s="111"/>
      <c r="W1466" s="83"/>
    </row>
    <row r="1467" spans="20:23" x14ac:dyDescent="0.25">
      <c r="T1467" s="113"/>
      <c r="U1467" s="111"/>
      <c r="W1467" s="83"/>
    </row>
    <row r="1468" spans="20:23" x14ac:dyDescent="0.25">
      <c r="T1468" s="113"/>
      <c r="U1468" s="111"/>
      <c r="W1468" s="83"/>
    </row>
    <row r="1469" spans="20:23" x14ac:dyDescent="0.25">
      <c r="T1469" s="113"/>
      <c r="U1469" s="111"/>
      <c r="W1469" s="83"/>
    </row>
    <row r="1470" spans="20:23" x14ac:dyDescent="0.25">
      <c r="T1470" s="113"/>
      <c r="U1470" s="111"/>
      <c r="W1470" s="83"/>
    </row>
    <row r="1471" spans="20:23" x14ac:dyDescent="0.25">
      <c r="T1471" s="113"/>
      <c r="U1471" s="111"/>
      <c r="W1471" s="83"/>
    </row>
    <row r="1472" spans="20:23" x14ac:dyDescent="0.25">
      <c r="T1472" s="113"/>
      <c r="U1472" s="111"/>
      <c r="W1472" s="83"/>
    </row>
    <row r="1473" spans="20:23" x14ac:dyDescent="0.25">
      <c r="T1473" s="113"/>
      <c r="U1473" s="111"/>
      <c r="W1473" s="83"/>
    </row>
    <row r="1474" spans="20:23" x14ac:dyDescent="0.25">
      <c r="T1474" s="113"/>
      <c r="U1474" s="111"/>
      <c r="W1474" s="83"/>
    </row>
    <row r="1475" spans="20:23" x14ac:dyDescent="0.25">
      <c r="T1475" s="113"/>
      <c r="U1475" s="111"/>
      <c r="W1475" s="83"/>
    </row>
    <row r="1476" spans="20:23" x14ac:dyDescent="0.25">
      <c r="T1476" s="113"/>
      <c r="U1476" s="111"/>
      <c r="W1476" s="83"/>
    </row>
    <row r="1477" spans="20:23" x14ac:dyDescent="0.25">
      <c r="T1477" s="113"/>
      <c r="U1477" s="111"/>
      <c r="W1477" s="83"/>
    </row>
    <row r="1478" spans="20:23" x14ac:dyDescent="0.25">
      <c r="T1478" s="113"/>
      <c r="U1478" s="111"/>
      <c r="W1478" s="83"/>
    </row>
    <row r="1479" spans="20:23" x14ac:dyDescent="0.25">
      <c r="T1479" s="113"/>
      <c r="U1479" s="111"/>
      <c r="W1479" s="83"/>
    </row>
    <row r="1480" spans="20:23" x14ac:dyDescent="0.25">
      <c r="T1480" s="113"/>
      <c r="U1480" s="111"/>
      <c r="W1480" s="83"/>
    </row>
    <row r="1481" spans="20:23" x14ac:dyDescent="0.25">
      <c r="T1481" s="113"/>
      <c r="U1481" s="111"/>
      <c r="W1481" s="83"/>
    </row>
    <row r="1482" spans="20:23" x14ac:dyDescent="0.25">
      <c r="T1482" s="113"/>
      <c r="U1482" s="111"/>
      <c r="W1482" s="83"/>
    </row>
    <row r="1483" spans="20:23" x14ac:dyDescent="0.25">
      <c r="T1483" s="113"/>
      <c r="U1483" s="111"/>
      <c r="W1483" s="83"/>
    </row>
    <row r="1484" spans="20:23" x14ac:dyDescent="0.25">
      <c r="T1484" s="113"/>
      <c r="U1484" s="111"/>
      <c r="W1484" s="83"/>
    </row>
    <row r="1485" spans="20:23" x14ac:dyDescent="0.25">
      <c r="T1485" s="113"/>
      <c r="U1485" s="111"/>
      <c r="W1485" s="83"/>
    </row>
    <row r="1486" spans="20:23" x14ac:dyDescent="0.25">
      <c r="T1486" s="113"/>
      <c r="U1486" s="111"/>
      <c r="W1486" s="83"/>
    </row>
    <row r="1487" spans="20:23" x14ac:dyDescent="0.25">
      <c r="T1487" s="113"/>
      <c r="U1487" s="111"/>
      <c r="W1487" s="83"/>
    </row>
    <row r="1488" spans="20:23" x14ac:dyDescent="0.25">
      <c r="T1488" s="113"/>
      <c r="U1488" s="111"/>
      <c r="W1488" s="83"/>
    </row>
    <row r="1489" spans="20:23" x14ac:dyDescent="0.25">
      <c r="T1489" s="113"/>
      <c r="U1489" s="111"/>
      <c r="W1489" s="83"/>
    </row>
    <row r="1490" spans="20:23" x14ac:dyDescent="0.25">
      <c r="T1490" s="113"/>
      <c r="U1490" s="111"/>
      <c r="W1490" s="83"/>
    </row>
    <row r="1491" spans="20:23" x14ac:dyDescent="0.25">
      <c r="T1491" s="113"/>
      <c r="U1491" s="111"/>
      <c r="W1491" s="83"/>
    </row>
    <row r="1492" spans="20:23" x14ac:dyDescent="0.25">
      <c r="T1492" s="113"/>
      <c r="U1492" s="111"/>
      <c r="W1492" s="83"/>
    </row>
    <row r="1493" spans="20:23" x14ac:dyDescent="0.25">
      <c r="T1493" s="113"/>
      <c r="U1493" s="111"/>
      <c r="W1493" s="83"/>
    </row>
    <row r="1494" spans="20:23" x14ac:dyDescent="0.25">
      <c r="T1494" s="113"/>
      <c r="U1494" s="111"/>
      <c r="W1494" s="83"/>
    </row>
    <row r="1495" spans="20:23" x14ac:dyDescent="0.25">
      <c r="T1495" s="113"/>
      <c r="U1495" s="111"/>
      <c r="W1495" s="83"/>
    </row>
    <row r="1496" spans="20:23" x14ac:dyDescent="0.25">
      <c r="T1496" s="113"/>
      <c r="U1496" s="111"/>
      <c r="W1496" s="83"/>
    </row>
    <row r="1497" spans="20:23" x14ac:dyDescent="0.25">
      <c r="T1497" s="113"/>
      <c r="U1497" s="111"/>
      <c r="W1497" s="83"/>
    </row>
    <row r="1498" spans="20:23" x14ac:dyDescent="0.25">
      <c r="T1498" s="113"/>
      <c r="U1498" s="111"/>
      <c r="W1498" s="83"/>
    </row>
    <row r="1499" spans="20:23" x14ac:dyDescent="0.25">
      <c r="T1499" s="113"/>
      <c r="U1499" s="111"/>
      <c r="W1499" s="83"/>
    </row>
    <row r="1500" spans="20:23" x14ac:dyDescent="0.25">
      <c r="T1500" s="113"/>
      <c r="U1500" s="111"/>
      <c r="W1500" s="83"/>
    </row>
    <row r="1501" spans="20:23" x14ac:dyDescent="0.25">
      <c r="T1501" s="113"/>
      <c r="U1501" s="111"/>
      <c r="W1501" s="83"/>
    </row>
    <row r="1502" spans="20:23" x14ac:dyDescent="0.25">
      <c r="T1502" s="113"/>
      <c r="U1502" s="111"/>
      <c r="W1502" s="83"/>
    </row>
    <row r="1503" spans="20:23" x14ac:dyDescent="0.25">
      <c r="T1503" s="113"/>
      <c r="U1503" s="111"/>
      <c r="W1503" s="83"/>
    </row>
    <row r="1504" spans="20:23" x14ac:dyDescent="0.25">
      <c r="T1504" s="113"/>
      <c r="U1504" s="111"/>
      <c r="W1504" s="83"/>
    </row>
    <row r="1505" spans="20:23" x14ac:dyDescent="0.25">
      <c r="T1505" s="113"/>
      <c r="U1505" s="111"/>
      <c r="W1505" s="83"/>
    </row>
    <row r="1506" spans="20:23" x14ac:dyDescent="0.25">
      <c r="T1506" s="113"/>
      <c r="U1506" s="111"/>
      <c r="W1506" s="83"/>
    </row>
    <row r="1507" spans="20:23" x14ac:dyDescent="0.25">
      <c r="T1507" s="113"/>
      <c r="U1507" s="111"/>
      <c r="W1507" s="83"/>
    </row>
    <row r="1508" spans="20:23" x14ac:dyDescent="0.25">
      <c r="T1508" s="113"/>
      <c r="U1508" s="111"/>
      <c r="W1508" s="83"/>
    </row>
    <row r="1509" spans="20:23" x14ac:dyDescent="0.25">
      <c r="T1509" s="113"/>
      <c r="U1509" s="111"/>
      <c r="W1509" s="83"/>
    </row>
    <row r="1510" spans="20:23" x14ac:dyDescent="0.25">
      <c r="T1510" s="113"/>
      <c r="U1510" s="111"/>
      <c r="W1510" s="83"/>
    </row>
    <row r="1511" spans="20:23" x14ac:dyDescent="0.25">
      <c r="T1511" s="113"/>
      <c r="U1511" s="111"/>
      <c r="W1511" s="83"/>
    </row>
    <row r="1512" spans="20:23" x14ac:dyDescent="0.25">
      <c r="T1512" s="113"/>
      <c r="U1512" s="111"/>
      <c r="W1512" s="83"/>
    </row>
    <row r="1513" spans="20:23" x14ac:dyDescent="0.25">
      <c r="T1513" s="113"/>
      <c r="U1513" s="111"/>
      <c r="W1513" s="83"/>
    </row>
    <row r="1514" spans="20:23" x14ac:dyDescent="0.25">
      <c r="T1514" s="113"/>
      <c r="U1514" s="111"/>
      <c r="W1514" s="83"/>
    </row>
    <row r="1515" spans="20:23" x14ac:dyDescent="0.25">
      <c r="T1515" s="113"/>
      <c r="U1515" s="111"/>
      <c r="W1515" s="83"/>
    </row>
    <row r="1516" spans="20:23" x14ac:dyDescent="0.25">
      <c r="T1516" s="113"/>
      <c r="U1516" s="111"/>
      <c r="W1516" s="83"/>
    </row>
    <row r="1517" spans="20:23" x14ac:dyDescent="0.25">
      <c r="T1517" s="113"/>
      <c r="U1517" s="111"/>
      <c r="W1517" s="83"/>
    </row>
    <row r="1518" spans="20:23" x14ac:dyDescent="0.25">
      <c r="T1518" s="113"/>
      <c r="U1518" s="111"/>
      <c r="W1518" s="83"/>
    </row>
    <row r="1519" spans="20:23" x14ac:dyDescent="0.25">
      <c r="T1519" s="113"/>
      <c r="U1519" s="111"/>
      <c r="W1519" s="83"/>
    </row>
    <row r="1520" spans="20:23" x14ac:dyDescent="0.25">
      <c r="T1520" s="113"/>
      <c r="U1520" s="111"/>
      <c r="W1520" s="83"/>
    </row>
    <row r="1521" spans="20:23" x14ac:dyDescent="0.25">
      <c r="T1521" s="113"/>
      <c r="U1521" s="111"/>
      <c r="W1521" s="83"/>
    </row>
    <row r="1522" spans="20:23" x14ac:dyDescent="0.25">
      <c r="T1522" s="113"/>
      <c r="U1522" s="111"/>
      <c r="W1522" s="83"/>
    </row>
    <row r="1523" spans="20:23" x14ac:dyDescent="0.25">
      <c r="T1523" s="113"/>
      <c r="U1523" s="111"/>
      <c r="W1523" s="83"/>
    </row>
    <row r="1524" spans="20:23" x14ac:dyDescent="0.25">
      <c r="T1524" s="113"/>
      <c r="U1524" s="111"/>
      <c r="W1524" s="83"/>
    </row>
    <row r="1525" spans="20:23" x14ac:dyDescent="0.25">
      <c r="T1525" s="113"/>
      <c r="U1525" s="111"/>
      <c r="W1525" s="83"/>
    </row>
    <row r="1526" spans="20:23" x14ac:dyDescent="0.25">
      <c r="T1526" s="113"/>
      <c r="U1526" s="111"/>
      <c r="W1526" s="83"/>
    </row>
    <row r="1527" spans="20:23" x14ac:dyDescent="0.25">
      <c r="T1527" s="113"/>
      <c r="U1527" s="111"/>
      <c r="W1527" s="83"/>
    </row>
    <row r="1528" spans="20:23" x14ac:dyDescent="0.25">
      <c r="T1528" s="113"/>
      <c r="U1528" s="111"/>
      <c r="W1528" s="83"/>
    </row>
    <row r="1529" spans="20:23" x14ac:dyDescent="0.25">
      <c r="T1529" s="113"/>
      <c r="U1529" s="111"/>
      <c r="W1529" s="83"/>
    </row>
    <row r="1530" spans="20:23" x14ac:dyDescent="0.25">
      <c r="T1530" s="113"/>
      <c r="U1530" s="111"/>
      <c r="W1530" s="83"/>
    </row>
    <row r="1531" spans="20:23" x14ac:dyDescent="0.25">
      <c r="T1531" s="113"/>
      <c r="U1531" s="111"/>
      <c r="W1531" s="83"/>
    </row>
    <row r="1532" spans="20:23" x14ac:dyDescent="0.25">
      <c r="T1532" s="113"/>
      <c r="U1532" s="111"/>
      <c r="W1532" s="83"/>
    </row>
    <row r="1533" spans="20:23" x14ac:dyDescent="0.25">
      <c r="T1533" s="113"/>
      <c r="U1533" s="111"/>
      <c r="W1533" s="83"/>
    </row>
    <row r="1534" spans="20:23" x14ac:dyDescent="0.25">
      <c r="T1534" s="113"/>
      <c r="U1534" s="111"/>
      <c r="W1534" s="83"/>
    </row>
    <row r="1535" spans="20:23" x14ac:dyDescent="0.25">
      <c r="T1535" s="113"/>
      <c r="U1535" s="111"/>
      <c r="W1535" s="83"/>
    </row>
    <row r="1536" spans="20:23" x14ac:dyDescent="0.25">
      <c r="T1536" s="113"/>
      <c r="U1536" s="111"/>
      <c r="W1536" s="83"/>
    </row>
    <row r="1537" spans="20:23" x14ac:dyDescent="0.25">
      <c r="T1537" s="113"/>
      <c r="U1537" s="111"/>
      <c r="W1537" s="83"/>
    </row>
    <row r="1538" spans="20:23" x14ac:dyDescent="0.25">
      <c r="T1538" s="113"/>
      <c r="U1538" s="111"/>
      <c r="W1538" s="83"/>
    </row>
    <row r="1539" spans="20:23" x14ac:dyDescent="0.25">
      <c r="T1539" s="113"/>
      <c r="U1539" s="111"/>
      <c r="W1539" s="83"/>
    </row>
    <row r="1540" spans="20:23" x14ac:dyDescent="0.25">
      <c r="T1540" s="113"/>
      <c r="U1540" s="111"/>
      <c r="W1540" s="83"/>
    </row>
    <row r="1541" spans="20:23" x14ac:dyDescent="0.25">
      <c r="T1541" s="113"/>
      <c r="U1541" s="111"/>
      <c r="W1541" s="83"/>
    </row>
    <row r="1542" spans="20:23" x14ac:dyDescent="0.25">
      <c r="T1542" s="113"/>
      <c r="U1542" s="111"/>
      <c r="W1542" s="83"/>
    </row>
    <row r="1543" spans="20:23" x14ac:dyDescent="0.25">
      <c r="T1543" s="113"/>
      <c r="U1543" s="111"/>
      <c r="W1543" s="83"/>
    </row>
    <row r="1544" spans="20:23" x14ac:dyDescent="0.25">
      <c r="T1544" s="113"/>
      <c r="U1544" s="111"/>
      <c r="W1544" s="83"/>
    </row>
    <row r="1545" spans="20:23" x14ac:dyDescent="0.25">
      <c r="T1545" s="113"/>
      <c r="U1545" s="111"/>
      <c r="W1545" s="83"/>
    </row>
    <row r="1546" spans="20:23" x14ac:dyDescent="0.25">
      <c r="T1546" s="113"/>
      <c r="U1546" s="111"/>
      <c r="W1546" s="83"/>
    </row>
    <row r="1547" spans="20:23" x14ac:dyDescent="0.25">
      <c r="T1547" s="113"/>
      <c r="U1547" s="111"/>
      <c r="W1547" s="83"/>
    </row>
    <row r="1548" spans="20:23" x14ac:dyDescent="0.25">
      <c r="T1548" s="113"/>
      <c r="U1548" s="111"/>
      <c r="W1548" s="83"/>
    </row>
    <row r="1549" spans="20:23" x14ac:dyDescent="0.25">
      <c r="T1549" s="113"/>
      <c r="U1549" s="111"/>
      <c r="W1549" s="83"/>
    </row>
    <row r="1550" spans="20:23" x14ac:dyDescent="0.25">
      <c r="T1550" s="113"/>
      <c r="U1550" s="111"/>
      <c r="W1550" s="83"/>
    </row>
    <row r="1551" spans="20:23" x14ac:dyDescent="0.25">
      <c r="T1551" s="113"/>
      <c r="U1551" s="111"/>
      <c r="W1551" s="83"/>
    </row>
    <row r="1552" spans="20:23" x14ac:dyDescent="0.25">
      <c r="T1552" s="113"/>
      <c r="U1552" s="111"/>
      <c r="W1552" s="83"/>
    </row>
    <row r="1553" spans="20:23" x14ac:dyDescent="0.25">
      <c r="T1553" s="113"/>
      <c r="U1553" s="111"/>
      <c r="W1553" s="83"/>
    </row>
    <row r="1554" spans="20:23" x14ac:dyDescent="0.25">
      <c r="T1554" s="113"/>
      <c r="U1554" s="111"/>
      <c r="W1554" s="83"/>
    </row>
    <row r="1555" spans="20:23" x14ac:dyDescent="0.25">
      <c r="T1555" s="113"/>
      <c r="U1555" s="111"/>
      <c r="W1555" s="83"/>
    </row>
    <row r="1556" spans="20:23" x14ac:dyDescent="0.25">
      <c r="T1556" s="113"/>
      <c r="U1556" s="111"/>
      <c r="W1556" s="83"/>
    </row>
    <row r="1557" spans="20:23" x14ac:dyDescent="0.25">
      <c r="T1557" s="113"/>
      <c r="U1557" s="111"/>
      <c r="W1557" s="83"/>
    </row>
    <row r="1558" spans="20:23" x14ac:dyDescent="0.25">
      <c r="T1558" s="113"/>
      <c r="U1558" s="111"/>
      <c r="W1558" s="83"/>
    </row>
    <row r="1559" spans="20:23" x14ac:dyDescent="0.25">
      <c r="T1559" s="113"/>
      <c r="U1559" s="111"/>
      <c r="W1559" s="83"/>
    </row>
    <row r="1560" spans="20:23" x14ac:dyDescent="0.25">
      <c r="T1560" s="113"/>
      <c r="U1560" s="111"/>
      <c r="W1560" s="83"/>
    </row>
    <row r="1561" spans="20:23" x14ac:dyDescent="0.25">
      <c r="T1561" s="113"/>
      <c r="U1561" s="111"/>
      <c r="W1561" s="83"/>
    </row>
    <row r="1562" spans="20:23" x14ac:dyDescent="0.25">
      <c r="T1562" s="113"/>
      <c r="U1562" s="111"/>
      <c r="W1562" s="83"/>
    </row>
    <row r="1563" spans="20:23" x14ac:dyDescent="0.25">
      <c r="T1563" s="113"/>
      <c r="U1563" s="111"/>
      <c r="W1563" s="83"/>
    </row>
    <row r="1564" spans="20:23" x14ac:dyDescent="0.25">
      <c r="T1564" s="113"/>
      <c r="U1564" s="111"/>
      <c r="W1564" s="83"/>
    </row>
    <row r="1565" spans="20:23" x14ac:dyDescent="0.25">
      <c r="T1565" s="113"/>
      <c r="U1565" s="111"/>
      <c r="W1565" s="83"/>
    </row>
    <row r="1566" spans="20:23" x14ac:dyDescent="0.25">
      <c r="T1566" s="113"/>
      <c r="U1566" s="111"/>
      <c r="W1566" s="83"/>
    </row>
    <row r="1567" spans="20:23" x14ac:dyDescent="0.25">
      <c r="T1567" s="113"/>
      <c r="U1567" s="111"/>
      <c r="W1567" s="83"/>
    </row>
    <row r="1568" spans="20:23" x14ac:dyDescent="0.25">
      <c r="T1568" s="113"/>
      <c r="U1568" s="111"/>
      <c r="W1568" s="83"/>
    </row>
    <row r="1569" spans="20:23" x14ac:dyDescent="0.25">
      <c r="T1569" s="113"/>
      <c r="U1569" s="111"/>
      <c r="W1569" s="83"/>
    </row>
    <row r="1570" spans="20:23" x14ac:dyDescent="0.25">
      <c r="T1570" s="113"/>
      <c r="U1570" s="111"/>
      <c r="W1570" s="83"/>
    </row>
    <row r="1571" spans="20:23" x14ac:dyDescent="0.25">
      <c r="T1571" s="113"/>
      <c r="U1571" s="111"/>
      <c r="W1571" s="83"/>
    </row>
    <row r="1572" spans="20:23" x14ac:dyDescent="0.25">
      <c r="T1572" s="113"/>
      <c r="U1572" s="111"/>
      <c r="W1572" s="83"/>
    </row>
    <row r="1573" spans="20:23" x14ac:dyDescent="0.25">
      <c r="T1573" s="113"/>
      <c r="U1573" s="111"/>
      <c r="W1573" s="83"/>
    </row>
    <row r="1574" spans="20:23" x14ac:dyDescent="0.25">
      <c r="T1574" s="113"/>
      <c r="U1574" s="111"/>
      <c r="W1574" s="83"/>
    </row>
    <row r="1575" spans="20:23" x14ac:dyDescent="0.25">
      <c r="T1575" s="113"/>
      <c r="U1575" s="111"/>
      <c r="W1575" s="83"/>
    </row>
    <row r="1576" spans="20:23" x14ac:dyDescent="0.25">
      <c r="T1576" s="113"/>
      <c r="U1576" s="111"/>
      <c r="W1576" s="83"/>
    </row>
    <row r="1577" spans="20:23" x14ac:dyDescent="0.25">
      <c r="T1577" s="113"/>
      <c r="U1577" s="111"/>
      <c r="W1577" s="83"/>
    </row>
    <row r="1578" spans="20:23" x14ac:dyDescent="0.25">
      <c r="T1578" s="113"/>
      <c r="U1578" s="111"/>
      <c r="W1578" s="83"/>
    </row>
    <row r="1579" spans="20:23" x14ac:dyDescent="0.25">
      <c r="T1579" s="113"/>
      <c r="U1579" s="111"/>
      <c r="W1579" s="83"/>
    </row>
    <row r="1580" spans="20:23" x14ac:dyDescent="0.25">
      <c r="T1580" s="113"/>
      <c r="U1580" s="111"/>
      <c r="W1580" s="83"/>
    </row>
    <row r="1581" spans="20:23" x14ac:dyDescent="0.25">
      <c r="T1581" s="113"/>
      <c r="U1581" s="111"/>
      <c r="W1581" s="83"/>
    </row>
    <row r="1582" spans="20:23" x14ac:dyDescent="0.25">
      <c r="T1582" s="113"/>
      <c r="U1582" s="111"/>
      <c r="W1582" s="83"/>
    </row>
    <row r="1583" spans="20:23" x14ac:dyDescent="0.25">
      <c r="T1583" s="113"/>
      <c r="U1583" s="111"/>
      <c r="W1583" s="83"/>
    </row>
    <row r="1584" spans="20:23" x14ac:dyDescent="0.25">
      <c r="T1584" s="113"/>
      <c r="U1584" s="111"/>
      <c r="W1584" s="83"/>
    </row>
    <row r="1585" spans="20:23" x14ac:dyDescent="0.25">
      <c r="T1585" s="113"/>
      <c r="U1585" s="111"/>
      <c r="W1585" s="83"/>
    </row>
    <row r="1586" spans="20:23" x14ac:dyDescent="0.25">
      <c r="T1586" s="113"/>
      <c r="U1586" s="111"/>
      <c r="W1586" s="83"/>
    </row>
    <row r="1587" spans="20:23" x14ac:dyDescent="0.25">
      <c r="T1587" s="113"/>
      <c r="U1587" s="111"/>
      <c r="W1587" s="83"/>
    </row>
    <row r="1588" spans="20:23" x14ac:dyDescent="0.25">
      <c r="T1588" s="113"/>
      <c r="U1588" s="111"/>
      <c r="W1588" s="83"/>
    </row>
    <row r="1589" spans="20:23" x14ac:dyDescent="0.25">
      <c r="T1589" s="113"/>
      <c r="U1589" s="111"/>
      <c r="W1589" s="83"/>
    </row>
    <row r="1590" spans="20:23" x14ac:dyDescent="0.25">
      <c r="T1590" s="113"/>
      <c r="U1590" s="111"/>
      <c r="W1590" s="83"/>
    </row>
    <row r="1591" spans="20:23" x14ac:dyDescent="0.25">
      <c r="T1591" s="113"/>
      <c r="U1591" s="111"/>
      <c r="W1591" s="83"/>
    </row>
    <row r="1592" spans="20:23" x14ac:dyDescent="0.25">
      <c r="T1592" s="113"/>
      <c r="U1592" s="111"/>
      <c r="W1592" s="83"/>
    </row>
    <row r="1593" spans="20:23" x14ac:dyDescent="0.25">
      <c r="T1593" s="113"/>
      <c r="U1593" s="111"/>
      <c r="W1593" s="83"/>
    </row>
    <row r="1594" spans="20:23" x14ac:dyDescent="0.25">
      <c r="T1594" s="113"/>
      <c r="U1594" s="111"/>
      <c r="W1594" s="83"/>
    </row>
    <row r="1595" spans="20:23" x14ac:dyDescent="0.25">
      <c r="T1595" s="113"/>
      <c r="U1595" s="111"/>
      <c r="W1595" s="83"/>
    </row>
    <row r="1596" spans="20:23" x14ac:dyDescent="0.25">
      <c r="T1596" s="113"/>
      <c r="U1596" s="111"/>
      <c r="W1596" s="83"/>
    </row>
    <row r="1597" spans="20:23" x14ac:dyDescent="0.25">
      <c r="T1597" s="113"/>
      <c r="U1597" s="111"/>
      <c r="W1597" s="83"/>
    </row>
    <row r="1598" spans="20:23" x14ac:dyDescent="0.25">
      <c r="T1598" s="113"/>
      <c r="U1598" s="111"/>
      <c r="W1598" s="83"/>
    </row>
    <row r="1599" spans="20:23" x14ac:dyDescent="0.25">
      <c r="T1599" s="113"/>
      <c r="U1599" s="111"/>
      <c r="W1599" s="83"/>
    </row>
    <row r="1600" spans="20:23" x14ac:dyDescent="0.25">
      <c r="T1600" s="113"/>
      <c r="U1600" s="111"/>
      <c r="W1600" s="83"/>
    </row>
    <row r="1601" spans="20:23" x14ac:dyDescent="0.25">
      <c r="T1601" s="113"/>
      <c r="U1601" s="111"/>
      <c r="W1601" s="83"/>
    </row>
    <row r="1602" spans="20:23" x14ac:dyDescent="0.25">
      <c r="T1602" s="113"/>
      <c r="U1602" s="111"/>
      <c r="W1602" s="83"/>
    </row>
    <row r="1603" spans="20:23" x14ac:dyDescent="0.25">
      <c r="T1603" s="113"/>
      <c r="U1603" s="111"/>
      <c r="W1603" s="83"/>
    </row>
    <row r="1604" spans="20:23" x14ac:dyDescent="0.25">
      <c r="T1604" s="113"/>
      <c r="U1604" s="111"/>
      <c r="W1604" s="83"/>
    </row>
    <row r="1605" spans="20:23" x14ac:dyDescent="0.25">
      <c r="T1605" s="113"/>
      <c r="U1605" s="111"/>
      <c r="W1605" s="83"/>
    </row>
    <row r="1606" spans="20:23" x14ac:dyDescent="0.25">
      <c r="T1606" s="113"/>
      <c r="U1606" s="111"/>
      <c r="W1606" s="83"/>
    </row>
    <row r="1607" spans="20:23" x14ac:dyDescent="0.25">
      <c r="T1607" s="113"/>
      <c r="U1607" s="111"/>
      <c r="W1607" s="83"/>
    </row>
    <row r="1608" spans="20:23" x14ac:dyDescent="0.25">
      <c r="T1608" s="113"/>
      <c r="U1608" s="111"/>
      <c r="W1608" s="83"/>
    </row>
    <row r="1609" spans="20:23" x14ac:dyDescent="0.25">
      <c r="T1609" s="113"/>
      <c r="U1609" s="111"/>
      <c r="W1609" s="83"/>
    </row>
    <row r="1610" spans="20:23" x14ac:dyDescent="0.25">
      <c r="T1610" s="113"/>
      <c r="U1610" s="111"/>
      <c r="W1610" s="83"/>
    </row>
    <row r="1611" spans="20:23" x14ac:dyDescent="0.25">
      <c r="T1611" s="113"/>
      <c r="U1611" s="111"/>
      <c r="W1611" s="83"/>
    </row>
    <row r="1612" spans="20:23" x14ac:dyDescent="0.25">
      <c r="T1612" s="113"/>
      <c r="U1612" s="111"/>
      <c r="W1612" s="83"/>
    </row>
    <row r="1613" spans="20:23" x14ac:dyDescent="0.25">
      <c r="T1613" s="113"/>
      <c r="U1613" s="111"/>
      <c r="W1613" s="83"/>
    </row>
    <row r="1614" spans="20:23" x14ac:dyDescent="0.25">
      <c r="T1614" s="113"/>
      <c r="U1614" s="111"/>
      <c r="W1614" s="83"/>
    </row>
    <row r="1615" spans="20:23" x14ac:dyDescent="0.25">
      <c r="T1615" s="113"/>
      <c r="U1615" s="111"/>
      <c r="W1615" s="83"/>
    </row>
    <row r="1616" spans="20:23" x14ac:dyDescent="0.25">
      <c r="T1616" s="113"/>
      <c r="U1616" s="111"/>
      <c r="W1616" s="83"/>
    </row>
    <row r="1617" spans="20:23" x14ac:dyDescent="0.25">
      <c r="T1617" s="113"/>
      <c r="U1617" s="111"/>
      <c r="W1617" s="83"/>
    </row>
    <row r="1618" spans="20:23" x14ac:dyDescent="0.25">
      <c r="T1618" s="113"/>
      <c r="U1618" s="111"/>
      <c r="W1618" s="83"/>
    </row>
    <row r="1619" spans="20:23" x14ac:dyDescent="0.25">
      <c r="T1619" s="113"/>
      <c r="U1619" s="111"/>
      <c r="W1619" s="83"/>
    </row>
    <row r="1620" spans="20:23" x14ac:dyDescent="0.25">
      <c r="T1620" s="113"/>
      <c r="U1620" s="111"/>
      <c r="W1620" s="83"/>
    </row>
    <row r="1621" spans="20:23" x14ac:dyDescent="0.25">
      <c r="T1621" s="113"/>
      <c r="U1621" s="111"/>
      <c r="W1621" s="83"/>
    </row>
    <row r="1622" spans="20:23" x14ac:dyDescent="0.25">
      <c r="T1622" s="113"/>
      <c r="U1622" s="111"/>
      <c r="W1622" s="83"/>
    </row>
    <row r="1623" spans="20:23" x14ac:dyDescent="0.25">
      <c r="T1623" s="113"/>
      <c r="U1623" s="111"/>
      <c r="W1623" s="83"/>
    </row>
    <row r="1624" spans="20:23" x14ac:dyDescent="0.25">
      <c r="T1624" s="113"/>
      <c r="U1624" s="111"/>
      <c r="W1624" s="83"/>
    </row>
    <row r="1625" spans="20:23" x14ac:dyDescent="0.25">
      <c r="T1625" s="113"/>
      <c r="U1625" s="111"/>
      <c r="W1625" s="83"/>
    </row>
    <row r="1626" spans="20:23" x14ac:dyDescent="0.25">
      <c r="T1626" s="113"/>
      <c r="U1626" s="111"/>
      <c r="W1626" s="83"/>
    </row>
    <row r="1627" spans="20:23" x14ac:dyDescent="0.25">
      <c r="T1627" s="113"/>
      <c r="U1627" s="111"/>
      <c r="W1627" s="83"/>
    </row>
    <row r="1628" spans="20:23" x14ac:dyDescent="0.25">
      <c r="T1628" s="113"/>
      <c r="U1628" s="111"/>
      <c r="W1628" s="83"/>
    </row>
    <row r="1629" spans="20:23" x14ac:dyDescent="0.25">
      <c r="T1629" s="113"/>
      <c r="U1629" s="111"/>
      <c r="W1629" s="83"/>
    </row>
    <row r="1630" spans="20:23" x14ac:dyDescent="0.25">
      <c r="T1630" s="113"/>
      <c r="U1630" s="111"/>
      <c r="W1630" s="83"/>
    </row>
    <row r="1631" spans="20:23" x14ac:dyDescent="0.25">
      <c r="T1631" s="113"/>
      <c r="U1631" s="111"/>
      <c r="W1631" s="83"/>
    </row>
    <row r="1632" spans="20:23" x14ac:dyDescent="0.25">
      <c r="T1632" s="113"/>
      <c r="U1632" s="111"/>
      <c r="W1632" s="83"/>
    </row>
    <row r="1633" spans="20:23" x14ac:dyDescent="0.25">
      <c r="T1633" s="113"/>
      <c r="U1633" s="111"/>
      <c r="W1633" s="83"/>
    </row>
    <row r="1634" spans="20:23" x14ac:dyDescent="0.25">
      <c r="T1634" s="113"/>
      <c r="U1634" s="111"/>
      <c r="W1634" s="83"/>
    </row>
    <row r="1635" spans="20:23" x14ac:dyDescent="0.25">
      <c r="T1635" s="113"/>
      <c r="U1635" s="111"/>
      <c r="W1635" s="83"/>
    </row>
    <row r="1636" spans="20:23" x14ac:dyDescent="0.25">
      <c r="T1636" s="113"/>
      <c r="U1636" s="111"/>
      <c r="W1636" s="83"/>
    </row>
    <row r="1637" spans="20:23" x14ac:dyDescent="0.25">
      <c r="T1637" s="113"/>
      <c r="U1637" s="111"/>
      <c r="W1637" s="83"/>
    </row>
    <row r="1638" spans="20:23" x14ac:dyDescent="0.25">
      <c r="T1638" s="113"/>
      <c r="U1638" s="111"/>
      <c r="W1638" s="83"/>
    </row>
    <row r="1639" spans="20:23" x14ac:dyDescent="0.25">
      <c r="T1639" s="113"/>
      <c r="U1639" s="111"/>
      <c r="W1639" s="83"/>
    </row>
    <row r="1640" spans="20:23" x14ac:dyDescent="0.25">
      <c r="T1640" s="113"/>
      <c r="U1640" s="111"/>
      <c r="W1640" s="83"/>
    </row>
    <row r="1641" spans="20:23" x14ac:dyDescent="0.25">
      <c r="T1641" s="113"/>
      <c r="U1641" s="111"/>
      <c r="W1641" s="83"/>
    </row>
    <row r="1642" spans="20:23" x14ac:dyDescent="0.25">
      <c r="T1642" s="113"/>
      <c r="U1642" s="111"/>
      <c r="W1642" s="83"/>
    </row>
    <row r="1643" spans="20:23" x14ac:dyDescent="0.25">
      <c r="T1643" s="113"/>
      <c r="U1643" s="111"/>
      <c r="W1643" s="83"/>
    </row>
    <row r="1644" spans="20:23" x14ac:dyDescent="0.25">
      <c r="T1644" s="113"/>
      <c r="U1644" s="111"/>
      <c r="W1644" s="83"/>
    </row>
    <row r="1645" spans="20:23" x14ac:dyDescent="0.25">
      <c r="T1645" s="113"/>
      <c r="U1645" s="111"/>
      <c r="W1645" s="83"/>
    </row>
    <row r="1646" spans="20:23" x14ac:dyDescent="0.25">
      <c r="T1646" s="113"/>
      <c r="U1646" s="111"/>
      <c r="W1646" s="83"/>
    </row>
    <row r="1647" spans="20:23" x14ac:dyDescent="0.25">
      <c r="T1647" s="113"/>
      <c r="U1647" s="111"/>
      <c r="W1647" s="83"/>
    </row>
    <row r="1648" spans="20:23" x14ac:dyDescent="0.25">
      <c r="T1648" s="113"/>
      <c r="U1648" s="111"/>
      <c r="W1648" s="83"/>
    </row>
    <row r="1649" spans="20:23" x14ac:dyDescent="0.25">
      <c r="T1649" s="113"/>
      <c r="U1649" s="111"/>
      <c r="W1649" s="83"/>
    </row>
    <row r="1650" spans="20:23" x14ac:dyDescent="0.25">
      <c r="T1650" s="113"/>
      <c r="U1650" s="111"/>
      <c r="W1650" s="83"/>
    </row>
    <row r="1651" spans="20:23" x14ac:dyDescent="0.25">
      <c r="T1651" s="113"/>
      <c r="U1651" s="111"/>
      <c r="W1651" s="83"/>
    </row>
    <row r="1652" spans="20:23" x14ac:dyDescent="0.25">
      <c r="T1652" s="113"/>
      <c r="U1652" s="111"/>
      <c r="W1652" s="83"/>
    </row>
    <row r="1653" spans="20:23" x14ac:dyDescent="0.25">
      <c r="T1653" s="113"/>
      <c r="U1653" s="111"/>
      <c r="W1653" s="83"/>
    </row>
    <row r="1654" spans="20:23" x14ac:dyDescent="0.25">
      <c r="T1654" s="113"/>
      <c r="U1654" s="111"/>
      <c r="W1654" s="83"/>
    </row>
    <row r="1655" spans="20:23" x14ac:dyDescent="0.25">
      <c r="T1655" s="113"/>
      <c r="U1655" s="111"/>
      <c r="W1655" s="83"/>
    </row>
    <row r="1656" spans="20:23" x14ac:dyDescent="0.25">
      <c r="T1656" s="113"/>
      <c r="U1656" s="111"/>
      <c r="W1656" s="83"/>
    </row>
    <row r="1657" spans="20:23" x14ac:dyDescent="0.25">
      <c r="T1657" s="113"/>
      <c r="U1657" s="111"/>
      <c r="W1657" s="83"/>
    </row>
    <row r="1658" spans="20:23" x14ac:dyDescent="0.25">
      <c r="T1658" s="113"/>
      <c r="U1658" s="111"/>
      <c r="W1658" s="83"/>
    </row>
    <row r="1659" spans="20:23" x14ac:dyDescent="0.25">
      <c r="T1659" s="113"/>
      <c r="U1659" s="111"/>
      <c r="W1659" s="83"/>
    </row>
    <row r="1660" spans="20:23" x14ac:dyDescent="0.25">
      <c r="T1660" s="113"/>
      <c r="U1660" s="111"/>
      <c r="W1660" s="83"/>
    </row>
    <row r="1661" spans="20:23" x14ac:dyDescent="0.25">
      <c r="T1661" s="113"/>
      <c r="U1661" s="111"/>
      <c r="W1661" s="83"/>
    </row>
    <row r="1662" spans="20:23" x14ac:dyDescent="0.25">
      <c r="T1662" s="113"/>
      <c r="U1662" s="111"/>
      <c r="W1662" s="83"/>
    </row>
    <row r="1663" spans="20:23" x14ac:dyDescent="0.25">
      <c r="T1663" s="113"/>
      <c r="U1663" s="111"/>
      <c r="W1663" s="83"/>
    </row>
    <row r="1664" spans="20:23" x14ac:dyDescent="0.25">
      <c r="T1664" s="113"/>
      <c r="U1664" s="111"/>
      <c r="W1664" s="83"/>
    </row>
    <row r="1665" spans="20:23" x14ac:dyDescent="0.25">
      <c r="T1665" s="113"/>
      <c r="U1665" s="111"/>
      <c r="W1665" s="83"/>
    </row>
    <row r="1666" spans="20:23" x14ac:dyDescent="0.25">
      <c r="T1666" s="113"/>
      <c r="U1666" s="111"/>
      <c r="W1666" s="83"/>
    </row>
    <row r="1667" spans="20:23" x14ac:dyDescent="0.25">
      <c r="T1667" s="113"/>
      <c r="U1667" s="111"/>
      <c r="W1667" s="83"/>
    </row>
    <row r="1668" spans="20:23" x14ac:dyDescent="0.25">
      <c r="T1668" s="113"/>
      <c r="U1668" s="111"/>
      <c r="W1668" s="83"/>
    </row>
    <row r="1669" spans="20:23" x14ac:dyDescent="0.25">
      <c r="T1669" s="113"/>
      <c r="U1669" s="111"/>
      <c r="W1669" s="83"/>
    </row>
    <row r="1670" spans="20:23" x14ac:dyDescent="0.25">
      <c r="T1670" s="113"/>
      <c r="U1670" s="111"/>
      <c r="W1670" s="83"/>
    </row>
    <row r="1671" spans="20:23" x14ac:dyDescent="0.25">
      <c r="T1671" s="113"/>
      <c r="U1671" s="111"/>
      <c r="W1671" s="83"/>
    </row>
    <row r="1672" spans="20:23" x14ac:dyDescent="0.25">
      <c r="T1672" s="113"/>
      <c r="U1672" s="111"/>
      <c r="W1672" s="83"/>
    </row>
    <row r="1673" spans="20:23" x14ac:dyDescent="0.25">
      <c r="T1673" s="113"/>
      <c r="U1673" s="111"/>
      <c r="W1673" s="83"/>
    </row>
    <row r="1674" spans="20:23" x14ac:dyDescent="0.25">
      <c r="T1674" s="113"/>
      <c r="U1674" s="111"/>
      <c r="W1674" s="83"/>
    </row>
    <row r="1675" spans="20:23" x14ac:dyDescent="0.25">
      <c r="T1675" s="113"/>
      <c r="U1675" s="111"/>
      <c r="W1675" s="83"/>
    </row>
    <row r="1676" spans="20:23" x14ac:dyDescent="0.25">
      <c r="T1676" s="113"/>
      <c r="U1676" s="111"/>
      <c r="W1676" s="83"/>
    </row>
    <row r="1677" spans="20:23" x14ac:dyDescent="0.25">
      <c r="T1677" s="113"/>
      <c r="U1677" s="111"/>
      <c r="W1677" s="83"/>
    </row>
    <row r="1678" spans="20:23" x14ac:dyDescent="0.25">
      <c r="T1678" s="113"/>
      <c r="U1678" s="111"/>
      <c r="W1678" s="83"/>
    </row>
    <row r="1679" spans="20:23" x14ac:dyDescent="0.25">
      <c r="T1679" s="113"/>
      <c r="U1679" s="111"/>
      <c r="W1679" s="83"/>
    </row>
    <row r="1680" spans="20:23" x14ac:dyDescent="0.25">
      <c r="T1680" s="113"/>
      <c r="U1680" s="111"/>
      <c r="W1680" s="83"/>
    </row>
    <row r="1681" spans="20:23" x14ac:dyDescent="0.25">
      <c r="T1681" s="113"/>
      <c r="U1681" s="111"/>
      <c r="W1681" s="83"/>
    </row>
    <row r="1682" spans="20:23" x14ac:dyDescent="0.25">
      <c r="T1682" s="113"/>
      <c r="U1682" s="111"/>
      <c r="W1682" s="83"/>
    </row>
    <row r="1683" spans="20:23" x14ac:dyDescent="0.25">
      <c r="T1683" s="113"/>
      <c r="U1683" s="111"/>
      <c r="W1683" s="83"/>
    </row>
    <row r="1684" spans="20:23" x14ac:dyDescent="0.25">
      <c r="T1684" s="113"/>
      <c r="U1684" s="111"/>
      <c r="W1684" s="83"/>
    </row>
    <row r="1685" spans="20:23" x14ac:dyDescent="0.25">
      <c r="T1685" s="113"/>
      <c r="U1685" s="111"/>
      <c r="W1685" s="83"/>
    </row>
    <row r="1686" spans="20:23" x14ac:dyDescent="0.25">
      <c r="T1686" s="113"/>
      <c r="U1686" s="111"/>
      <c r="W1686" s="83"/>
    </row>
    <row r="1687" spans="20:23" x14ac:dyDescent="0.25">
      <c r="T1687" s="113"/>
      <c r="U1687" s="111"/>
      <c r="W1687" s="83"/>
    </row>
    <row r="1688" spans="20:23" x14ac:dyDescent="0.25">
      <c r="T1688" s="113"/>
      <c r="U1688" s="111"/>
      <c r="W1688" s="83"/>
    </row>
    <row r="1689" spans="20:23" x14ac:dyDescent="0.25">
      <c r="T1689" s="113"/>
      <c r="U1689" s="111"/>
      <c r="W1689" s="83"/>
    </row>
    <row r="1690" spans="20:23" x14ac:dyDescent="0.25">
      <c r="T1690" s="113"/>
      <c r="U1690" s="111"/>
      <c r="W1690" s="83"/>
    </row>
    <row r="1691" spans="20:23" x14ac:dyDescent="0.25">
      <c r="T1691" s="113"/>
      <c r="U1691" s="111"/>
      <c r="W1691" s="83"/>
    </row>
    <row r="1692" spans="20:23" x14ac:dyDescent="0.25">
      <c r="T1692" s="113"/>
      <c r="U1692" s="111"/>
      <c r="W1692" s="83"/>
    </row>
    <row r="1693" spans="20:23" x14ac:dyDescent="0.25">
      <c r="T1693" s="113"/>
      <c r="U1693" s="111"/>
      <c r="W1693" s="83"/>
    </row>
    <row r="1694" spans="20:23" x14ac:dyDescent="0.25">
      <c r="T1694" s="113"/>
      <c r="U1694" s="111"/>
      <c r="W1694" s="83"/>
    </row>
    <row r="1695" spans="20:23" x14ac:dyDescent="0.25">
      <c r="T1695" s="113"/>
      <c r="U1695" s="111"/>
      <c r="W1695" s="83"/>
    </row>
    <row r="1696" spans="20:23" x14ac:dyDescent="0.25">
      <c r="T1696" s="113"/>
      <c r="U1696" s="111"/>
      <c r="W1696" s="83"/>
    </row>
    <row r="1697" spans="20:23" x14ac:dyDescent="0.25">
      <c r="T1697" s="113"/>
      <c r="U1697" s="111"/>
      <c r="W1697" s="83"/>
    </row>
    <row r="1698" spans="20:23" x14ac:dyDescent="0.25">
      <c r="T1698" s="113"/>
      <c r="U1698" s="111"/>
      <c r="W1698" s="83"/>
    </row>
    <row r="1699" spans="20:23" x14ac:dyDescent="0.25">
      <c r="T1699" s="113"/>
      <c r="U1699" s="111"/>
      <c r="W1699" s="83"/>
    </row>
    <row r="1700" spans="20:23" x14ac:dyDescent="0.25">
      <c r="T1700" s="113"/>
      <c r="U1700" s="111"/>
      <c r="W1700" s="83"/>
    </row>
    <row r="1701" spans="20:23" x14ac:dyDescent="0.25">
      <c r="T1701" s="113"/>
      <c r="U1701" s="111"/>
      <c r="W1701" s="83"/>
    </row>
    <row r="1702" spans="20:23" x14ac:dyDescent="0.25">
      <c r="T1702" s="113"/>
      <c r="U1702" s="111"/>
      <c r="W1702" s="83"/>
    </row>
    <row r="1703" spans="20:23" x14ac:dyDescent="0.25">
      <c r="T1703" s="113"/>
      <c r="U1703" s="111"/>
      <c r="W1703" s="83"/>
    </row>
    <row r="1704" spans="20:23" x14ac:dyDescent="0.25">
      <c r="T1704" s="113"/>
      <c r="U1704" s="111"/>
      <c r="W1704" s="83"/>
    </row>
    <row r="1705" spans="20:23" x14ac:dyDescent="0.25">
      <c r="T1705" s="113"/>
      <c r="U1705" s="111"/>
      <c r="W1705" s="83"/>
    </row>
    <row r="1706" spans="20:23" x14ac:dyDescent="0.25">
      <c r="T1706" s="113"/>
      <c r="U1706" s="111"/>
      <c r="W1706" s="83"/>
    </row>
    <row r="1707" spans="20:23" x14ac:dyDescent="0.25">
      <c r="T1707" s="113"/>
      <c r="U1707" s="111"/>
      <c r="W1707" s="83"/>
    </row>
    <row r="1708" spans="20:23" x14ac:dyDescent="0.25">
      <c r="T1708" s="113"/>
      <c r="U1708" s="111"/>
      <c r="W1708" s="83"/>
    </row>
    <row r="1709" spans="20:23" x14ac:dyDescent="0.25">
      <c r="T1709" s="113"/>
      <c r="U1709" s="111"/>
      <c r="W1709" s="83"/>
    </row>
    <row r="1710" spans="20:23" x14ac:dyDescent="0.25">
      <c r="T1710" s="113"/>
      <c r="U1710" s="111"/>
      <c r="W1710" s="83"/>
    </row>
    <row r="1711" spans="20:23" x14ac:dyDescent="0.25">
      <c r="T1711" s="113"/>
      <c r="U1711" s="111"/>
      <c r="W1711" s="83"/>
    </row>
    <row r="1712" spans="20:23" x14ac:dyDescent="0.25">
      <c r="T1712" s="113"/>
      <c r="U1712" s="111"/>
      <c r="W1712" s="83"/>
    </row>
    <row r="1713" spans="20:23" x14ac:dyDescent="0.25">
      <c r="T1713" s="113"/>
      <c r="U1713" s="111"/>
      <c r="W1713" s="83"/>
    </row>
    <row r="1714" spans="20:23" x14ac:dyDescent="0.25">
      <c r="T1714" s="113"/>
      <c r="U1714" s="111"/>
      <c r="W1714" s="83"/>
    </row>
    <row r="1715" spans="20:23" x14ac:dyDescent="0.25">
      <c r="T1715" s="113"/>
      <c r="U1715" s="111"/>
      <c r="W1715" s="83"/>
    </row>
    <row r="1716" spans="20:23" x14ac:dyDescent="0.25">
      <c r="T1716" s="113"/>
      <c r="U1716" s="111"/>
      <c r="W1716" s="83"/>
    </row>
    <row r="1717" spans="20:23" x14ac:dyDescent="0.25">
      <c r="T1717" s="113"/>
      <c r="U1717" s="111"/>
      <c r="W1717" s="83"/>
    </row>
    <row r="1718" spans="20:23" x14ac:dyDescent="0.25">
      <c r="T1718" s="113"/>
      <c r="U1718" s="111"/>
      <c r="W1718" s="83"/>
    </row>
    <row r="1719" spans="20:23" x14ac:dyDescent="0.25">
      <c r="T1719" s="113"/>
      <c r="U1719" s="111"/>
      <c r="W1719" s="83"/>
    </row>
    <row r="1720" spans="20:23" x14ac:dyDescent="0.25">
      <c r="T1720" s="113"/>
      <c r="U1720" s="111"/>
      <c r="W1720" s="83"/>
    </row>
    <row r="1721" spans="20:23" x14ac:dyDescent="0.25">
      <c r="T1721" s="113"/>
      <c r="U1721" s="111"/>
      <c r="W1721" s="83"/>
    </row>
    <row r="1722" spans="20:23" x14ac:dyDescent="0.25">
      <c r="T1722" s="113"/>
      <c r="U1722" s="111"/>
      <c r="W1722" s="83"/>
    </row>
    <row r="1723" spans="20:23" x14ac:dyDescent="0.25">
      <c r="T1723" s="113"/>
      <c r="U1723" s="111"/>
      <c r="W1723" s="83"/>
    </row>
    <row r="1724" spans="20:23" x14ac:dyDescent="0.25">
      <c r="T1724" s="113"/>
      <c r="U1724" s="111"/>
      <c r="W1724" s="83"/>
    </row>
    <row r="1725" spans="20:23" x14ac:dyDescent="0.25">
      <c r="T1725" s="113"/>
      <c r="U1725" s="111"/>
      <c r="W1725" s="83"/>
    </row>
    <row r="1726" spans="20:23" x14ac:dyDescent="0.25">
      <c r="T1726" s="113"/>
      <c r="U1726" s="111"/>
      <c r="W1726" s="83"/>
    </row>
    <row r="1727" spans="20:23" x14ac:dyDescent="0.25">
      <c r="T1727" s="113"/>
      <c r="U1727" s="111"/>
      <c r="W1727" s="83"/>
    </row>
    <row r="1728" spans="20:23" x14ac:dyDescent="0.25">
      <c r="T1728" s="113"/>
      <c r="U1728" s="111"/>
      <c r="W1728" s="83"/>
    </row>
    <row r="1729" spans="20:23" x14ac:dyDescent="0.25">
      <c r="T1729" s="113"/>
      <c r="U1729" s="111"/>
      <c r="W1729" s="83"/>
    </row>
    <row r="1730" spans="20:23" x14ac:dyDescent="0.25">
      <c r="T1730" s="113"/>
      <c r="U1730" s="111"/>
      <c r="W1730" s="83"/>
    </row>
    <row r="1731" spans="20:23" x14ac:dyDescent="0.25">
      <c r="T1731" s="113"/>
      <c r="U1731" s="111"/>
      <c r="W1731" s="83"/>
    </row>
    <row r="1732" spans="20:23" x14ac:dyDescent="0.25">
      <c r="T1732" s="113"/>
      <c r="U1732" s="111"/>
      <c r="W1732" s="83"/>
    </row>
    <row r="1733" spans="20:23" x14ac:dyDescent="0.25">
      <c r="T1733" s="113"/>
      <c r="U1733" s="111"/>
      <c r="W1733" s="83"/>
    </row>
    <row r="1734" spans="20:23" x14ac:dyDescent="0.25">
      <c r="T1734" s="113"/>
      <c r="U1734" s="111"/>
      <c r="W1734" s="83"/>
    </row>
    <row r="1735" spans="20:23" x14ac:dyDescent="0.25">
      <c r="T1735" s="113"/>
      <c r="U1735" s="111"/>
      <c r="W1735" s="83"/>
    </row>
    <row r="1736" spans="20:23" x14ac:dyDescent="0.25">
      <c r="T1736" s="113"/>
      <c r="U1736" s="111"/>
      <c r="W1736" s="83"/>
    </row>
    <row r="1737" spans="20:23" x14ac:dyDescent="0.25">
      <c r="T1737" s="113"/>
      <c r="U1737" s="111"/>
      <c r="W1737" s="83"/>
    </row>
    <row r="1738" spans="20:23" x14ac:dyDescent="0.25">
      <c r="T1738" s="113"/>
      <c r="U1738" s="111"/>
      <c r="W1738" s="83"/>
    </row>
    <row r="1739" spans="20:23" x14ac:dyDescent="0.25">
      <c r="T1739" s="113"/>
      <c r="U1739" s="111"/>
      <c r="W1739" s="83"/>
    </row>
    <row r="1740" spans="20:23" x14ac:dyDescent="0.25">
      <c r="T1740" s="113"/>
      <c r="U1740" s="111"/>
      <c r="W1740" s="83"/>
    </row>
    <row r="1741" spans="20:23" x14ac:dyDescent="0.25">
      <c r="T1741" s="113"/>
      <c r="U1741" s="111"/>
      <c r="W1741" s="83"/>
    </row>
    <row r="1742" spans="20:23" x14ac:dyDescent="0.25">
      <c r="T1742" s="113"/>
      <c r="U1742" s="111"/>
      <c r="W1742" s="83"/>
    </row>
    <row r="1743" spans="20:23" x14ac:dyDescent="0.25">
      <c r="T1743" s="113"/>
      <c r="U1743" s="111"/>
      <c r="W1743" s="83"/>
    </row>
    <row r="1744" spans="20:23" x14ac:dyDescent="0.25">
      <c r="T1744" s="113"/>
      <c r="U1744" s="111"/>
      <c r="W1744" s="83"/>
    </row>
    <row r="1745" spans="20:23" x14ac:dyDescent="0.25">
      <c r="T1745" s="113"/>
      <c r="U1745" s="111"/>
      <c r="W1745" s="83"/>
    </row>
    <row r="1746" spans="20:23" x14ac:dyDescent="0.25">
      <c r="T1746" s="113"/>
      <c r="U1746" s="111"/>
      <c r="W1746" s="83"/>
    </row>
    <row r="1747" spans="20:23" x14ac:dyDescent="0.25">
      <c r="T1747" s="113"/>
      <c r="U1747" s="111"/>
      <c r="W1747" s="83"/>
    </row>
    <row r="1748" spans="20:23" x14ac:dyDescent="0.25">
      <c r="T1748" s="113"/>
      <c r="U1748" s="111"/>
      <c r="W1748" s="83"/>
    </row>
    <row r="1749" spans="20:23" x14ac:dyDescent="0.25">
      <c r="T1749" s="113"/>
      <c r="U1749" s="111"/>
      <c r="W1749" s="83"/>
    </row>
    <row r="1750" spans="20:23" x14ac:dyDescent="0.25">
      <c r="T1750" s="113"/>
      <c r="U1750" s="111"/>
      <c r="W1750" s="83"/>
    </row>
    <row r="1751" spans="20:23" x14ac:dyDescent="0.25">
      <c r="T1751" s="113"/>
      <c r="U1751" s="111"/>
      <c r="W1751" s="83"/>
    </row>
    <row r="1752" spans="20:23" x14ac:dyDescent="0.25">
      <c r="T1752" s="113"/>
      <c r="U1752" s="111"/>
      <c r="W1752" s="83"/>
    </row>
    <row r="1753" spans="20:23" x14ac:dyDescent="0.25">
      <c r="T1753" s="113"/>
      <c r="U1753" s="111"/>
      <c r="W1753" s="83"/>
    </row>
    <row r="1754" spans="20:23" x14ac:dyDescent="0.25">
      <c r="T1754" s="113"/>
      <c r="U1754" s="111"/>
      <c r="W1754" s="83"/>
    </row>
    <row r="1755" spans="20:23" x14ac:dyDescent="0.25">
      <c r="T1755" s="113"/>
      <c r="U1755" s="111"/>
      <c r="W1755" s="83"/>
    </row>
    <row r="1756" spans="20:23" x14ac:dyDescent="0.25">
      <c r="T1756" s="113"/>
      <c r="U1756" s="111"/>
      <c r="W1756" s="83"/>
    </row>
    <row r="1757" spans="20:23" x14ac:dyDescent="0.25">
      <c r="T1757" s="113"/>
      <c r="U1757" s="111"/>
      <c r="W1757" s="83"/>
    </row>
    <row r="1758" spans="20:23" x14ac:dyDescent="0.25">
      <c r="T1758" s="113"/>
      <c r="U1758" s="111"/>
      <c r="W1758" s="83"/>
    </row>
    <row r="1759" spans="20:23" x14ac:dyDescent="0.25">
      <c r="T1759" s="113"/>
      <c r="U1759" s="111"/>
      <c r="W1759" s="83"/>
    </row>
    <row r="1760" spans="20:23" x14ac:dyDescent="0.25">
      <c r="T1760" s="113"/>
      <c r="U1760" s="111"/>
      <c r="W1760" s="83"/>
    </row>
    <row r="1761" spans="20:23" x14ac:dyDescent="0.25">
      <c r="T1761" s="113"/>
      <c r="U1761" s="111"/>
      <c r="W1761" s="83"/>
    </row>
    <row r="1762" spans="20:23" x14ac:dyDescent="0.25">
      <c r="T1762" s="113"/>
      <c r="U1762" s="111"/>
      <c r="W1762" s="83"/>
    </row>
    <row r="1763" spans="20:23" x14ac:dyDescent="0.25">
      <c r="T1763" s="113"/>
      <c r="U1763" s="111"/>
      <c r="W1763" s="83"/>
    </row>
    <row r="1764" spans="20:23" x14ac:dyDescent="0.25">
      <c r="T1764" s="113"/>
      <c r="U1764" s="111"/>
      <c r="W1764" s="83"/>
    </row>
    <row r="1765" spans="20:23" x14ac:dyDescent="0.25">
      <c r="T1765" s="113"/>
      <c r="U1765" s="111"/>
      <c r="W1765" s="83"/>
    </row>
    <row r="1766" spans="20:23" x14ac:dyDescent="0.25">
      <c r="T1766" s="113"/>
      <c r="U1766" s="111"/>
      <c r="W1766" s="83"/>
    </row>
    <row r="1767" spans="20:23" x14ac:dyDescent="0.25">
      <c r="T1767" s="113"/>
      <c r="U1767" s="111"/>
      <c r="W1767" s="83"/>
    </row>
    <row r="1768" spans="20:23" x14ac:dyDescent="0.25">
      <c r="T1768" s="113"/>
      <c r="U1768" s="111"/>
      <c r="W1768" s="83"/>
    </row>
    <row r="1769" spans="20:23" x14ac:dyDescent="0.25">
      <c r="T1769" s="113"/>
      <c r="U1769" s="111"/>
      <c r="W1769" s="83"/>
    </row>
    <row r="1770" spans="20:23" x14ac:dyDescent="0.25">
      <c r="T1770" s="113"/>
      <c r="U1770" s="111"/>
      <c r="W1770" s="83"/>
    </row>
    <row r="1771" spans="20:23" x14ac:dyDescent="0.25">
      <c r="T1771" s="113"/>
      <c r="U1771" s="111"/>
      <c r="W1771" s="83"/>
    </row>
    <row r="1772" spans="20:23" x14ac:dyDescent="0.25">
      <c r="T1772" s="113"/>
      <c r="U1772" s="111"/>
      <c r="W1772" s="83"/>
    </row>
    <row r="1773" spans="20:23" x14ac:dyDescent="0.25">
      <c r="T1773" s="113"/>
      <c r="U1773" s="111"/>
      <c r="W1773" s="83"/>
    </row>
    <row r="1774" spans="20:23" x14ac:dyDescent="0.25">
      <c r="T1774" s="113"/>
      <c r="U1774" s="111"/>
      <c r="W1774" s="83"/>
    </row>
    <row r="1775" spans="20:23" x14ac:dyDescent="0.25">
      <c r="T1775" s="113"/>
      <c r="U1775" s="111"/>
      <c r="W1775" s="83"/>
    </row>
    <row r="1776" spans="20:23" x14ac:dyDescent="0.25">
      <c r="T1776" s="113"/>
      <c r="U1776" s="111"/>
      <c r="W1776" s="83"/>
    </row>
    <row r="1777" spans="20:23" x14ac:dyDescent="0.25">
      <c r="T1777" s="113"/>
      <c r="U1777" s="111"/>
      <c r="W1777" s="83"/>
    </row>
    <row r="1778" spans="20:23" x14ac:dyDescent="0.25">
      <c r="T1778" s="113"/>
      <c r="U1778" s="111"/>
      <c r="W1778" s="83"/>
    </row>
    <row r="1779" spans="20:23" x14ac:dyDescent="0.25">
      <c r="T1779" s="113"/>
      <c r="U1779" s="111"/>
      <c r="W1779" s="83"/>
    </row>
    <row r="1780" spans="20:23" x14ac:dyDescent="0.25">
      <c r="T1780" s="113"/>
      <c r="U1780" s="111"/>
      <c r="W1780" s="83"/>
    </row>
    <row r="1781" spans="20:23" x14ac:dyDescent="0.25">
      <c r="T1781" s="113"/>
      <c r="U1781" s="111"/>
      <c r="W1781" s="83"/>
    </row>
    <row r="1782" spans="20:23" x14ac:dyDescent="0.25">
      <c r="T1782" s="113"/>
      <c r="U1782" s="111"/>
      <c r="W1782" s="83"/>
    </row>
    <row r="1783" spans="20:23" x14ac:dyDescent="0.25">
      <c r="T1783" s="113"/>
      <c r="U1783" s="111"/>
      <c r="W1783" s="83"/>
    </row>
    <row r="1784" spans="20:23" x14ac:dyDescent="0.25">
      <c r="T1784" s="113"/>
      <c r="U1784" s="111"/>
      <c r="W1784" s="83"/>
    </row>
    <row r="1785" spans="20:23" x14ac:dyDescent="0.25">
      <c r="T1785" s="113"/>
      <c r="U1785" s="111"/>
      <c r="W1785" s="83"/>
    </row>
    <row r="1786" spans="20:23" x14ac:dyDescent="0.25">
      <c r="T1786" s="113"/>
      <c r="U1786" s="111"/>
      <c r="W1786" s="83"/>
    </row>
    <row r="1787" spans="20:23" x14ac:dyDescent="0.25">
      <c r="T1787" s="113"/>
      <c r="U1787" s="111"/>
      <c r="W1787" s="83"/>
    </row>
    <row r="1788" spans="20:23" x14ac:dyDescent="0.25">
      <c r="T1788" s="113"/>
      <c r="U1788" s="111"/>
      <c r="W1788" s="83"/>
    </row>
    <row r="1789" spans="20:23" x14ac:dyDescent="0.25">
      <c r="T1789" s="113"/>
      <c r="U1789" s="111"/>
      <c r="W1789" s="83"/>
    </row>
    <row r="1790" spans="20:23" x14ac:dyDescent="0.25">
      <c r="T1790" s="113"/>
      <c r="U1790" s="111"/>
      <c r="W1790" s="83"/>
    </row>
    <row r="1791" spans="20:23" x14ac:dyDescent="0.25">
      <c r="T1791" s="113"/>
      <c r="U1791" s="111"/>
      <c r="W1791" s="83"/>
    </row>
    <row r="1792" spans="20:23" x14ac:dyDescent="0.25">
      <c r="T1792" s="113"/>
      <c r="U1792" s="111"/>
      <c r="W1792" s="83"/>
    </row>
    <row r="1793" spans="20:23" x14ac:dyDescent="0.25">
      <c r="T1793" s="113"/>
      <c r="U1793" s="111"/>
      <c r="W1793" s="83"/>
    </row>
    <row r="1794" spans="20:23" x14ac:dyDescent="0.25">
      <c r="T1794" s="113"/>
      <c r="U1794" s="111"/>
      <c r="W1794" s="83"/>
    </row>
    <row r="1795" spans="20:23" x14ac:dyDescent="0.25">
      <c r="T1795" s="113"/>
      <c r="U1795" s="111"/>
      <c r="W1795" s="83"/>
    </row>
    <row r="1796" spans="20:23" x14ac:dyDescent="0.25">
      <c r="T1796" s="113"/>
      <c r="U1796" s="111"/>
      <c r="W1796" s="83"/>
    </row>
    <row r="1797" spans="20:23" x14ac:dyDescent="0.25">
      <c r="T1797" s="113"/>
      <c r="U1797" s="111"/>
      <c r="W1797" s="83"/>
    </row>
    <row r="1798" spans="20:23" x14ac:dyDescent="0.25">
      <c r="T1798" s="113"/>
      <c r="U1798" s="111"/>
      <c r="W1798" s="83"/>
    </row>
    <row r="1799" spans="20:23" x14ac:dyDescent="0.25">
      <c r="T1799" s="113"/>
      <c r="U1799" s="111"/>
      <c r="W1799" s="83"/>
    </row>
    <row r="1800" spans="20:23" x14ac:dyDescent="0.25">
      <c r="T1800" s="113"/>
      <c r="U1800" s="111"/>
      <c r="W1800" s="83"/>
    </row>
    <row r="1801" spans="20:23" x14ac:dyDescent="0.25">
      <c r="T1801" s="113"/>
      <c r="U1801" s="111"/>
      <c r="W1801" s="83"/>
    </row>
    <row r="1802" spans="20:23" x14ac:dyDescent="0.25">
      <c r="T1802" s="113"/>
      <c r="U1802" s="111"/>
      <c r="W1802" s="83"/>
    </row>
    <row r="1803" spans="20:23" x14ac:dyDescent="0.25">
      <c r="T1803" s="113"/>
      <c r="U1803" s="111"/>
      <c r="W1803" s="83"/>
    </row>
    <row r="1804" spans="20:23" x14ac:dyDescent="0.25">
      <c r="T1804" s="113"/>
      <c r="U1804" s="111"/>
      <c r="W1804" s="83"/>
    </row>
    <row r="1805" spans="20:23" x14ac:dyDescent="0.25">
      <c r="T1805" s="113"/>
      <c r="U1805" s="111"/>
      <c r="W1805" s="83"/>
    </row>
    <row r="1806" spans="20:23" x14ac:dyDescent="0.25">
      <c r="T1806" s="113"/>
      <c r="U1806" s="111"/>
      <c r="W1806" s="83"/>
    </row>
    <row r="1807" spans="20:23" x14ac:dyDescent="0.25">
      <c r="T1807" s="113"/>
      <c r="U1807" s="111"/>
      <c r="W1807" s="83"/>
    </row>
    <row r="1808" spans="20:23" x14ac:dyDescent="0.25">
      <c r="T1808" s="113"/>
      <c r="U1808" s="111"/>
      <c r="W1808" s="83"/>
    </row>
    <row r="1809" spans="20:23" x14ac:dyDescent="0.25">
      <c r="T1809" s="113"/>
      <c r="U1809" s="111"/>
      <c r="W1809" s="83"/>
    </row>
    <row r="1810" spans="20:23" x14ac:dyDescent="0.25">
      <c r="T1810" s="113"/>
      <c r="U1810" s="111"/>
      <c r="W1810" s="83"/>
    </row>
    <row r="1811" spans="20:23" x14ac:dyDescent="0.25">
      <c r="T1811" s="113"/>
      <c r="U1811" s="111"/>
      <c r="W1811" s="83"/>
    </row>
    <row r="1812" spans="20:23" x14ac:dyDescent="0.25">
      <c r="T1812" s="113"/>
      <c r="U1812" s="111"/>
      <c r="W1812" s="83"/>
    </row>
    <row r="1813" spans="20:23" x14ac:dyDescent="0.25">
      <c r="T1813" s="113"/>
      <c r="U1813" s="111"/>
      <c r="W1813" s="83"/>
    </row>
    <row r="1814" spans="20:23" x14ac:dyDescent="0.25">
      <c r="T1814" s="113"/>
      <c r="U1814" s="111"/>
      <c r="W1814" s="83"/>
    </row>
    <row r="1815" spans="20:23" x14ac:dyDescent="0.25">
      <c r="T1815" s="113"/>
      <c r="U1815" s="111"/>
      <c r="W1815" s="83"/>
    </row>
    <row r="1816" spans="20:23" x14ac:dyDescent="0.25">
      <c r="T1816" s="113"/>
      <c r="U1816" s="111"/>
      <c r="W1816" s="83"/>
    </row>
    <row r="1817" spans="20:23" x14ac:dyDescent="0.25">
      <c r="T1817" s="113"/>
      <c r="U1817" s="111"/>
      <c r="W1817" s="83"/>
    </row>
    <row r="1818" spans="20:23" x14ac:dyDescent="0.25">
      <c r="T1818" s="113"/>
      <c r="U1818" s="111"/>
      <c r="W1818" s="83"/>
    </row>
    <row r="1819" spans="20:23" x14ac:dyDescent="0.25">
      <c r="T1819" s="113"/>
      <c r="U1819" s="111"/>
      <c r="W1819" s="83"/>
    </row>
    <row r="1820" spans="20:23" x14ac:dyDescent="0.25">
      <c r="T1820" s="113"/>
      <c r="U1820" s="111"/>
      <c r="W1820" s="83"/>
    </row>
    <row r="1821" spans="20:23" x14ac:dyDescent="0.25">
      <c r="T1821" s="113"/>
      <c r="U1821" s="111"/>
      <c r="W1821" s="83"/>
    </row>
    <row r="1822" spans="20:23" x14ac:dyDescent="0.25">
      <c r="T1822" s="113"/>
      <c r="U1822" s="111"/>
      <c r="W1822" s="83"/>
    </row>
    <row r="1823" spans="20:23" x14ac:dyDescent="0.25">
      <c r="T1823" s="113"/>
      <c r="U1823" s="111"/>
      <c r="W1823" s="83"/>
    </row>
    <row r="1824" spans="20:23" x14ac:dyDescent="0.25">
      <c r="T1824" s="113"/>
      <c r="U1824" s="111"/>
      <c r="W1824" s="83"/>
    </row>
    <row r="1825" spans="20:23" x14ac:dyDescent="0.25">
      <c r="T1825" s="113"/>
      <c r="U1825" s="111"/>
      <c r="W1825" s="83"/>
    </row>
    <row r="1826" spans="20:23" x14ac:dyDescent="0.25">
      <c r="T1826" s="113"/>
      <c r="U1826" s="111"/>
      <c r="W1826" s="83"/>
    </row>
    <row r="1827" spans="20:23" x14ac:dyDescent="0.25">
      <c r="T1827" s="113"/>
      <c r="U1827" s="111"/>
      <c r="W1827" s="83"/>
    </row>
    <row r="1828" spans="20:23" x14ac:dyDescent="0.25">
      <c r="T1828" s="113"/>
      <c r="U1828" s="111"/>
      <c r="W1828" s="83"/>
    </row>
    <row r="1829" spans="20:23" x14ac:dyDescent="0.25">
      <c r="T1829" s="113"/>
      <c r="U1829" s="111"/>
      <c r="W1829" s="83"/>
    </row>
    <row r="1830" spans="20:23" x14ac:dyDescent="0.25">
      <c r="T1830" s="113"/>
      <c r="U1830" s="111"/>
      <c r="W1830" s="83"/>
    </row>
    <row r="1831" spans="20:23" x14ac:dyDescent="0.25">
      <c r="T1831" s="113"/>
      <c r="U1831" s="111"/>
      <c r="W1831" s="83"/>
    </row>
    <row r="1832" spans="20:23" x14ac:dyDescent="0.25">
      <c r="T1832" s="113"/>
      <c r="U1832" s="111"/>
      <c r="W1832" s="83"/>
    </row>
    <row r="1833" spans="20:23" x14ac:dyDescent="0.25">
      <c r="T1833" s="113"/>
      <c r="U1833" s="111"/>
      <c r="W1833" s="83"/>
    </row>
    <row r="1834" spans="20:23" x14ac:dyDescent="0.25">
      <c r="T1834" s="113"/>
      <c r="U1834" s="111"/>
      <c r="W1834" s="83"/>
    </row>
    <row r="1835" spans="20:23" x14ac:dyDescent="0.25">
      <c r="T1835" s="113"/>
      <c r="U1835" s="111"/>
      <c r="W1835" s="83"/>
    </row>
    <row r="1836" spans="20:23" x14ac:dyDescent="0.25">
      <c r="T1836" s="113"/>
      <c r="U1836" s="111"/>
      <c r="W1836" s="83"/>
    </row>
    <row r="1837" spans="20:23" x14ac:dyDescent="0.25">
      <c r="T1837" s="113"/>
      <c r="U1837" s="111"/>
      <c r="W1837" s="83"/>
    </row>
    <row r="1838" spans="20:23" x14ac:dyDescent="0.25">
      <c r="T1838" s="113"/>
      <c r="U1838" s="111"/>
      <c r="W1838" s="83"/>
    </row>
    <row r="1839" spans="20:23" x14ac:dyDescent="0.25">
      <c r="T1839" s="113"/>
      <c r="U1839" s="111"/>
      <c r="W1839" s="83"/>
    </row>
    <row r="1840" spans="20:23" x14ac:dyDescent="0.25">
      <c r="T1840" s="113"/>
      <c r="U1840" s="111"/>
      <c r="W1840" s="83"/>
    </row>
    <row r="1841" spans="20:23" x14ac:dyDescent="0.25">
      <c r="T1841" s="113"/>
      <c r="U1841" s="111"/>
      <c r="W1841" s="83"/>
    </row>
    <row r="1842" spans="20:23" x14ac:dyDescent="0.25">
      <c r="T1842" s="113"/>
      <c r="U1842" s="111"/>
      <c r="W1842" s="83"/>
    </row>
    <row r="1843" spans="20:23" x14ac:dyDescent="0.25">
      <c r="T1843" s="113"/>
      <c r="U1843" s="111"/>
      <c r="W1843" s="83"/>
    </row>
    <row r="1844" spans="20:23" x14ac:dyDescent="0.25">
      <c r="T1844" s="113"/>
      <c r="U1844" s="111"/>
      <c r="W1844" s="83"/>
    </row>
    <row r="1845" spans="20:23" x14ac:dyDescent="0.25">
      <c r="T1845" s="113"/>
      <c r="U1845" s="111"/>
      <c r="W1845" s="83"/>
    </row>
    <row r="1846" spans="20:23" x14ac:dyDescent="0.25">
      <c r="T1846" s="113"/>
      <c r="U1846" s="111"/>
      <c r="W1846" s="83"/>
    </row>
    <row r="1847" spans="20:23" x14ac:dyDescent="0.25">
      <c r="T1847" s="113"/>
      <c r="U1847" s="111"/>
      <c r="W1847" s="83"/>
    </row>
    <row r="1848" spans="20:23" x14ac:dyDescent="0.25">
      <c r="T1848" s="113"/>
      <c r="U1848" s="111"/>
      <c r="W1848" s="83"/>
    </row>
    <row r="1849" spans="20:23" x14ac:dyDescent="0.25">
      <c r="T1849" s="113"/>
      <c r="U1849" s="111"/>
      <c r="W1849" s="83"/>
    </row>
    <row r="1850" spans="20:23" x14ac:dyDescent="0.25">
      <c r="T1850" s="113"/>
      <c r="U1850" s="111"/>
      <c r="W1850" s="83"/>
    </row>
    <row r="1851" spans="20:23" x14ac:dyDescent="0.25">
      <c r="T1851" s="113"/>
      <c r="U1851" s="111"/>
      <c r="W1851" s="83"/>
    </row>
    <row r="1852" spans="20:23" x14ac:dyDescent="0.25">
      <c r="T1852" s="113"/>
      <c r="U1852" s="111"/>
      <c r="W1852" s="83"/>
    </row>
    <row r="1853" spans="20:23" x14ac:dyDescent="0.25">
      <c r="T1853" s="113"/>
      <c r="U1853" s="111"/>
      <c r="W1853" s="83"/>
    </row>
    <row r="1854" spans="20:23" x14ac:dyDescent="0.25">
      <c r="T1854" s="113"/>
      <c r="U1854" s="111"/>
      <c r="W1854" s="83"/>
    </row>
    <row r="1855" spans="20:23" x14ac:dyDescent="0.25">
      <c r="T1855" s="113"/>
      <c r="U1855" s="111"/>
      <c r="W1855" s="83"/>
    </row>
    <row r="1856" spans="20:23" x14ac:dyDescent="0.25">
      <c r="T1856" s="113"/>
      <c r="U1856" s="111"/>
      <c r="W1856" s="83"/>
    </row>
    <row r="1857" spans="20:23" x14ac:dyDescent="0.25">
      <c r="T1857" s="113"/>
      <c r="U1857" s="111"/>
      <c r="W1857" s="83"/>
    </row>
    <row r="1858" spans="20:23" x14ac:dyDescent="0.25">
      <c r="T1858" s="113"/>
      <c r="U1858" s="111"/>
      <c r="W1858" s="83"/>
    </row>
    <row r="1859" spans="20:23" x14ac:dyDescent="0.25">
      <c r="T1859" s="113"/>
      <c r="U1859" s="111"/>
      <c r="W1859" s="83"/>
    </row>
    <row r="1860" spans="20:23" x14ac:dyDescent="0.25">
      <c r="T1860" s="113"/>
      <c r="U1860" s="111"/>
      <c r="W1860" s="83"/>
    </row>
    <row r="1861" spans="20:23" x14ac:dyDescent="0.25">
      <c r="T1861" s="113"/>
      <c r="U1861" s="111"/>
      <c r="W1861" s="83"/>
    </row>
    <row r="1862" spans="20:23" x14ac:dyDescent="0.25">
      <c r="T1862" s="113"/>
      <c r="U1862" s="111"/>
      <c r="W1862" s="83"/>
    </row>
    <row r="1863" spans="20:23" x14ac:dyDescent="0.25">
      <c r="T1863" s="113"/>
      <c r="U1863" s="111"/>
      <c r="W1863" s="83"/>
    </row>
    <row r="1864" spans="20:23" x14ac:dyDescent="0.25">
      <c r="T1864" s="113"/>
      <c r="U1864" s="111"/>
      <c r="W1864" s="83"/>
    </row>
    <row r="1865" spans="20:23" x14ac:dyDescent="0.25">
      <c r="T1865" s="113"/>
      <c r="U1865" s="111"/>
      <c r="W1865" s="83"/>
    </row>
    <row r="1866" spans="20:23" x14ac:dyDescent="0.25">
      <c r="T1866" s="113"/>
      <c r="U1866" s="111"/>
      <c r="W1866" s="83"/>
    </row>
    <row r="1867" spans="20:23" x14ac:dyDescent="0.25">
      <c r="T1867" s="113"/>
      <c r="U1867" s="111"/>
      <c r="W1867" s="83"/>
    </row>
    <row r="1868" spans="20:23" x14ac:dyDescent="0.25">
      <c r="T1868" s="113"/>
      <c r="U1868" s="111"/>
      <c r="W1868" s="83"/>
    </row>
    <row r="1869" spans="20:23" x14ac:dyDescent="0.25">
      <c r="T1869" s="113"/>
      <c r="U1869" s="111"/>
      <c r="W1869" s="83"/>
    </row>
    <row r="1870" spans="20:23" x14ac:dyDescent="0.25">
      <c r="T1870" s="113"/>
      <c r="U1870" s="111"/>
      <c r="W1870" s="83"/>
    </row>
    <row r="1871" spans="20:23" x14ac:dyDescent="0.25">
      <c r="T1871" s="113"/>
      <c r="U1871" s="111"/>
      <c r="W1871" s="83"/>
    </row>
    <row r="1872" spans="20:23" x14ac:dyDescent="0.25">
      <c r="T1872" s="113"/>
      <c r="U1872" s="111"/>
      <c r="W1872" s="83"/>
    </row>
    <row r="1873" spans="20:23" x14ac:dyDescent="0.25">
      <c r="T1873" s="113"/>
      <c r="U1873" s="111"/>
      <c r="W1873" s="83"/>
    </row>
    <row r="1874" spans="20:23" x14ac:dyDescent="0.25">
      <c r="T1874" s="113"/>
      <c r="U1874" s="111"/>
      <c r="W1874" s="83"/>
    </row>
    <row r="1875" spans="20:23" x14ac:dyDescent="0.25">
      <c r="T1875" s="113"/>
      <c r="U1875" s="111"/>
      <c r="W1875" s="83"/>
    </row>
    <row r="1876" spans="20:23" x14ac:dyDescent="0.25">
      <c r="T1876" s="113"/>
      <c r="U1876" s="111"/>
      <c r="W1876" s="83"/>
    </row>
    <row r="1877" spans="20:23" x14ac:dyDescent="0.25">
      <c r="T1877" s="113"/>
      <c r="U1877" s="111"/>
      <c r="W1877" s="83"/>
    </row>
    <row r="1878" spans="20:23" x14ac:dyDescent="0.25">
      <c r="T1878" s="113"/>
      <c r="U1878" s="111"/>
      <c r="W1878" s="83"/>
    </row>
    <row r="1879" spans="20:23" x14ac:dyDescent="0.25">
      <c r="T1879" s="113"/>
      <c r="U1879" s="111"/>
      <c r="W1879" s="83"/>
    </row>
    <row r="1880" spans="20:23" x14ac:dyDescent="0.25">
      <c r="T1880" s="113"/>
      <c r="U1880" s="111"/>
      <c r="W1880" s="83"/>
    </row>
    <row r="1881" spans="20:23" x14ac:dyDescent="0.25">
      <c r="T1881" s="113"/>
      <c r="U1881" s="111"/>
      <c r="W1881" s="83"/>
    </row>
    <row r="1882" spans="20:23" x14ac:dyDescent="0.25">
      <c r="T1882" s="113"/>
      <c r="U1882" s="111"/>
      <c r="W1882" s="83"/>
    </row>
    <row r="1883" spans="20:23" x14ac:dyDescent="0.25">
      <c r="T1883" s="113"/>
      <c r="U1883" s="111"/>
      <c r="W1883" s="83"/>
    </row>
    <row r="1884" spans="20:23" x14ac:dyDescent="0.25">
      <c r="T1884" s="113"/>
      <c r="U1884" s="111"/>
      <c r="W1884" s="83"/>
    </row>
    <row r="1885" spans="20:23" x14ac:dyDescent="0.25">
      <c r="T1885" s="113"/>
      <c r="U1885" s="111"/>
      <c r="W1885" s="83"/>
    </row>
    <row r="1886" spans="20:23" x14ac:dyDescent="0.25">
      <c r="T1886" s="113"/>
      <c r="U1886" s="111"/>
      <c r="W1886" s="83"/>
    </row>
    <row r="1887" spans="20:23" x14ac:dyDescent="0.25">
      <c r="T1887" s="113"/>
      <c r="U1887" s="111"/>
      <c r="W1887" s="83"/>
    </row>
    <row r="1888" spans="20:23" x14ac:dyDescent="0.25">
      <c r="T1888" s="113"/>
      <c r="U1888" s="111"/>
      <c r="W1888" s="83"/>
    </row>
    <row r="1889" spans="20:23" x14ac:dyDescent="0.25">
      <c r="T1889" s="113"/>
      <c r="U1889" s="111"/>
      <c r="W1889" s="83"/>
    </row>
    <row r="1890" spans="20:23" x14ac:dyDescent="0.25">
      <c r="T1890" s="113"/>
      <c r="U1890" s="111"/>
      <c r="W1890" s="83"/>
    </row>
    <row r="1891" spans="20:23" x14ac:dyDescent="0.25">
      <c r="T1891" s="113"/>
      <c r="U1891" s="111"/>
      <c r="W1891" s="83"/>
    </row>
    <row r="1892" spans="20:23" x14ac:dyDescent="0.25">
      <c r="T1892" s="113"/>
      <c r="U1892" s="111"/>
      <c r="W1892" s="83"/>
    </row>
    <row r="1893" spans="20:23" x14ac:dyDescent="0.25">
      <c r="T1893" s="113"/>
      <c r="U1893" s="111"/>
      <c r="W1893" s="83"/>
    </row>
    <row r="1894" spans="20:23" x14ac:dyDescent="0.25">
      <c r="T1894" s="113"/>
      <c r="U1894" s="111"/>
      <c r="W1894" s="83"/>
    </row>
    <row r="1895" spans="20:23" x14ac:dyDescent="0.25">
      <c r="T1895" s="113"/>
      <c r="U1895" s="111"/>
      <c r="W1895" s="83"/>
    </row>
    <row r="1896" spans="20:23" x14ac:dyDescent="0.25">
      <c r="T1896" s="113"/>
      <c r="U1896" s="111"/>
      <c r="W1896" s="83"/>
    </row>
    <row r="1897" spans="20:23" x14ac:dyDescent="0.25">
      <c r="T1897" s="113"/>
      <c r="U1897" s="111"/>
      <c r="W1897" s="83"/>
    </row>
    <row r="1898" spans="20:23" x14ac:dyDescent="0.25">
      <c r="T1898" s="113"/>
      <c r="U1898" s="111"/>
      <c r="W1898" s="83"/>
    </row>
    <row r="1899" spans="20:23" x14ac:dyDescent="0.25">
      <c r="T1899" s="113"/>
      <c r="U1899" s="111"/>
      <c r="W1899" s="83"/>
    </row>
    <row r="1900" spans="20:23" x14ac:dyDescent="0.25">
      <c r="T1900" s="113"/>
      <c r="U1900" s="111"/>
      <c r="W1900" s="83"/>
    </row>
    <row r="1901" spans="20:23" x14ac:dyDescent="0.25">
      <c r="T1901" s="113"/>
      <c r="U1901" s="111"/>
      <c r="W1901" s="83"/>
    </row>
    <row r="1902" spans="20:23" x14ac:dyDescent="0.25">
      <c r="T1902" s="113"/>
      <c r="U1902" s="111"/>
      <c r="W1902" s="83"/>
    </row>
    <row r="1903" spans="20:23" x14ac:dyDescent="0.25">
      <c r="T1903" s="113"/>
      <c r="U1903" s="111"/>
      <c r="W1903" s="83"/>
    </row>
    <row r="1904" spans="20:23" x14ac:dyDescent="0.25">
      <c r="T1904" s="113"/>
      <c r="U1904" s="111"/>
      <c r="W1904" s="83"/>
    </row>
    <row r="1905" spans="20:23" x14ac:dyDescent="0.25">
      <c r="T1905" s="113"/>
      <c r="U1905" s="111"/>
      <c r="W1905" s="83"/>
    </row>
    <row r="1906" spans="20:23" x14ac:dyDescent="0.25">
      <c r="T1906" s="113"/>
      <c r="U1906" s="111"/>
      <c r="W1906" s="83"/>
    </row>
    <row r="1907" spans="20:23" x14ac:dyDescent="0.25">
      <c r="T1907" s="113"/>
      <c r="U1907" s="111"/>
      <c r="W1907" s="83"/>
    </row>
    <row r="1908" spans="20:23" x14ac:dyDescent="0.25">
      <c r="T1908" s="113"/>
      <c r="U1908" s="111"/>
      <c r="W1908" s="83"/>
    </row>
    <row r="1909" spans="20:23" x14ac:dyDescent="0.25">
      <c r="T1909" s="113"/>
      <c r="U1909" s="111"/>
      <c r="W1909" s="83"/>
    </row>
    <row r="1910" spans="20:23" x14ac:dyDescent="0.25">
      <c r="T1910" s="113"/>
      <c r="U1910" s="111"/>
      <c r="W1910" s="83"/>
    </row>
    <row r="1911" spans="20:23" x14ac:dyDescent="0.25">
      <c r="T1911" s="113"/>
      <c r="U1911" s="111"/>
      <c r="W1911" s="83"/>
    </row>
    <row r="1912" spans="20:23" x14ac:dyDescent="0.25">
      <c r="T1912" s="113"/>
      <c r="U1912" s="111"/>
      <c r="W1912" s="83"/>
    </row>
    <row r="1913" spans="20:23" x14ac:dyDescent="0.25">
      <c r="T1913" s="113"/>
      <c r="U1913" s="111"/>
      <c r="W1913" s="83"/>
    </row>
    <row r="1914" spans="20:23" x14ac:dyDescent="0.25">
      <c r="T1914" s="113"/>
      <c r="U1914" s="111"/>
      <c r="W1914" s="83"/>
    </row>
    <row r="1915" spans="20:23" x14ac:dyDescent="0.25">
      <c r="T1915" s="113"/>
      <c r="U1915" s="111"/>
      <c r="W1915" s="83"/>
    </row>
    <row r="1916" spans="20:23" x14ac:dyDescent="0.25">
      <c r="T1916" s="113"/>
      <c r="U1916" s="111"/>
      <c r="W1916" s="83"/>
    </row>
    <row r="1917" spans="20:23" x14ac:dyDescent="0.25">
      <c r="T1917" s="113"/>
      <c r="U1917" s="111"/>
      <c r="W1917" s="83"/>
    </row>
    <row r="1918" spans="20:23" x14ac:dyDescent="0.25">
      <c r="T1918" s="113"/>
      <c r="U1918" s="111"/>
      <c r="W1918" s="83"/>
    </row>
    <row r="1919" spans="20:23" x14ac:dyDescent="0.25">
      <c r="T1919" s="113"/>
      <c r="U1919" s="111"/>
      <c r="W1919" s="83"/>
    </row>
    <row r="1920" spans="20:23" x14ac:dyDescent="0.25">
      <c r="T1920" s="113"/>
      <c r="U1920" s="111"/>
      <c r="W1920" s="83"/>
    </row>
    <row r="1921" spans="20:23" x14ac:dyDescent="0.25">
      <c r="T1921" s="113"/>
      <c r="U1921" s="111"/>
      <c r="W1921" s="83"/>
    </row>
    <row r="1922" spans="20:23" x14ac:dyDescent="0.25">
      <c r="T1922" s="113"/>
      <c r="U1922" s="111"/>
      <c r="W1922" s="83"/>
    </row>
    <row r="1923" spans="20:23" x14ac:dyDescent="0.25">
      <c r="T1923" s="113"/>
      <c r="U1923" s="111"/>
      <c r="W1923" s="83"/>
    </row>
    <row r="1924" spans="20:23" x14ac:dyDescent="0.25">
      <c r="T1924" s="113"/>
      <c r="U1924" s="111"/>
      <c r="W1924" s="83"/>
    </row>
    <row r="1925" spans="20:23" x14ac:dyDescent="0.25">
      <c r="T1925" s="113"/>
      <c r="U1925" s="111"/>
      <c r="W1925" s="83"/>
    </row>
    <row r="1926" spans="20:23" x14ac:dyDescent="0.25">
      <c r="T1926" s="113"/>
      <c r="U1926" s="111"/>
      <c r="W1926" s="83"/>
    </row>
    <row r="1927" spans="20:23" x14ac:dyDescent="0.25">
      <c r="T1927" s="113"/>
      <c r="U1927" s="111"/>
      <c r="W1927" s="83"/>
    </row>
    <row r="1928" spans="20:23" x14ac:dyDescent="0.25">
      <c r="T1928" s="113"/>
      <c r="U1928" s="111"/>
      <c r="W1928" s="83"/>
    </row>
    <row r="1929" spans="20:23" x14ac:dyDescent="0.25">
      <c r="T1929" s="113"/>
      <c r="U1929" s="111"/>
      <c r="W1929" s="83"/>
    </row>
    <row r="1930" spans="20:23" x14ac:dyDescent="0.25">
      <c r="T1930" s="113"/>
      <c r="U1930" s="111"/>
      <c r="W1930" s="83"/>
    </row>
    <row r="1931" spans="20:23" x14ac:dyDescent="0.25">
      <c r="T1931" s="113"/>
      <c r="U1931" s="111"/>
      <c r="W1931" s="83"/>
    </row>
    <row r="1932" spans="20:23" x14ac:dyDescent="0.25">
      <c r="T1932" s="113"/>
      <c r="U1932" s="111"/>
      <c r="W1932" s="83"/>
    </row>
    <row r="1933" spans="20:23" x14ac:dyDescent="0.25">
      <c r="T1933" s="113"/>
      <c r="U1933" s="111"/>
      <c r="W1933" s="83"/>
    </row>
    <row r="1934" spans="20:23" x14ac:dyDescent="0.25">
      <c r="T1934" s="113"/>
      <c r="U1934" s="111"/>
      <c r="W1934" s="83"/>
    </row>
    <row r="1935" spans="20:23" x14ac:dyDescent="0.25">
      <c r="T1935" s="113"/>
      <c r="U1935" s="111"/>
      <c r="W1935" s="83"/>
    </row>
    <row r="1936" spans="20:23" x14ac:dyDescent="0.25">
      <c r="T1936" s="113"/>
      <c r="U1936" s="111"/>
      <c r="W1936" s="83"/>
    </row>
    <row r="1937" spans="20:23" x14ac:dyDescent="0.25">
      <c r="T1937" s="113"/>
      <c r="U1937" s="111"/>
      <c r="W1937" s="83"/>
    </row>
    <row r="1938" spans="20:23" x14ac:dyDescent="0.25">
      <c r="T1938" s="113"/>
      <c r="U1938" s="111"/>
      <c r="W1938" s="83"/>
    </row>
    <row r="1939" spans="20:23" x14ac:dyDescent="0.25">
      <c r="T1939" s="113"/>
      <c r="U1939" s="111"/>
      <c r="W1939" s="83"/>
    </row>
    <row r="1940" spans="20:23" x14ac:dyDescent="0.25">
      <c r="T1940" s="113"/>
      <c r="U1940" s="111"/>
      <c r="W1940" s="83"/>
    </row>
    <row r="1941" spans="20:23" x14ac:dyDescent="0.25">
      <c r="T1941" s="113"/>
      <c r="U1941" s="111"/>
      <c r="W1941" s="83"/>
    </row>
    <row r="1942" spans="20:23" x14ac:dyDescent="0.25">
      <c r="T1942" s="113"/>
      <c r="U1942" s="111"/>
      <c r="W1942" s="83"/>
    </row>
    <row r="1943" spans="20:23" x14ac:dyDescent="0.25">
      <c r="T1943" s="113"/>
      <c r="U1943" s="111"/>
      <c r="W1943" s="83"/>
    </row>
    <row r="1944" spans="20:23" x14ac:dyDescent="0.25">
      <c r="T1944" s="113"/>
      <c r="U1944" s="111"/>
      <c r="W1944" s="83"/>
    </row>
    <row r="1945" spans="20:23" x14ac:dyDescent="0.25">
      <c r="T1945" s="113"/>
      <c r="U1945" s="111"/>
      <c r="W1945" s="83"/>
    </row>
    <row r="1946" spans="20:23" x14ac:dyDescent="0.25">
      <c r="T1946" s="113"/>
      <c r="U1946" s="111"/>
      <c r="W1946" s="83"/>
    </row>
    <row r="1947" spans="20:23" x14ac:dyDescent="0.25">
      <c r="T1947" s="113"/>
      <c r="U1947" s="111"/>
      <c r="W1947" s="83"/>
    </row>
    <row r="1948" spans="20:23" x14ac:dyDescent="0.25">
      <c r="T1948" s="113"/>
      <c r="U1948" s="111"/>
      <c r="W1948" s="83"/>
    </row>
    <row r="1949" spans="20:23" x14ac:dyDescent="0.25">
      <c r="T1949" s="113"/>
      <c r="U1949" s="111"/>
      <c r="W1949" s="83"/>
    </row>
    <row r="1950" spans="20:23" x14ac:dyDescent="0.25">
      <c r="T1950" s="113"/>
      <c r="U1950" s="111"/>
      <c r="W1950" s="83"/>
    </row>
    <row r="1951" spans="20:23" x14ac:dyDescent="0.25">
      <c r="T1951" s="113"/>
      <c r="U1951" s="111"/>
      <c r="W1951" s="83"/>
    </row>
    <row r="1952" spans="20:23" x14ac:dyDescent="0.25">
      <c r="T1952" s="113"/>
      <c r="U1952" s="111"/>
      <c r="W1952" s="83"/>
    </row>
    <row r="1953" spans="20:23" x14ac:dyDescent="0.25">
      <c r="T1953" s="113"/>
      <c r="U1953" s="111"/>
      <c r="W1953" s="83"/>
    </row>
    <row r="1954" spans="20:23" x14ac:dyDescent="0.25">
      <c r="T1954" s="113"/>
      <c r="U1954" s="111"/>
      <c r="W1954" s="83"/>
    </row>
    <row r="1955" spans="20:23" x14ac:dyDescent="0.25">
      <c r="T1955" s="113"/>
      <c r="U1955" s="111"/>
      <c r="W1955" s="83"/>
    </row>
    <row r="1956" spans="20:23" x14ac:dyDescent="0.25">
      <c r="T1956" s="113"/>
      <c r="U1956" s="111"/>
      <c r="W1956" s="83"/>
    </row>
    <row r="1957" spans="20:23" x14ac:dyDescent="0.25">
      <c r="T1957" s="113"/>
      <c r="U1957" s="111"/>
      <c r="W1957" s="83"/>
    </row>
    <row r="1958" spans="20:23" x14ac:dyDescent="0.25">
      <c r="T1958" s="113"/>
      <c r="U1958" s="111"/>
      <c r="W1958" s="83"/>
    </row>
    <row r="1959" spans="20:23" x14ac:dyDescent="0.25">
      <c r="T1959" s="113"/>
      <c r="U1959" s="111"/>
      <c r="W1959" s="83"/>
    </row>
    <row r="1960" spans="20:23" x14ac:dyDescent="0.25">
      <c r="T1960" s="113"/>
      <c r="U1960" s="111"/>
      <c r="W1960" s="83"/>
    </row>
    <row r="1961" spans="20:23" x14ac:dyDescent="0.25">
      <c r="T1961" s="113"/>
      <c r="U1961" s="111"/>
      <c r="W1961" s="83"/>
    </row>
    <row r="1962" spans="20:23" x14ac:dyDescent="0.25">
      <c r="T1962" s="113"/>
      <c r="U1962" s="111"/>
      <c r="W1962" s="83"/>
    </row>
    <row r="1963" spans="20:23" x14ac:dyDescent="0.25">
      <c r="T1963" s="113"/>
      <c r="U1963" s="111"/>
      <c r="W1963" s="83"/>
    </row>
    <row r="1964" spans="20:23" x14ac:dyDescent="0.25">
      <c r="T1964" s="113"/>
      <c r="U1964" s="111"/>
      <c r="W1964" s="83"/>
    </row>
    <row r="1965" spans="20:23" x14ac:dyDescent="0.25">
      <c r="T1965" s="113"/>
      <c r="U1965" s="111"/>
      <c r="W1965" s="83"/>
    </row>
    <row r="1966" spans="20:23" x14ac:dyDescent="0.25">
      <c r="T1966" s="113"/>
      <c r="U1966" s="111"/>
      <c r="W1966" s="83"/>
    </row>
    <row r="1967" spans="20:23" x14ac:dyDescent="0.25">
      <c r="T1967" s="113"/>
      <c r="U1967" s="111"/>
      <c r="W1967" s="83"/>
    </row>
    <row r="1968" spans="20:23" x14ac:dyDescent="0.25">
      <c r="T1968" s="113"/>
      <c r="U1968" s="111"/>
      <c r="W1968" s="83"/>
    </row>
    <row r="1969" spans="20:23" x14ac:dyDescent="0.25">
      <c r="T1969" s="113"/>
      <c r="U1969" s="111"/>
      <c r="W1969" s="83"/>
    </row>
    <row r="1970" spans="20:23" x14ac:dyDescent="0.25">
      <c r="T1970" s="113"/>
      <c r="U1970" s="111"/>
      <c r="W1970" s="83"/>
    </row>
    <row r="1971" spans="20:23" x14ac:dyDescent="0.25">
      <c r="T1971" s="113"/>
      <c r="U1971" s="111"/>
      <c r="W1971" s="83"/>
    </row>
    <row r="1972" spans="20:23" x14ac:dyDescent="0.25">
      <c r="T1972" s="113"/>
      <c r="U1972" s="111"/>
      <c r="W1972" s="83"/>
    </row>
    <row r="1973" spans="20:23" x14ac:dyDescent="0.25">
      <c r="T1973" s="113"/>
      <c r="U1973" s="111"/>
      <c r="W1973" s="83"/>
    </row>
    <row r="1974" spans="20:23" x14ac:dyDescent="0.25">
      <c r="T1974" s="113"/>
      <c r="U1974" s="111"/>
      <c r="W1974" s="83"/>
    </row>
    <row r="1975" spans="20:23" x14ac:dyDescent="0.25">
      <c r="T1975" s="113"/>
      <c r="U1975" s="111"/>
      <c r="W1975" s="83"/>
    </row>
    <row r="1976" spans="20:23" x14ac:dyDescent="0.25">
      <c r="T1976" s="113"/>
      <c r="U1976" s="111"/>
      <c r="W1976" s="83"/>
    </row>
    <row r="1977" spans="20:23" x14ac:dyDescent="0.25">
      <c r="T1977" s="113"/>
      <c r="U1977" s="111"/>
      <c r="W1977" s="83"/>
    </row>
    <row r="1978" spans="20:23" x14ac:dyDescent="0.25">
      <c r="T1978" s="113"/>
      <c r="U1978" s="111"/>
      <c r="W1978" s="83"/>
    </row>
    <row r="1979" spans="20:23" x14ac:dyDescent="0.25">
      <c r="T1979" s="113"/>
      <c r="U1979" s="111"/>
      <c r="W1979" s="83"/>
    </row>
    <row r="1980" spans="20:23" x14ac:dyDescent="0.25">
      <c r="T1980" s="113"/>
      <c r="U1980" s="111"/>
      <c r="W1980" s="83"/>
    </row>
    <row r="1981" spans="20:23" x14ac:dyDescent="0.25">
      <c r="T1981" s="113"/>
      <c r="U1981" s="111"/>
      <c r="W1981" s="83"/>
    </row>
    <row r="1982" spans="20:23" x14ac:dyDescent="0.25">
      <c r="T1982" s="113"/>
      <c r="U1982" s="111"/>
      <c r="W1982" s="83"/>
    </row>
    <row r="1983" spans="20:23" x14ac:dyDescent="0.25">
      <c r="T1983" s="113"/>
      <c r="U1983" s="111"/>
      <c r="W1983" s="83"/>
    </row>
    <row r="1984" spans="20:23" x14ac:dyDescent="0.25">
      <c r="T1984" s="113"/>
      <c r="U1984" s="111"/>
      <c r="W1984" s="83"/>
    </row>
    <row r="1985" spans="20:23" x14ac:dyDescent="0.25">
      <c r="T1985" s="113"/>
      <c r="U1985" s="111"/>
      <c r="W1985" s="83"/>
    </row>
    <row r="1986" spans="20:23" x14ac:dyDescent="0.25">
      <c r="T1986" s="113"/>
      <c r="U1986" s="111"/>
      <c r="W1986" s="83"/>
    </row>
    <row r="1987" spans="20:23" x14ac:dyDescent="0.25">
      <c r="T1987" s="113"/>
      <c r="U1987" s="111"/>
      <c r="W1987" s="83"/>
    </row>
    <row r="1988" spans="20:23" x14ac:dyDescent="0.25">
      <c r="T1988" s="113"/>
      <c r="U1988" s="111"/>
      <c r="W1988" s="83"/>
    </row>
    <row r="1989" spans="20:23" x14ac:dyDescent="0.25">
      <c r="T1989" s="113"/>
      <c r="U1989" s="111"/>
      <c r="W1989" s="83"/>
    </row>
    <row r="1990" spans="20:23" x14ac:dyDescent="0.25">
      <c r="T1990" s="113"/>
      <c r="U1990" s="111"/>
      <c r="W1990" s="83"/>
    </row>
    <row r="1991" spans="20:23" x14ac:dyDescent="0.25">
      <c r="T1991" s="113"/>
      <c r="U1991" s="111"/>
      <c r="W1991" s="83"/>
    </row>
    <row r="1992" spans="20:23" x14ac:dyDescent="0.25">
      <c r="T1992" s="113"/>
      <c r="U1992" s="111"/>
      <c r="W1992" s="83"/>
    </row>
    <row r="1993" spans="20:23" x14ac:dyDescent="0.25">
      <c r="T1993" s="113"/>
      <c r="U1993" s="111"/>
      <c r="W1993" s="83"/>
    </row>
    <row r="1994" spans="20:23" x14ac:dyDescent="0.25">
      <c r="T1994" s="113"/>
      <c r="U1994" s="111"/>
      <c r="W1994" s="83"/>
    </row>
    <row r="1995" spans="20:23" x14ac:dyDescent="0.25">
      <c r="T1995" s="113"/>
      <c r="U1995" s="111"/>
      <c r="W1995" s="83"/>
    </row>
    <row r="1996" spans="20:23" x14ac:dyDescent="0.25">
      <c r="T1996" s="113"/>
      <c r="U1996" s="111"/>
      <c r="W1996" s="83"/>
    </row>
    <row r="1997" spans="20:23" x14ac:dyDescent="0.25">
      <c r="T1997" s="113"/>
      <c r="U1997" s="111"/>
      <c r="W1997" s="83"/>
    </row>
    <row r="1998" spans="20:23" x14ac:dyDescent="0.25">
      <c r="T1998" s="113"/>
      <c r="U1998" s="111"/>
      <c r="W1998" s="83"/>
    </row>
    <row r="1999" spans="20:23" x14ac:dyDescent="0.25">
      <c r="T1999" s="113"/>
      <c r="U1999" s="111"/>
      <c r="W1999" s="83"/>
    </row>
    <row r="2000" spans="20:23" x14ac:dyDescent="0.25">
      <c r="T2000" s="113"/>
      <c r="U2000" s="111"/>
      <c r="W2000" s="83"/>
    </row>
    <row r="2001" spans="20:23" x14ac:dyDescent="0.25">
      <c r="T2001" s="113"/>
      <c r="U2001" s="111"/>
      <c r="W2001" s="83"/>
    </row>
    <row r="2002" spans="20:23" x14ac:dyDescent="0.25">
      <c r="T2002" s="113"/>
      <c r="U2002" s="111"/>
      <c r="W2002" s="83"/>
    </row>
    <row r="2003" spans="20:23" x14ac:dyDescent="0.25">
      <c r="T2003" s="113"/>
      <c r="U2003" s="111"/>
      <c r="W2003" s="83"/>
    </row>
    <row r="2004" spans="20:23" x14ac:dyDescent="0.25">
      <c r="T2004" s="113"/>
      <c r="U2004" s="111"/>
      <c r="W2004" s="83"/>
    </row>
    <row r="2005" spans="20:23" x14ac:dyDescent="0.25">
      <c r="T2005" s="113"/>
      <c r="U2005" s="111"/>
      <c r="W2005" s="83"/>
    </row>
    <row r="2006" spans="20:23" x14ac:dyDescent="0.25">
      <c r="T2006" s="113"/>
      <c r="U2006" s="111"/>
      <c r="W2006" s="83"/>
    </row>
    <row r="2007" spans="20:23" x14ac:dyDescent="0.25">
      <c r="T2007" s="113"/>
      <c r="U2007" s="111"/>
      <c r="W2007" s="83"/>
    </row>
    <row r="2008" spans="20:23" x14ac:dyDescent="0.25">
      <c r="T2008" s="113"/>
      <c r="U2008" s="111"/>
      <c r="W2008" s="83"/>
    </row>
    <row r="2009" spans="20:23" x14ac:dyDescent="0.25">
      <c r="T2009" s="113"/>
      <c r="U2009" s="111"/>
      <c r="W2009" s="83"/>
    </row>
    <row r="2010" spans="20:23" x14ac:dyDescent="0.25">
      <c r="T2010" s="113"/>
      <c r="U2010" s="111"/>
      <c r="W2010" s="83"/>
    </row>
    <row r="2011" spans="20:23" x14ac:dyDescent="0.25">
      <c r="T2011" s="113"/>
      <c r="U2011" s="111"/>
      <c r="W2011" s="83"/>
    </row>
    <row r="2012" spans="20:23" x14ac:dyDescent="0.25">
      <c r="T2012" s="113"/>
      <c r="U2012" s="111"/>
      <c r="W2012" s="83"/>
    </row>
    <row r="2013" spans="20:23" x14ac:dyDescent="0.25">
      <c r="T2013" s="113"/>
      <c r="U2013" s="111"/>
      <c r="W2013" s="83"/>
    </row>
    <row r="2014" spans="20:23" x14ac:dyDescent="0.25">
      <c r="T2014" s="113"/>
      <c r="U2014" s="111"/>
      <c r="W2014" s="83"/>
    </row>
    <row r="2015" spans="20:23" x14ac:dyDescent="0.25">
      <c r="T2015" s="113"/>
      <c r="U2015" s="111"/>
      <c r="W2015" s="83"/>
    </row>
    <row r="2016" spans="20:23" x14ac:dyDescent="0.25">
      <c r="T2016" s="113"/>
      <c r="U2016" s="111"/>
      <c r="W2016" s="83"/>
    </row>
    <row r="2017" spans="20:23" x14ac:dyDescent="0.25">
      <c r="T2017" s="113"/>
      <c r="U2017" s="111"/>
      <c r="W2017" s="83"/>
    </row>
    <row r="2018" spans="20:23" x14ac:dyDescent="0.25">
      <c r="T2018" s="113"/>
      <c r="U2018" s="111"/>
      <c r="W2018" s="83"/>
    </row>
    <row r="2019" spans="20:23" x14ac:dyDescent="0.25">
      <c r="T2019" s="113"/>
      <c r="U2019" s="111"/>
      <c r="W2019" s="83"/>
    </row>
    <row r="2020" spans="20:23" x14ac:dyDescent="0.25">
      <c r="T2020" s="113"/>
      <c r="U2020" s="111"/>
      <c r="W2020" s="83"/>
    </row>
    <row r="2021" spans="20:23" x14ac:dyDescent="0.25">
      <c r="T2021" s="113"/>
      <c r="U2021" s="111"/>
      <c r="W2021" s="83"/>
    </row>
    <row r="2022" spans="20:23" x14ac:dyDescent="0.25">
      <c r="T2022" s="113"/>
      <c r="U2022" s="111"/>
      <c r="W2022" s="83"/>
    </row>
    <row r="2023" spans="20:23" x14ac:dyDescent="0.25">
      <c r="T2023" s="113"/>
      <c r="U2023" s="111"/>
      <c r="W2023" s="83"/>
    </row>
    <row r="2024" spans="20:23" x14ac:dyDescent="0.25">
      <c r="T2024" s="113"/>
      <c r="U2024" s="111"/>
      <c r="W2024" s="83"/>
    </row>
    <row r="2025" spans="20:23" x14ac:dyDescent="0.25">
      <c r="T2025" s="113"/>
      <c r="U2025" s="111"/>
      <c r="W2025" s="83"/>
    </row>
    <row r="2026" spans="20:23" x14ac:dyDescent="0.25">
      <c r="T2026" s="113"/>
      <c r="U2026" s="111"/>
      <c r="W2026" s="83"/>
    </row>
    <row r="2027" spans="20:23" x14ac:dyDescent="0.25">
      <c r="T2027" s="113"/>
      <c r="U2027" s="111"/>
      <c r="W2027" s="83"/>
    </row>
    <row r="2028" spans="20:23" x14ac:dyDescent="0.25">
      <c r="T2028" s="113"/>
      <c r="U2028" s="111"/>
      <c r="W2028" s="83"/>
    </row>
    <row r="2029" spans="20:23" x14ac:dyDescent="0.25">
      <c r="T2029" s="113"/>
      <c r="U2029" s="111"/>
      <c r="W2029" s="83"/>
    </row>
    <row r="2030" spans="20:23" x14ac:dyDescent="0.25">
      <c r="T2030" s="113"/>
      <c r="U2030" s="111"/>
      <c r="W2030" s="83"/>
    </row>
    <row r="2031" spans="20:23" x14ac:dyDescent="0.25">
      <c r="T2031" s="113"/>
      <c r="U2031" s="111"/>
      <c r="W2031" s="83"/>
    </row>
    <row r="2032" spans="20:23" x14ac:dyDescent="0.25">
      <c r="T2032" s="113"/>
      <c r="U2032" s="111"/>
      <c r="W2032" s="83"/>
    </row>
    <row r="2033" spans="20:23" x14ac:dyDescent="0.25">
      <c r="T2033" s="113"/>
      <c r="U2033" s="111"/>
      <c r="W2033" s="83"/>
    </row>
    <row r="2034" spans="20:23" x14ac:dyDescent="0.25">
      <c r="T2034" s="113"/>
      <c r="U2034" s="111"/>
      <c r="W2034" s="83"/>
    </row>
    <row r="2035" spans="20:23" x14ac:dyDescent="0.25">
      <c r="T2035" s="113"/>
      <c r="U2035" s="111"/>
      <c r="W2035" s="83"/>
    </row>
    <row r="2036" spans="20:23" x14ac:dyDescent="0.25">
      <c r="T2036" s="113"/>
      <c r="U2036" s="111"/>
      <c r="W2036" s="83"/>
    </row>
    <row r="2037" spans="20:23" x14ac:dyDescent="0.25">
      <c r="T2037" s="113"/>
      <c r="U2037" s="111"/>
      <c r="W2037" s="83"/>
    </row>
    <row r="2038" spans="20:23" x14ac:dyDescent="0.25">
      <c r="T2038" s="113"/>
      <c r="U2038" s="111"/>
      <c r="W2038" s="83"/>
    </row>
    <row r="2039" spans="20:23" x14ac:dyDescent="0.25">
      <c r="T2039" s="113"/>
      <c r="U2039" s="111"/>
      <c r="W2039" s="83"/>
    </row>
    <row r="2040" spans="20:23" x14ac:dyDescent="0.25">
      <c r="T2040" s="113"/>
      <c r="U2040" s="111"/>
      <c r="W2040" s="83"/>
    </row>
    <row r="2041" spans="20:23" x14ac:dyDescent="0.25">
      <c r="T2041" s="113"/>
      <c r="U2041" s="111"/>
      <c r="W2041" s="83"/>
    </row>
    <row r="2042" spans="20:23" x14ac:dyDescent="0.25">
      <c r="T2042" s="113"/>
      <c r="U2042" s="111"/>
      <c r="W2042" s="83"/>
    </row>
    <row r="2043" spans="20:23" x14ac:dyDescent="0.25">
      <c r="T2043" s="113"/>
      <c r="U2043" s="111"/>
      <c r="W2043" s="83"/>
    </row>
    <row r="2044" spans="20:23" x14ac:dyDescent="0.25">
      <c r="T2044" s="113"/>
      <c r="U2044" s="111"/>
      <c r="W2044" s="83"/>
    </row>
    <row r="2045" spans="20:23" x14ac:dyDescent="0.25">
      <c r="T2045" s="113"/>
      <c r="U2045" s="111"/>
      <c r="W2045" s="83"/>
    </row>
    <row r="2046" spans="20:23" x14ac:dyDescent="0.25">
      <c r="T2046" s="113"/>
      <c r="U2046" s="111"/>
      <c r="W2046" s="83"/>
    </row>
    <row r="2047" spans="20:23" x14ac:dyDescent="0.25">
      <c r="T2047" s="113"/>
      <c r="U2047" s="111"/>
      <c r="W2047" s="83"/>
    </row>
    <row r="2048" spans="20:23" x14ac:dyDescent="0.25">
      <c r="T2048" s="113"/>
      <c r="U2048" s="111"/>
      <c r="W2048" s="83"/>
    </row>
    <row r="2049" spans="20:23" x14ac:dyDescent="0.25">
      <c r="T2049" s="113"/>
      <c r="U2049" s="111"/>
      <c r="W2049" s="83"/>
    </row>
    <row r="2050" spans="20:23" x14ac:dyDescent="0.25">
      <c r="T2050" s="113"/>
      <c r="U2050" s="111"/>
      <c r="W2050" s="83"/>
    </row>
    <row r="2051" spans="20:23" x14ac:dyDescent="0.25">
      <c r="T2051" s="113"/>
      <c r="U2051" s="111"/>
      <c r="W2051" s="83"/>
    </row>
    <row r="2052" spans="20:23" x14ac:dyDescent="0.25">
      <c r="T2052" s="113"/>
      <c r="U2052" s="111"/>
      <c r="W2052" s="83"/>
    </row>
    <row r="2053" spans="20:23" x14ac:dyDescent="0.25">
      <c r="T2053" s="113"/>
      <c r="U2053" s="111"/>
      <c r="W2053" s="83"/>
    </row>
    <row r="2054" spans="20:23" x14ac:dyDescent="0.25">
      <c r="T2054" s="113"/>
      <c r="U2054" s="111"/>
      <c r="W2054" s="83"/>
    </row>
    <row r="2055" spans="20:23" x14ac:dyDescent="0.25">
      <c r="T2055" s="113"/>
      <c r="U2055" s="111"/>
      <c r="W2055" s="83"/>
    </row>
    <row r="2056" spans="20:23" x14ac:dyDescent="0.25">
      <c r="T2056" s="113"/>
      <c r="U2056" s="111"/>
      <c r="W2056" s="83"/>
    </row>
    <row r="2057" spans="20:23" x14ac:dyDescent="0.25">
      <c r="T2057" s="113"/>
      <c r="U2057" s="111"/>
      <c r="W2057" s="83"/>
    </row>
    <row r="2058" spans="20:23" x14ac:dyDescent="0.25">
      <c r="T2058" s="113"/>
      <c r="U2058" s="111"/>
      <c r="W2058" s="83"/>
    </row>
    <row r="2059" spans="20:23" x14ac:dyDescent="0.25">
      <c r="T2059" s="113"/>
      <c r="U2059" s="111"/>
      <c r="W2059" s="83"/>
    </row>
    <row r="2060" spans="20:23" x14ac:dyDescent="0.25">
      <c r="T2060" s="113"/>
      <c r="U2060" s="111"/>
      <c r="W2060" s="83"/>
    </row>
    <row r="2061" spans="20:23" x14ac:dyDescent="0.25">
      <c r="T2061" s="113"/>
      <c r="U2061" s="111"/>
      <c r="W2061" s="83"/>
    </row>
    <row r="2062" spans="20:23" x14ac:dyDescent="0.25">
      <c r="T2062" s="113"/>
      <c r="U2062" s="111"/>
      <c r="W2062" s="83"/>
    </row>
    <row r="2063" spans="20:23" x14ac:dyDescent="0.25">
      <c r="T2063" s="113"/>
      <c r="U2063" s="111"/>
      <c r="W2063" s="83"/>
    </row>
    <row r="2064" spans="20:23" x14ac:dyDescent="0.25">
      <c r="T2064" s="113"/>
      <c r="U2064" s="111"/>
      <c r="W2064" s="83"/>
    </row>
    <row r="2065" spans="20:23" x14ac:dyDescent="0.25">
      <c r="T2065" s="113"/>
      <c r="U2065" s="111"/>
      <c r="W2065" s="83"/>
    </row>
    <row r="2066" spans="20:23" x14ac:dyDescent="0.25">
      <c r="T2066" s="113"/>
      <c r="U2066" s="111"/>
      <c r="W2066" s="83"/>
    </row>
    <row r="2067" spans="20:23" x14ac:dyDescent="0.25">
      <c r="T2067" s="113"/>
      <c r="U2067" s="111"/>
      <c r="W2067" s="83"/>
    </row>
    <row r="2068" spans="20:23" x14ac:dyDescent="0.25">
      <c r="T2068" s="113"/>
      <c r="U2068" s="111"/>
      <c r="W2068" s="83"/>
    </row>
    <row r="2069" spans="20:23" x14ac:dyDescent="0.25">
      <c r="T2069" s="113"/>
      <c r="U2069" s="111"/>
      <c r="W2069" s="83"/>
    </row>
    <row r="2070" spans="20:23" x14ac:dyDescent="0.25">
      <c r="T2070" s="113"/>
      <c r="U2070" s="111"/>
      <c r="W2070" s="83"/>
    </row>
    <row r="2071" spans="20:23" x14ac:dyDescent="0.25">
      <c r="T2071" s="113"/>
      <c r="U2071" s="111"/>
      <c r="W2071" s="83"/>
    </row>
    <row r="2072" spans="20:23" x14ac:dyDescent="0.25">
      <c r="T2072" s="113"/>
      <c r="U2072" s="111"/>
      <c r="W2072" s="83"/>
    </row>
    <row r="2073" spans="20:23" x14ac:dyDescent="0.25">
      <c r="T2073" s="113"/>
      <c r="U2073" s="111"/>
      <c r="W2073" s="83"/>
    </row>
    <row r="2074" spans="20:23" x14ac:dyDescent="0.25">
      <c r="T2074" s="113"/>
      <c r="U2074" s="111"/>
      <c r="W2074" s="83"/>
    </row>
    <row r="2075" spans="20:23" x14ac:dyDescent="0.25">
      <c r="T2075" s="113"/>
      <c r="U2075" s="111"/>
      <c r="W2075" s="83"/>
    </row>
    <row r="2076" spans="20:23" x14ac:dyDescent="0.25">
      <c r="T2076" s="113"/>
      <c r="U2076" s="111"/>
      <c r="W2076" s="83"/>
    </row>
    <row r="2077" spans="20:23" x14ac:dyDescent="0.25">
      <c r="T2077" s="113"/>
      <c r="U2077" s="111"/>
      <c r="W2077" s="83"/>
    </row>
    <row r="2078" spans="20:23" x14ac:dyDescent="0.25">
      <c r="T2078" s="113"/>
      <c r="U2078" s="111"/>
      <c r="W2078" s="83"/>
    </row>
    <row r="2079" spans="20:23" x14ac:dyDescent="0.25">
      <c r="T2079" s="113"/>
      <c r="U2079" s="111"/>
      <c r="W2079" s="83"/>
    </row>
    <row r="2080" spans="20:23" x14ac:dyDescent="0.25">
      <c r="T2080" s="113"/>
      <c r="U2080" s="111"/>
      <c r="W2080" s="83"/>
    </row>
    <row r="2081" spans="20:23" x14ac:dyDescent="0.25">
      <c r="T2081" s="113"/>
      <c r="U2081" s="111"/>
      <c r="W2081" s="83"/>
    </row>
    <row r="2082" spans="20:23" x14ac:dyDescent="0.25">
      <c r="T2082" s="113"/>
      <c r="U2082" s="111"/>
      <c r="W2082" s="83"/>
    </row>
    <row r="2083" spans="20:23" x14ac:dyDescent="0.25">
      <c r="T2083" s="113"/>
      <c r="U2083" s="111"/>
      <c r="W2083" s="83"/>
    </row>
    <row r="2084" spans="20:23" x14ac:dyDescent="0.25">
      <c r="T2084" s="113"/>
      <c r="U2084" s="111"/>
      <c r="W2084" s="83"/>
    </row>
    <row r="2085" spans="20:23" x14ac:dyDescent="0.25">
      <c r="T2085" s="113"/>
      <c r="U2085" s="111"/>
      <c r="W2085" s="83"/>
    </row>
    <row r="2086" spans="20:23" x14ac:dyDescent="0.25">
      <c r="T2086" s="113"/>
      <c r="U2086" s="111"/>
      <c r="W2086" s="83"/>
    </row>
    <row r="2087" spans="20:23" x14ac:dyDescent="0.25">
      <c r="T2087" s="113"/>
      <c r="U2087" s="111"/>
      <c r="W2087" s="83"/>
    </row>
    <row r="2088" spans="20:23" x14ac:dyDescent="0.25">
      <c r="T2088" s="113"/>
      <c r="U2088" s="111"/>
      <c r="W2088" s="83"/>
    </row>
    <row r="2089" spans="20:23" x14ac:dyDescent="0.25">
      <c r="T2089" s="113"/>
      <c r="U2089" s="111"/>
      <c r="W2089" s="83"/>
    </row>
    <row r="2090" spans="20:23" x14ac:dyDescent="0.25">
      <c r="T2090" s="113"/>
      <c r="U2090" s="111"/>
      <c r="W2090" s="83"/>
    </row>
    <row r="2091" spans="20:23" x14ac:dyDescent="0.25">
      <c r="T2091" s="113"/>
      <c r="U2091" s="111"/>
      <c r="W2091" s="83"/>
    </row>
    <row r="2092" spans="20:23" x14ac:dyDescent="0.25">
      <c r="T2092" s="113"/>
      <c r="U2092" s="111"/>
      <c r="W2092" s="83"/>
    </row>
    <row r="2093" spans="20:23" x14ac:dyDescent="0.25">
      <c r="T2093" s="113"/>
      <c r="U2093" s="111"/>
      <c r="W2093" s="83"/>
    </row>
    <row r="2094" spans="20:23" x14ac:dyDescent="0.25">
      <c r="T2094" s="113"/>
      <c r="U2094" s="111"/>
      <c r="W2094" s="83"/>
    </row>
    <row r="2095" spans="20:23" x14ac:dyDescent="0.25">
      <c r="T2095" s="113"/>
      <c r="U2095" s="111"/>
      <c r="W2095" s="83"/>
    </row>
    <row r="2096" spans="20:23" x14ac:dyDescent="0.25">
      <c r="T2096" s="113"/>
      <c r="U2096" s="111"/>
      <c r="W2096" s="83"/>
    </row>
    <row r="2097" spans="20:23" x14ac:dyDescent="0.25">
      <c r="T2097" s="113"/>
      <c r="U2097" s="111"/>
      <c r="W2097" s="83"/>
    </row>
    <row r="2098" spans="20:23" x14ac:dyDescent="0.25">
      <c r="T2098" s="113"/>
      <c r="U2098" s="111"/>
      <c r="W2098" s="83"/>
    </row>
    <row r="2099" spans="20:23" x14ac:dyDescent="0.25">
      <c r="T2099" s="113"/>
      <c r="U2099" s="111"/>
      <c r="W2099" s="83"/>
    </row>
    <row r="2100" spans="20:23" x14ac:dyDescent="0.25">
      <c r="T2100" s="113"/>
      <c r="U2100" s="111"/>
      <c r="W2100" s="83"/>
    </row>
    <row r="2101" spans="20:23" x14ac:dyDescent="0.25">
      <c r="T2101" s="113"/>
      <c r="U2101" s="111"/>
      <c r="W2101" s="83"/>
    </row>
    <row r="2102" spans="20:23" x14ac:dyDescent="0.25">
      <c r="T2102" s="113"/>
      <c r="U2102" s="111"/>
      <c r="W2102" s="83"/>
    </row>
    <row r="2103" spans="20:23" x14ac:dyDescent="0.25">
      <c r="T2103" s="113"/>
      <c r="U2103" s="111"/>
      <c r="W2103" s="83"/>
    </row>
    <row r="2104" spans="20:23" x14ac:dyDescent="0.25">
      <c r="T2104" s="113"/>
      <c r="U2104" s="111"/>
      <c r="W2104" s="83"/>
    </row>
    <row r="2105" spans="20:23" x14ac:dyDescent="0.25">
      <c r="T2105" s="113"/>
      <c r="U2105" s="111"/>
      <c r="W2105" s="83"/>
    </row>
    <row r="2106" spans="20:23" x14ac:dyDescent="0.25">
      <c r="T2106" s="113"/>
      <c r="U2106" s="111"/>
      <c r="W2106" s="83"/>
    </row>
    <row r="2107" spans="20:23" x14ac:dyDescent="0.25">
      <c r="T2107" s="113"/>
      <c r="U2107" s="111"/>
      <c r="W2107" s="83"/>
    </row>
    <row r="2108" spans="20:23" x14ac:dyDescent="0.25">
      <c r="T2108" s="113"/>
      <c r="U2108" s="111"/>
      <c r="W2108" s="83"/>
    </row>
    <row r="2109" spans="20:23" x14ac:dyDescent="0.25">
      <c r="T2109" s="113"/>
      <c r="U2109" s="111"/>
      <c r="W2109" s="83"/>
    </row>
    <row r="2110" spans="20:23" x14ac:dyDescent="0.25">
      <c r="T2110" s="113"/>
      <c r="U2110" s="111"/>
      <c r="W2110" s="83"/>
    </row>
    <row r="2111" spans="20:23" x14ac:dyDescent="0.25">
      <c r="T2111" s="113"/>
      <c r="U2111" s="111"/>
      <c r="W2111" s="83"/>
    </row>
    <row r="2112" spans="20:23" x14ac:dyDescent="0.25">
      <c r="T2112" s="113"/>
      <c r="U2112" s="111"/>
      <c r="W2112" s="83"/>
    </row>
    <row r="2113" spans="20:23" x14ac:dyDescent="0.25">
      <c r="T2113" s="113"/>
      <c r="U2113" s="111"/>
      <c r="W2113" s="83"/>
    </row>
    <row r="2114" spans="20:23" x14ac:dyDescent="0.25">
      <c r="T2114" s="113"/>
      <c r="U2114" s="111"/>
      <c r="W2114" s="83"/>
    </row>
    <row r="2115" spans="20:23" x14ac:dyDescent="0.25">
      <c r="T2115" s="113"/>
      <c r="U2115" s="111"/>
      <c r="W2115" s="83"/>
    </row>
    <row r="2116" spans="20:23" x14ac:dyDescent="0.25">
      <c r="T2116" s="113"/>
      <c r="U2116" s="111"/>
      <c r="W2116" s="83"/>
    </row>
    <row r="2117" spans="20:23" x14ac:dyDescent="0.25">
      <c r="T2117" s="113"/>
      <c r="U2117" s="111"/>
      <c r="W2117" s="83"/>
    </row>
    <row r="2118" spans="20:23" x14ac:dyDescent="0.25">
      <c r="T2118" s="113"/>
      <c r="U2118" s="111"/>
      <c r="W2118" s="83"/>
    </row>
    <row r="2119" spans="20:23" x14ac:dyDescent="0.25">
      <c r="T2119" s="113"/>
      <c r="U2119" s="111"/>
      <c r="W2119" s="83"/>
    </row>
    <row r="2120" spans="20:23" x14ac:dyDescent="0.25">
      <c r="T2120" s="113"/>
      <c r="U2120" s="111"/>
      <c r="W2120" s="83"/>
    </row>
    <row r="2121" spans="20:23" x14ac:dyDescent="0.25">
      <c r="T2121" s="113"/>
      <c r="U2121" s="111"/>
      <c r="W2121" s="83"/>
    </row>
    <row r="2122" spans="20:23" x14ac:dyDescent="0.25">
      <c r="T2122" s="113"/>
      <c r="U2122" s="111"/>
      <c r="W2122" s="83"/>
    </row>
    <row r="2123" spans="20:23" x14ac:dyDescent="0.25">
      <c r="T2123" s="113"/>
      <c r="U2123" s="111"/>
      <c r="W2123" s="83"/>
    </row>
    <row r="2124" spans="20:23" x14ac:dyDescent="0.25">
      <c r="T2124" s="113"/>
      <c r="U2124" s="111"/>
      <c r="W2124" s="83"/>
    </row>
    <row r="2125" spans="20:23" x14ac:dyDescent="0.25">
      <c r="T2125" s="113"/>
      <c r="U2125" s="111"/>
      <c r="W2125" s="83"/>
    </row>
    <row r="2126" spans="20:23" x14ac:dyDescent="0.25">
      <c r="T2126" s="113"/>
      <c r="U2126" s="111"/>
      <c r="W2126" s="83"/>
    </row>
    <row r="2127" spans="20:23" x14ac:dyDescent="0.25">
      <c r="T2127" s="113"/>
      <c r="U2127" s="111"/>
      <c r="W2127" s="83"/>
    </row>
    <row r="2128" spans="20:23" x14ac:dyDescent="0.25">
      <c r="T2128" s="113"/>
      <c r="U2128" s="111"/>
      <c r="W2128" s="83"/>
    </row>
    <row r="2129" spans="20:23" x14ac:dyDescent="0.25">
      <c r="T2129" s="113"/>
      <c r="U2129" s="111"/>
      <c r="W2129" s="83"/>
    </row>
    <row r="2130" spans="20:23" x14ac:dyDescent="0.25">
      <c r="T2130" s="113"/>
      <c r="U2130" s="111"/>
      <c r="W2130" s="83"/>
    </row>
    <row r="2131" spans="20:23" x14ac:dyDescent="0.25">
      <c r="T2131" s="113"/>
      <c r="U2131" s="111"/>
      <c r="W2131" s="83"/>
    </row>
    <row r="2132" spans="20:23" x14ac:dyDescent="0.25">
      <c r="T2132" s="113"/>
      <c r="U2132" s="111"/>
      <c r="W2132" s="83"/>
    </row>
    <row r="2133" spans="20:23" x14ac:dyDescent="0.25">
      <c r="T2133" s="113"/>
      <c r="U2133" s="111"/>
      <c r="W2133" s="83"/>
    </row>
    <row r="2134" spans="20:23" x14ac:dyDescent="0.25">
      <c r="T2134" s="113"/>
      <c r="U2134" s="111"/>
      <c r="W2134" s="83"/>
    </row>
    <row r="2135" spans="20:23" x14ac:dyDescent="0.25">
      <c r="T2135" s="113"/>
      <c r="U2135" s="111"/>
      <c r="W2135" s="83"/>
    </row>
    <row r="2136" spans="20:23" x14ac:dyDescent="0.25">
      <c r="T2136" s="113"/>
      <c r="U2136" s="111"/>
      <c r="W2136" s="83"/>
    </row>
    <row r="2137" spans="20:23" x14ac:dyDescent="0.25">
      <c r="T2137" s="113"/>
      <c r="U2137" s="111"/>
      <c r="W2137" s="83"/>
    </row>
    <row r="2138" spans="20:23" x14ac:dyDescent="0.25">
      <c r="T2138" s="113"/>
      <c r="U2138" s="111"/>
      <c r="W2138" s="83"/>
    </row>
    <row r="2139" spans="20:23" x14ac:dyDescent="0.25">
      <c r="T2139" s="113"/>
      <c r="U2139" s="111"/>
      <c r="W2139" s="83"/>
    </row>
    <row r="2140" spans="20:23" x14ac:dyDescent="0.25">
      <c r="T2140" s="113"/>
      <c r="U2140" s="111"/>
      <c r="W2140" s="83"/>
    </row>
    <row r="2141" spans="20:23" x14ac:dyDescent="0.25">
      <c r="T2141" s="113"/>
      <c r="U2141" s="111"/>
      <c r="W2141" s="83"/>
    </row>
    <row r="2142" spans="20:23" x14ac:dyDescent="0.25">
      <c r="T2142" s="113"/>
      <c r="U2142" s="111"/>
      <c r="W2142" s="83"/>
    </row>
    <row r="2143" spans="20:23" x14ac:dyDescent="0.25">
      <c r="T2143" s="113"/>
      <c r="U2143" s="111"/>
      <c r="W2143" s="83"/>
    </row>
    <row r="2144" spans="20:23" x14ac:dyDescent="0.25">
      <c r="T2144" s="113"/>
      <c r="U2144" s="111"/>
      <c r="W2144" s="83"/>
    </row>
    <row r="2145" spans="20:23" x14ac:dyDescent="0.25">
      <c r="T2145" s="113"/>
      <c r="U2145" s="111"/>
      <c r="W2145" s="83"/>
    </row>
    <row r="2146" spans="20:23" x14ac:dyDescent="0.25">
      <c r="T2146" s="113"/>
      <c r="U2146" s="111"/>
      <c r="W2146" s="83"/>
    </row>
    <row r="2147" spans="20:23" x14ac:dyDescent="0.25">
      <c r="T2147" s="113"/>
      <c r="U2147" s="111"/>
      <c r="W2147" s="83"/>
    </row>
    <row r="2148" spans="20:23" x14ac:dyDescent="0.25">
      <c r="T2148" s="113"/>
      <c r="U2148" s="111"/>
      <c r="W2148" s="83"/>
    </row>
    <row r="2149" spans="20:23" x14ac:dyDescent="0.25">
      <c r="T2149" s="113"/>
      <c r="U2149" s="111"/>
      <c r="W2149" s="83"/>
    </row>
    <row r="2150" spans="20:23" x14ac:dyDescent="0.25">
      <c r="T2150" s="113"/>
      <c r="U2150" s="111"/>
      <c r="W2150" s="83"/>
    </row>
    <row r="2151" spans="20:23" x14ac:dyDescent="0.25">
      <c r="T2151" s="113"/>
      <c r="U2151" s="111"/>
      <c r="W2151" s="83"/>
    </row>
    <row r="2152" spans="20:23" x14ac:dyDescent="0.25">
      <c r="T2152" s="113"/>
      <c r="U2152" s="111"/>
      <c r="W2152" s="83"/>
    </row>
    <row r="2153" spans="20:23" x14ac:dyDescent="0.25">
      <c r="T2153" s="113"/>
      <c r="U2153" s="111"/>
      <c r="W2153" s="83"/>
    </row>
    <row r="2154" spans="20:23" x14ac:dyDescent="0.25">
      <c r="T2154" s="113"/>
      <c r="U2154" s="111"/>
      <c r="W2154" s="83"/>
    </row>
    <row r="2155" spans="20:23" x14ac:dyDescent="0.25">
      <c r="T2155" s="113"/>
      <c r="U2155" s="111"/>
      <c r="W2155" s="83"/>
    </row>
    <row r="2156" spans="20:23" x14ac:dyDescent="0.25">
      <c r="T2156" s="113"/>
      <c r="U2156" s="111"/>
      <c r="W2156" s="83"/>
    </row>
    <row r="2157" spans="20:23" x14ac:dyDescent="0.25">
      <c r="T2157" s="113"/>
      <c r="U2157" s="111"/>
      <c r="W2157" s="83"/>
    </row>
    <row r="2158" spans="20:23" x14ac:dyDescent="0.25">
      <c r="T2158" s="113"/>
      <c r="U2158" s="111"/>
      <c r="W2158" s="83"/>
    </row>
    <row r="2159" spans="20:23" x14ac:dyDescent="0.25">
      <c r="T2159" s="113"/>
      <c r="U2159" s="111"/>
      <c r="W2159" s="83"/>
    </row>
    <row r="2160" spans="20:23" x14ac:dyDescent="0.25">
      <c r="T2160" s="113"/>
      <c r="U2160" s="111"/>
      <c r="W2160" s="83"/>
    </row>
    <row r="2161" spans="20:23" x14ac:dyDescent="0.25">
      <c r="T2161" s="113"/>
      <c r="U2161" s="111"/>
      <c r="W2161" s="83"/>
    </row>
    <row r="2162" spans="20:23" x14ac:dyDescent="0.25">
      <c r="T2162" s="113"/>
      <c r="U2162" s="111"/>
      <c r="W2162" s="83"/>
    </row>
    <row r="2163" spans="20:23" x14ac:dyDescent="0.25">
      <c r="T2163" s="113"/>
      <c r="U2163" s="111"/>
      <c r="W2163" s="83"/>
    </row>
    <row r="2164" spans="20:23" x14ac:dyDescent="0.25">
      <c r="T2164" s="113"/>
      <c r="U2164" s="111"/>
      <c r="W2164" s="83"/>
    </row>
    <row r="2165" spans="20:23" x14ac:dyDescent="0.25">
      <c r="T2165" s="113"/>
      <c r="U2165" s="111"/>
      <c r="W2165" s="83"/>
    </row>
    <row r="2166" spans="20:23" x14ac:dyDescent="0.25">
      <c r="T2166" s="113"/>
      <c r="U2166" s="111"/>
      <c r="W2166" s="83"/>
    </row>
    <row r="2167" spans="20:23" x14ac:dyDescent="0.25">
      <c r="T2167" s="113"/>
      <c r="U2167" s="111"/>
      <c r="W2167" s="83"/>
    </row>
    <row r="2168" spans="20:23" x14ac:dyDescent="0.25">
      <c r="T2168" s="113"/>
      <c r="U2168" s="111"/>
      <c r="W2168" s="83"/>
    </row>
    <row r="2169" spans="20:23" x14ac:dyDescent="0.25">
      <c r="T2169" s="113"/>
      <c r="U2169" s="111"/>
      <c r="W2169" s="83"/>
    </row>
    <row r="2170" spans="20:23" x14ac:dyDescent="0.25">
      <c r="T2170" s="113"/>
      <c r="U2170" s="111"/>
      <c r="W2170" s="83"/>
    </row>
    <row r="2171" spans="20:23" x14ac:dyDescent="0.25">
      <c r="T2171" s="113"/>
      <c r="U2171" s="111"/>
      <c r="W2171" s="83"/>
    </row>
    <row r="2172" spans="20:23" x14ac:dyDescent="0.25">
      <c r="T2172" s="113"/>
      <c r="U2172" s="111"/>
      <c r="W2172" s="83"/>
    </row>
    <row r="2173" spans="20:23" x14ac:dyDescent="0.25">
      <c r="T2173" s="113"/>
      <c r="U2173" s="111"/>
      <c r="W2173" s="83"/>
    </row>
    <row r="2174" spans="20:23" x14ac:dyDescent="0.25">
      <c r="T2174" s="113"/>
      <c r="U2174" s="111"/>
      <c r="W2174" s="83"/>
    </row>
    <row r="2175" spans="20:23" x14ac:dyDescent="0.25">
      <c r="T2175" s="113"/>
      <c r="U2175" s="111"/>
      <c r="W2175" s="83"/>
    </row>
    <row r="2176" spans="20:23" x14ac:dyDescent="0.25">
      <c r="T2176" s="113"/>
      <c r="U2176" s="111"/>
      <c r="W2176" s="83"/>
    </row>
    <row r="2177" spans="20:23" x14ac:dyDescent="0.25">
      <c r="T2177" s="113"/>
      <c r="U2177" s="111"/>
      <c r="W2177" s="83"/>
    </row>
    <row r="2178" spans="20:23" x14ac:dyDescent="0.25">
      <c r="T2178" s="113"/>
      <c r="U2178" s="111"/>
      <c r="W2178" s="83"/>
    </row>
    <row r="2179" spans="20:23" x14ac:dyDescent="0.25">
      <c r="T2179" s="113"/>
      <c r="U2179" s="111"/>
      <c r="W2179" s="83"/>
    </row>
    <row r="2180" spans="20:23" x14ac:dyDescent="0.25">
      <c r="T2180" s="113"/>
      <c r="U2180" s="111"/>
      <c r="W2180" s="83"/>
    </row>
    <row r="2181" spans="20:23" x14ac:dyDescent="0.25">
      <c r="T2181" s="113"/>
      <c r="U2181" s="111"/>
      <c r="W2181" s="83"/>
    </row>
    <row r="2182" spans="20:23" x14ac:dyDescent="0.25">
      <c r="T2182" s="113"/>
      <c r="U2182" s="111"/>
      <c r="W2182" s="83"/>
    </row>
    <row r="2183" spans="20:23" x14ac:dyDescent="0.25">
      <c r="T2183" s="113"/>
      <c r="U2183" s="111"/>
      <c r="W2183" s="83"/>
    </row>
    <row r="2184" spans="20:23" x14ac:dyDescent="0.25">
      <c r="T2184" s="113"/>
      <c r="U2184" s="111"/>
      <c r="W2184" s="83"/>
    </row>
    <row r="2185" spans="20:23" x14ac:dyDescent="0.25">
      <c r="T2185" s="113"/>
      <c r="U2185" s="111"/>
      <c r="W2185" s="83"/>
    </row>
    <row r="2186" spans="20:23" x14ac:dyDescent="0.25">
      <c r="T2186" s="113"/>
      <c r="U2186" s="111"/>
      <c r="W2186" s="83"/>
    </row>
    <row r="2187" spans="20:23" x14ac:dyDescent="0.25">
      <c r="T2187" s="113"/>
      <c r="U2187" s="111"/>
      <c r="W2187" s="83"/>
    </row>
    <row r="2188" spans="20:23" x14ac:dyDescent="0.25">
      <c r="T2188" s="113"/>
      <c r="U2188" s="111"/>
      <c r="W2188" s="83"/>
    </row>
    <row r="2189" spans="20:23" x14ac:dyDescent="0.25">
      <c r="T2189" s="113"/>
      <c r="U2189" s="111"/>
      <c r="W2189" s="83"/>
    </row>
    <row r="2190" spans="20:23" x14ac:dyDescent="0.25">
      <c r="T2190" s="113"/>
      <c r="U2190" s="111"/>
      <c r="W2190" s="83"/>
    </row>
    <row r="2191" spans="20:23" x14ac:dyDescent="0.25">
      <c r="T2191" s="113"/>
      <c r="U2191" s="111"/>
      <c r="W2191" s="83"/>
    </row>
    <row r="2192" spans="20:23" x14ac:dyDescent="0.25">
      <c r="T2192" s="113"/>
      <c r="U2192" s="111"/>
      <c r="W2192" s="83"/>
    </row>
    <row r="2193" spans="20:23" x14ac:dyDescent="0.25">
      <c r="T2193" s="113"/>
      <c r="U2193" s="111"/>
      <c r="W2193" s="83"/>
    </row>
    <row r="2194" spans="20:23" x14ac:dyDescent="0.25">
      <c r="T2194" s="113"/>
      <c r="U2194" s="111"/>
      <c r="W2194" s="83"/>
    </row>
    <row r="2195" spans="20:23" x14ac:dyDescent="0.25">
      <c r="T2195" s="113"/>
      <c r="U2195" s="111"/>
      <c r="W2195" s="83"/>
    </row>
    <row r="2196" spans="20:23" x14ac:dyDescent="0.25">
      <c r="T2196" s="113"/>
      <c r="U2196" s="111"/>
      <c r="W2196" s="83"/>
    </row>
    <row r="2197" spans="20:23" x14ac:dyDescent="0.25">
      <c r="T2197" s="113"/>
      <c r="U2197" s="111"/>
      <c r="W2197" s="83"/>
    </row>
    <row r="2198" spans="20:23" x14ac:dyDescent="0.25">
      <c r="T2198" s="113"/>
      <c r="U2198" s="111"/>
      <c r="W2198" s="83"/>
    </row>
    <row r="2199" spans="20:23" x14ac:dyDescent="0.25">
      <c r="T2199" s="113"/>
      <c r="U2199" s="111"/>
      <c r="W2199" s="83"/>
    </row>
    <row r="2200" spans="20:23" x14ac:dyDescent="0.25">
      <c r="T2200" s="113"/>
      <c r="U2200" s="111"/>
      <c r="W2200" s="83"/>
    </row>
    <row r="2201" spans="20:23" x14ac:dyDescent="0.25">
      <c r="T2201" s="113"/>
      <c r="U2201" s="111"/>
      <c r="W2201" s="83"/>
    </row>
    <row r="2202" spans="20:23" x14ac:dyDescent="0.25">
      <c r="T2202" s="113"/>
      <c r="U2202" s="111"/>
      <c r="W2202" s="83"/>
    </row>
    <row r="2203" spans="20:23" x14ac:dyDescent="0.25">
      <c r="T2203" s="113"/>
      <c r="U2203" s="111"/>
      <c r="W2203" s="83"/>
    </row>
    <row r="2204" spans="20:23" x14ac:dyDescent="0.25">
      <c r="T2204" s="113"/>
      <c r="U2204" s="111"/>
      <c r="W2204" s="83"/>
    </row>
    <row r="2205" spans="20:23" x14ac:dyDescent="0.25">
      <c r="T2205" s="113"/>
      <c r="U2205" s="111"/>
      <c r="W2205" s="83"/>
    </row>
    <row r="2206" spans="20:23" x14ac:dyDescent="0.25">
      <c r="T2206" s="113"/>
      <c r="U2206" s="111"/>
      <c r="W2206" s="83"/>
    </row>
    <row r="2207" spans="20:23" x14ac:dyDescent="0.25">
      <c r="T2207" s="113"/>
      <c r="U2207" s="111"/>
      <c r="W2207" s="83"/>
    </row>
    <row r="2208" spans="20:23" x14ac:dyDescent="0.25">
      <c r="T2208" s="113"/>
      <c r="U2208" s="111"/>
      <c r="W2208" s="83"/>
    </row>
    <row r="2209" spans="20:23" x14ac:dyDescent="0.25">
      <c r="T2209" s="113"/>
      <c r="U2209" s="111"/>
      <c r="W2209" s="83"/>
    </row>
    <row r="2210" spans="20:23" x14ac:dyDescent="0.25">
      <c r="T2210" s="113"/>
      <c r="U2210" s="111"/>
      <c r="W2210" s="83"/>
    </row>
    <row r="2211" spans="20:23" x14ac:dyDescent="0.25">
      <c r="T2211" s="113"/>
      <c r="U2211" s="111"/>
      <c r="W2211" s="83"/>
    </row>
    <row r="2212" spans="20:23" x14ac:dyDescent="0.25">
      <c r="T2212" s="113"/>
      <c r="U2212" s="111"/>
      <c r="W2212" s="83"/>
    </row>
    <row r="2213" spans="20:23" x14ac:dyDescent="0.25">
      <c r="T2213" s="113"/>
      <c r="U2213" s="111"/>
      <c r="W2213" s="83"/>
    </row>
    <row r="2214" spans="20:23" x14ac:dyDescent="0.25">
      <c r="T2214" s="113"/>
      <c r="U2214" s="111"/>
      <c r="W2214" s="83"/>
    </row>
    <row r="2215" spans="20:23" x14ac:dyDescent="0.25">
      <c r="T2215" s="113"/>
      <c r="U2215" s="111"/>
      <c r="W2215" s="83"/>
    </row>
    <row r="2216" spans="20:23" x14ac:dyDescent="0.25">
      <c r="T2216" s="113"/>
      <c r="U2216" s="111"/>
      <c r="W2216" s="83"/>
    </row>
    <row r="2217" spans="20:23" x14ac:dyDescent="0.25">
      <c r="T2217" s="113"/>
      <c r="U2217" s="111"/>
      <c r="W2217" s="83"/>
    </row>
    <row r="2218" spans="20:23" x14ac:dyDescent="0.25">
      <c r="T2218" s="113"/>
      <c r="U2218" s="111"/>
      <c r="W2218" s="83"/>
    </row>
    <row r="2219" spans="20:23" x14ac:dyDescent="0.25">
      <c r="T2219" s="113"/>
      <c r="U2219" s="111"/>
      <c r="W2219" s="83"/>
    </row>
    <row r="2220" spans="20:23" x14ac:dyDescent="0.25">
      <c r="T2220" s="113"/>
      <c r="U2220" s="111"/>
      <c r="W2220" s="83"/>
    </row>
    <row r="2221" spans="20:23" x14ac:dyDescent="0.25">
      <c r="T2221" s="113"/>
      <c r="U2221" s="111"/>
      <c r="W2221" s="83"/>
    </row>
    <row r="2222" spans="20:23" x14ac:dyDescent="0.25">
      <c r="T2222" s="113"/>
      <c r="U2222" s="111"/>
      <c r="W2222" s="83"/>
    </row>
    <row r="2223" spans="20:23" x14ac:dyDescent="0.25">
      <c r="T2223" s="113"/>
      <c r="U2223" s="111"/>
      <c r="W2223" s="83"/>
    </row>
    <row r="2224" spans="20:23" x14ac:dyDescent="0.25">
      <c r="T2224" s="113"/>
      <c r="U2224" s="111"/>
      <c r="W2224" s="83"/>
    </row>
    <row r="2225" spans="20:23" x14ac:dyDescent="0.25">
      <c r="T2225" s="113"/>
      <c r="U2225" s="111"/>
      <c r="W2225" s="83"/>
    </row>
    <row r="2226" spans="20:23" x14ac:dyDescent="0.25">
      <c r="T2226" s="113"/>
      <c r="U2226" s="111"/>
      <c r="W2226" s="83"/>
    </row>
    <row r="2227" spans="20:23" x14ac:dyDescent="0.25">
      <c r="T2227" s="113"/>
      <c r="U2227" s="111"/>
      <c r="W2227" s="83"/>
    </row>
    <row r="2228" spans="20:23" x14ac:dyDescent="0.25">
      <c r="T2228" s="113"/>
      <c r="U2228" s="111"/>
      <c r="W2228" s="83"/>
    </row>
    <row r="2229" spans="20:23" x14ac:dyDescent="0.25">
      <c r="T2229" s="113"/>
      <c r="U2229" s="111"/>
      <c r="W2229" s="83"/>
    </row>
    <row r="2230" spans="20:23" x14ac:dyDescent="0.25">
      <c r="T2230" s="113"/>
      <c r="U2230" s="111"/>
      <c r="W2230" s="83"/>
    </row>
    <row r="2231" spans="20:23" x14ac:dyDescent="0.25">
      <c r="T2231" s="113"/>
      <c r="U2231" s="111"/>
      <c r="W2231" s="83"/>
    </row>
    <row r="2232" spans="20:23" x14ac:dyDescent="0.25">
      <c r="T2232" s="113"/>
      <c r="U2232" s="111"/>
      <c r="W2232" s="83"/>
    </row>
    <row r="2233" spans="20:23" x14ac:dyDescent="0.25">
      <c r="T2233" s="113"/>
      <c r="U2233" s="111"/>
      <c r="W2233" s="83"/>
    </row>
    <row r="2234" spans="20:23" x14ac:dyDescent="0.25">
      <c r="T2234" s="113"/>
      <c r="U2234" s="111"/>
      <c r="W2234" s="83"/>
    </row>
    <row r="2235" spans="20:23" x14ac:dyDescent="0.25">
      <c r="T2235" s="113"/>
      <c r="U2235" s="111"/>
      <c r="W2235" s="83"/>
    </row>
    <row r="2236" spans="20:23" x14ac:dyDescent="0.25">
      <c r="T2236" s="113"/>
      <c r="U2236" s="111"/>
      <c r="W2236" s="83"/>
    </row>
    <row r="2237" spans="20:23" x14ac:dyDescent="0.25">
      <c r="T2237" s="113"/>
      <c r="U2237" s="111"/>
      <c r="W2237" s="83"/>
    </row>
    <row r="2238" spans="20:23" x14ac:dyDescent="0.25">
      <c r="T2238" s="113"/>
      <c r="U2238" s="111"/>
      <c r="W2238" s="83"/>
    </row>
    <row r="2239" spans="20:23" x14ac:dyDescent="0.25">
      <c r="T2239" s="113"/>
      <c r="U2239" s="111"/>
      <c r="W2239" s="83"/>
    </row>
    <row r="2240" spans="20:23" x14ac:dyDescent="0.25">
      <c r="T2240" s="113"/>
      <c r="U2240" s="111"/>
      <c r="W2240" s="83"/>
    </row>
    <row r="2241" spans="20:23" x14ac:dyDescent="0.25">
      <c r="T2241" s="113"/>
      <c r="U2241" s="111"/>
      <c r="W2241" s="83"/>
    </row>
    <row r="2242" spans="20:23" x14ac:dyDescent="0.25">
      <c r="T2242" s="113"/>
      <c r="U2242" s="111"/>
      <c r="W2242" s="83"/>
    </row>
    <row r="2243" spans="20:23" x14ac:dyDescent="0.25">
      <c r="T2243" s="113"/>
      <c r="U2243" s="111"/>
      <c r="W2243" s="83"/>
    </row>
    <row r="2244" spans="20:23" x14ac:dyDescent="0.25">
      <c r="T2244" s="113"/>
      <c r="U2244" s="111"/>
      <c r="W2244" s="83"/>
    </row>
    <row r="2245" spans="20:23" x14ac:dyDescent="0.25">
      <c r="T2245" s="113"/>
      <c r="U2245" s="111"/>
      <c r="W2245" s="83"/>
    </row>
    <row r="2246" spans="20:23" x14ac:dyDescent="0.25">
      <c r="T2246" s="113"/>
      <c r="U2246" s="111"/>
      <c r="W2246" s="83"/>
    </row>
    <row r="2247" spans="20:23" x14ac:dyDescent="0.25">
      <c r="T2247" s="113"/>
      <c r="U2247" s="111"/>
      <c r="W2247" s="83"/>
    </row>
    <row r="2248" spans="20:23" x14ac:dyDescent="0.25">
      <c r="T2248" s="113"/>
      <c r="U2248" s="111"/>
      <c r="W2248" s="83"/>
    </row>
    <row r="2249" spans="20:23" x14ac:dyDescent="0.25">
      <c r="T2249" s="113"/>
      <c r="U2249" s="111"/>
      <c r="W2249" s="83"/>
    </row>
    <row r="2250" spans="20:23" x14ac:dyDescent="0.25">
      <c r="T2250" s="113"/>
      <c r="U2250" s="111"/>
      <c r="W2250" s="83"/>
    </row>
    <row r="2251" spans="20:23" x14ac:dyDescent="0.25">
      <c r="T2251" s="113"/>
      <c r="U2251" s="111"/>
      <c r="W2251" s="83"/>
    </row>
    <row r="2252" spans="20:23" x14ac:dyDescent="0.25">
      <c r="T2252" s="113"/>
      <c r="U2252" s="111"/>
      <c r="W2252" s="83"/>
    </row>
    <row r="2253" spans="20:23" x14ac:dyDescent="0.25">
      <c r="T2253" s="113"/>
      <c r="U2253" s="111"/>
      <c r="W2253" s="83"/>
    </row>
    <row r="2254" spans="20:23" x14ac:dyDescent="0.25">
      <c r="T2254" s="113"/>
      <c r="U2254" s="111"/>
      <c r="W2254" s="83"/>
    </row>
    <row r="2255" spans="20:23" x14ac:dyDescent="0.25">
      <c r="T2255" s="113"/>
      <c r="U2255" s="111"/>
      <c r="W2255" s="83"/>
    </row>
    <row r="2256" spans="20:23" x14ac:dyDescent="0.25">
      <c r="T2256" s="113"/>
      <c r="U2256" s="111"/>
      <c r="W2256" s="83"/>
    </row>
    <row r="2257" spans="20:23" x14ac:dyDescent="0.25">
      <c r="T2257" s="113"/>
      <c r="U2257" s="111"/>
      <c r="W2257" s="83"/>
    </row>
    <row r="2258" spans="20:23" x14ac:dyDescent="0.25">
      <c r="T2258" s="113"/>
      <c r="U2258" s="111"/>
      <c r="W2258" s="83"/>
    </row>
    <row r="2259" spans="20:23" x14ac:dyDescent="0.25">
      <c r="T2259" s="113"/>
      <c r="U2259" s="111"/>
      <c r="W2259" s="83"/>
    </row>
    <row r="2260" spans="20:23" x14ac:dyDescent="0.25">
      <c r="T2260" s="113"/>
      <c r="U2260" s="111"/>
      <c r="W2260" s="83"/>
    </row>
    <row r="2261" spans="20:23" x14ac:dyDescent="0.25">
      <c r="T2261" s="113"/>
      <c r="U2261" s="111"/>
      <c r="W2261" s="83"/>
    </row>
    <row r="2262" spans="20:23" x14ac:dyDescent="0.25">
      <c r="T2262" s="113"/>
      <c r="U2262" s="111"/>
      <c r="W2262" s="83"/>
    </row>
    <row r="2263" spans="20:23" x14ac:dyDescent="0.25">
      <c r="T2263" s="113"/>
      <c r="U2263" s="111"/>
      <c r="W2263" s="83"/>
    </row>
    <row r="2264" spans="20:23" x14ac:dyDescent="0.25">
      <c r="T2264" s="113"/>
      <c r="U2264" s="111"/>
      <c r="W2264" s="83"/>
    </row>
    <row r="2265" spans="20:23" x14ac:dyDescent="0.25">
      <c r="T2265" s="113"/>
      <c r="U2265" s="111"/>
      <c r="W2265" s="83"/>
    </row>
    <row r="2266" spans="20:23" x14ac:dyDescent="0.25">
      <c r="T2266" s="113"/>
      <c r="U2266" s="111"/>
      <c r="W2266" s="83"/>
    </row>
    <row r="2267" spans="20:23" x14ac:dyDescent="0.25">
      <c r="T2267" s="113"/>
      <c r="U2267" s="111"/>
      <c r="W2267" s="83"/>
    </row>
    <row r="2268" spans="20:23" x14ac:dyDescent="0.25">
      <c r="T2268" s="113"/>
      <c r="U2268" s="111"/>
      <c r="W2268" s="83"/>
    </row>
    <row r="2269" spans="20:23" x14ac:dyDescent="0.25">
      <c r="T2269" s="113"/>
      <c r="U2269" s="111"/>
      <c r="W2269" s="83"/>
    </row>
    <row r="2270" spans="20:23" x14ac:dyDescent="0.25">
      <c r="T2270" s="113"/>
      <c r="U2270" s="111"/>
      <c r="W2270" s="83"/>
    </row>
    <row r="2271" spans="20:23" x14ac:dyDescent="0.25">
      <c r="T2271" s="113"/>
      <c r="U2271" s="111"/>
      <c r="W2271" s="83"/>
    </row>
    <row r="2272" spans="20:23" x14ac:dyDescent="0.25">
      <c r="T2272" s="113"/>
      <c r="U2272" s="111"/>
      <c r="W2272" s="83"/>
    </row>
    <row r="2273" spans="20:23" x14ac:dyDescent="0.25">
      <c r="T2273" s="113"/>
      <c r="U2273" s="111"/>
      <c r="W2273" s="83"/>
    </row>
    <row r="2274" spans="20:23" x14ac:dyDescent="0.25">
      <c r="T2274" s="113"/>
      <c r="U2274" s="111"/>
      <c r="W2274" s="83"/>
    </row>
    <row r="2275" spans="20:23" x14ac:dyDescent="0.25">
      <c r="T2275" s="113"/>
      <c r="U2275" s="111"/>
      <c r="W2275" s="83"/>
    </row>
    <row r="2276" spans="20:23" x14ac:dyDescent="0.25">
      <c r="T2276" s="113"/>
      <c r="U2276" s="111"/>
      <c r="W2276" s="83"/>
    </row>
    <row r="2277" spans="20:23" x14ac:dyDescent="0.25">
      <c r="T2277" s="113"/>
      <c r="U2277" s="111"/>
      <c r="W2277" s="83"/>
    </row>
    <row r="2278" spans="20:23" x14ac:dyDescent="0.25">
      <c r="T2278" s="113"/>
      <c r="U2278" s="111"/>
      <c r="W2278" s="83"/>
    </row>
    <row r="2279" spans="20:23" x14ac:dyDescent="0.25">
      <c r="T2279" s="113"/>
      <c r="U2279" s="111"/>
      <c r="W2279" s="83"/>
    </row>
    <row r="2280" spans="20:23" x14ac:dyDescent="0.25">
      <c r="T2280" s="113"/>
      <c r="U2280" s="111"/>
      <c r="W2280" s="83"/>
    </row>
    <row r="2281" spans="20:23" x14ac:dyDescent="0.25">
      <c r="T2281" s="113"/>
      <c r="U2281" s="111"/>
      <c r="W2281" s="83"/>
    </row>
    <row r="2282" spans="20:23" x14ac:dyDescent="0.25">
      <c r="T2282" s="113"/>
      <c r="U2282" s="111"/>
      <c r="W2282" s="83"/>
    </row>
    <row r="2283" spans="20:23" x14ac:dyDescent="0.25">
      <c r="T2283" s="113"/>
      <c r="U2283" s="111"/>
      <c r="W2283" s="83"/>
    </row>
    <row r="2284" spans="20:23" x14ac:dyDescent="0.25">
      <c r="T2284" s="113"/>
      <c r="U2284" s="111"/>
      <c r="W2284" s="83"/>
    </row>
    <row r="2285" spans="20:23" x14ac:dyDescent="0.25">
      <c r="T2285" s="113"/>
      <c r="U2285" s="111"/>
      <c r="W2285" s="83"/>
    </row>
    <row r="2286" spans="20:23" x14ac:dyDescent="0.25">
      <c r="T2286" s="113"/>
      <c r="U2286" s="111"/>
      <c r="W2286" s="83"/>
    </row>
    <row r="2287" spans="20:23" x14ac:dyDescent="0.25">
      <c r="T2287" s="113"/>
      <c r="U2287" s="111"/>
      <c r="W2287" s="83"/>
    </row>
    <row r="2288" spans="20:23" x14ac:dyDescent="0.25">
      <c r="T2288" s="113"/>
      <c r="U2288" s="111"/>
      <c r="W2288" s="83"/>
    </row>
    <row r="2289" spans="20:23" x14ac:dyDescent="0.25">
      <c r="T2289" s="113"/>
      <c r="U2289" s="111"/>
      <c r="W2289" s="83"/>
    </row>
    <row r="2290" spans="20:23" x14ac:dyDescent="0.25">
      <c r="T2290" s="113"/>
      <c r="U2290" s="111"/>
      <c r="W2290" s="83"/>
    </row>
    <row r="2291" spans="20:23" x14ac:dyDescent="0.25">
      <c r="T2291" s="113"/>
      <c r="U2291" s="111"/>
      <c r="W2291" s="83"/>
    </row>
    <row r="2292" spans="20:23" x14ac:dyDescent="0.25">
      <c r="T2292" s="113"/>
      <c r="U2292" s="111"/>
      <c r="W2292" s="83"/>
    </row>
    <row r="2293" spans="20:23" x14ac:dyDescent="0.25">
      <c r="T2293" s="113"/>
      <c r="U2293" s="111"/>
      <c r="W2293" s="83"/>
    </row>
    <row r="2294" spans="20:23" x14ac:dyDescent="0.25">
      <c r="T2294" s="113"/>
      <c r="U2294" s="111"/>
      <c r="W2294" s="83"/>
    </row>
    <row r="2295" spans="20:23" x14ac:dyDescent="0.25">
      <c r="T2295" s="113"/>
      <c r="U2295" s="111"/>
      <c r="W2295" s="83"/>
    </row>
    <row r="2296" spans="20:23" x14ac:dyDescent="0.25">
      <c r="T2296" s="113"/>
      <c r="U2296" s="111"/>
      <c r="W2296" s="83"/>
    </row>
    <row r="2297" spans="20:23" x14ac:dyDescent="0.25">
      <c r="T2297" s="113"/>
      <c r="U2297" s="111"/>
      <c r="W2297" s="83"/>
    </row>
    <row r="2298" spans="20:23" x14ac:dyDescent="0.25">
      <c r="T2298" s="113"/>
      <c r="U2298" s="111"/>
      <c r="W2298" s="83"/>
    </row>
    <row r="2299" spans="20:23" x14ac:dyDescent="0.25">
      <c r="T2299" s="113"/>
      <c r="U2299" s="111"/>
      <c r="W2299" s="83"/>
    </row>
    <row r="2300" spans="20:23" x14ac:dyDescent="0.25">
      <c r="T2300" s="113"/>
      <c r="U2300" s="111"/>
      <c r="W2300" s="83"/>
    </row>
    <row r="2301" spans="20:23" x14ac:dyDescent="0.25">
      <c r="T2301" s="113"/>
      <c r="U2301" s="111"/>
      <c r="W2301" s="83"/>
    </row>
    <row r="2302" spans="20:23" x14ac:dyDescent="0.25">
      <c r="T2302" s="113"/>
      <c r="U2302" s="111"/>
      <c r="W2302" s="83"/>
    </row>
    <row r="2303" spans="20:23" x14ac:dyDescent="0.25">
      <c r="T2303" s="113"/>
      <c r="U2303" s="111"/>
      <c r="W2303" s="83"/>
    </row>
    <row r="2304" spans="20:23" x14ac:dyDescent="0.25">
      <c r="T2304" s="113"/>
      <c r="U2304" s="111"/>
      <c r="W2304" s="83"/>
    </row>
    <row r="2305" spans="20:23" x14ac:dyDescent="0.25">
      <c r="T2305" s="113"/>
      <c r="U2305" s="111"/>
      <c r="W2305" s="83"/>
    </row>
    <row r="2306" spans="20:23" x14ac:dyDescent="0.25">
      <c r="T2306" s="113"/>
      <c r="U2306" s="111"/>
      <c r="W2306" s="83"/>
    </row>
    <row r="2307" spans="20:23" x14ac:dyDescent="0.25">
      <c r="T2307" s="113"/>
      <c r="U2307" s="111"/>
      <c r="W2307" s="83"/>
    </row>
    <row r="2308" spans="20:23" x14ac:dyDescent="0.25">
      <c r="T2308" s="113"/>
      <c r="U2308" s="111"/>
      <c r="W2308" s="83"/>
    </row>
    <row r="2309" spans="20:23" x14ac:dyDescent="0.25">
      <c r="T2309" s="113"/>
      <c r="U2309" s="111"/>
      <c r="W2309" s="83"/>
    </row>
    <row r="2310" spans="20:23" x14ac:dyDescent="0.25">
      <c r="T2310" s="113"/>
      <c r="U2310" s="111"/>
      <c r="W2310" s="83"/>
    </row>
    <row r="2311" spans="20:23" x14ac:dyDescent="0.25">
      <c r="T2311" s="113"/>
      <c r="U2311" s="111"/>
      <c r="W2311" s="83"/>
    </row>
    <row r="2312" spans="20:23" x14ac:dyDescent="0.25">
      <c r="T2312" s="113"/>
      <c r="U2312" s="111"/>
      <c r="W2312" s="83"/>
    </row>
    <row r="2313" spans="20:23" x14ac:dyDescent="0.25">
      <c r="T2313" s="113"/>
      <c r="U2313" s="111"/>
      <c r="W2313" s="83"/>
    </row>
    <row r="2314" spans="20:23" x14ac:dyDescent="0.25">
      <c r="T2314" s="113"/>
      <c r="U2314" s="111"/>
      <c r="W2314" s="83"/>
    </row>
    <row r="2315" spans="20:23" x14ac:dyDescent="0.25">
      <c r="T2315" s="113"/>
      <c r="U2315" s="111"/>
      <c r="W2315" s="83"/>
    </row>
    <row r="2316" spans="20:23" x14ac:dyDescent="0.25">
      <c r="T2316" s="113"/>
      <c r="U2316" s="111"/>
      <c r="W2316" s="83"/>
    </row>
    <row r="2317" spans="20:23" x14ac:dyDescent="0.25">
      <c r="T2317" s="113"/>
      <c r="U2317" s="111"/>
      <c r="W2317" s="83"/>
    </row>
    <row r="2318" spans="20:23" x14ac:dyDescent="0.25">
      <c r="T2318" s="113"/>
      <c r="U2318" s="111"/>
      <c r="W2318" s="83"/>
    </row>
    <row r="2319" spans="20:23" x14ac:dyDescent="0.25">
      <c r="T2319" s="113"/>
      <c r="U2319" s="111"/>
      <c r="W2319" s="83"/>
    </row>
    <row r="2320" spans="20:23" x14ac:dyDescent="0.25">
      <c r="T2320" s="113"/>
      <c r="U2320" s="111"/>
      <c r="W2320" s="83"/>
    </row>
    <row r="2321" spans="20:23" x14ac:dyDescent="0.25">
      <c r="T2321" s="113"/>
      <c r="U2321" s="111"/>
      <c r="W2321" s="83"/>
    </row>
    <row r="2322" spans="20:23" x14ac:dyDescent="0.25">
      <c r="T2322" s="113"/>
      <c r="U2322" s="111"/>
      <c r="W2322" s="83"/>
    </row>
    <row r="2323" spans="20:23" x14ac:dyDescent="0.25">
      <c r="T2323" s="113"/>
      <c r="U2323" s="111"/>
      <c r="W2323" s="83"/>
    </row>
    <row r="2324" spans="20:23" x14ac:dyDescent="0.25">
      <c r="T2324" s="113"/>
      <c r="U2324" s="111"/>
      <c r="W2324" s="83"/>
    </row>
    <row r="2325" spans="20:23" x14ac:dyDescent="0.25">
      <c r="T2325" s="113"/>
      <c r="U2325" s="111"/>
      <c r="W2325" s="83"/>
    </row>
    <row r="2326" spans="20:23" x14ac:dyDescent="0.25">
      <c r="T2326" s="113"/>
      <c r="U2326" s="111"/>
      <c r="W2326" s="83"/>
    </row>
    <row r="2327" spans="20:23" x14ac:dyDescent="0.25">
      <c r="T2327" s="113"/>
      <c r="U2327" s="111"/>
      <c r="W2327" s="83"/>
    </row>
    <row r="2328" spans="20:23" x14ac:dyDescent="0.25">
      <c r="T2328" s="113"/>
      <c r="U2328" s="111"/>
      <c r="W2328" s="83"/>
    </row>
    <row r="2329" spans="20:23" x14ac:dyDescent="0.25">
      <c r="T2329" s="113"/>
      <c r="U2329" s="111"/>
      <c r="W2329" s="83"/>
    </row>
    <row r="2330" spans="20:23" x14ac:dyDescent="0.25">
      <c r="T2330" s="113"/>
      <c r="U2330" s="111"/>
      <c r="W2330" s="83"/>
    </row>
    <row r="2331" spans="20:23" x14ac:dyDescent="0.25">
      <c r="T2331" s="113"/>
      <c r="U2331" s="111"/>
      <c r="W2331" s="83"/>
    </row>
    <row r="2332" spans="20:23" x14ac:dyDescent="0.25">
      <c r="T2332" s="113"/>
      <c r="U2332" s="111"/>
      <c r="W2332" s="83"/>
    </row>
    <row r="2333" spans="20:23" x14ac:dyDescent="0.25">
      <c r="T2333" s="113"/>
      <c r="U2333" s="111"/>
      <c r="W2333" s="83"/>
    </row>
    <row r="2334" spans="20:23" x14ac:dyDescent="0.25">
      <c r="T2334" s="113"/>
      <c r="U2334" s="111"/>
      <c r="W2334" s="83"/>
    </row>
    <row r="2335" spans="20:23" x14ac:dyDescent="0.25">
      <c r="T2335" s="113"/>
      <c r="U2335" s="111"/>
      <c r="W2335" s="83"/>
    </row>
    <row r="2336" spans="20:23" x14ac:dyDescent="0.25">
      <c r="T2336" s="113"/>
      <c r="U2336" s="111"/>
      <c r="W2336" s="83"/>
    </row>
    <row r="2337" spans="20:23" x14ac:dyDescent="0.25">
      <c r="T2337" s="113"/>
      <c r="U2337" s="111"/>
      <c r="W2337" s="83"/>
    </row>
    <row r="2338" spans="20:23" x14ac:dyDescent="0.25">
      <c r="T2338" s="113"/>
      <c r="U2338" s="111"/>
      <c r="W2338" s="83"/>
    </row>
    <row r="2339" spans="20:23" x14ac:dyDescent="0.25">
      <c r="T2339" s="113"/>
      <c r="U2339" s="111"/>
      <c r="W2339" s="83"/>
    </row>
    <row r="2340" spans="20:23" x14ac:dyDescent="0.25">
      <c r="T2340" s="113"/>
      <c r="U2340" s="111"/>
      <c r="W2340" s="83"/>
    </row>
    <row r="2341" spans="20:23" x14ac:dyDescent="0.25">
      <c r="T2341" s="113"/>
      <c r="U2341" s="111"/>
      <c r="W2341" s="83"/>
    </row>
    <row r="2342" spans="20:23" x14ac:dyDescent="0.25">
      <c r="T2342" s="113"/>
      <c r="U2342" s="111"/>
      <c r="W2342" s="83"/>
    </row>
    <row r="2343" spans="20:23" x14ac:dyDescent="0.25">
      <c r="T2343" s="113"/>
      <c r="U2343" s="111"/>
      <c r="W2343" s="83"/>
    </row>
    <row r="2344" spans="20:23" x14ac:dyDescent="0.25">
      <c r="T2344" s="113"/>
      <c r="U2344" s="111"/>
      <c r="W2344" s="83"/>
    </row>
    <row r="2345" spans="20:23" x14ac:dyDescent="0.25">
      <c r="T2345" s="113"/>
      <c r="U2345" s="111"/>
      <c r="W2345" s="83"/>
    </row>
    <row r="2346" spans="20:23" x14ac:dyDescent="0.25">
      <c r="T2346" s="113"/>
      <c r="U2346" s="111"/>
      <c r="W2346" s="83"/>
    </row>
    <row r="2347" spans="20:23" x14ac:dyDescent="0.25">
      <c r="T2347" s="113"/>
      <c r="U2347" s="111"/>
      <c r="W2347" s="83"/>
    </row>
    <row r="2348" spans="20:23" x14ac:dyDescent="0.25">
      <c r="T2348" s="113"/>
      <c r="U2348" s="111"/>
      <c r="W2348" s="83"/>
    </row>
    <row r="2349" spans="20:23" x14ac:dyDescent="0.25">
      <c r="T2349" s="113"/>
      <c r="U2349" s="111"/>
      <c r="W2349" s="83"/>
    </row>
    <row r="2350" spans="20:23" x14ac:dyDescent="0.25">
      <c r="T2350" s="113"/>
      <c r="U2350" s="111"/>
      <c r="W2350" s="83"/>
    </row>
    <row r="2351" spans="20:23" x14ac:dyDescent="0.25">
      <c r="T2351" s="113"/>
      <c r="U2351" s="111"/>
      <c r="W2351" s="83"/>
    </row>
    <row r="2352" spans="20:23" x14ac:dyDescent="0.25">
      <c r="T2352" s="113"/>
      <c r="U2352" s="111"/>
      <c r="W2352" s="83"/>
    </row>
    <row r="2353" spans="20:23" x14ac:dyDescent="0.25">
      <c r="T2353" s="113"/>
      <c r="U2353" s="111"/>
      <c r="W2353" s="83"/>
    </row>
    <row r="2354" spans="20:23" x14ac:dyDescent="0.25">
      <c r="T2354" s="113"/>
      <c r="U2354" s="111"/>
      <c r="W2354" s="83"/>
    </row>
    <row r="2355" spans="20:23" x14ac:dyDescent="0.25">
      <c r="T2355" s="113"/>
      <c r="U2355" s="111"/>
      <c r="W2355" s="83"/>
    </row>
    <row r="2356" spans="20:23" x14ac:dyDescent="0.25">
      <c r="T2356" s="113"/>
      <c r="U2356" s="111"/>
      <c r="W2356" s="83"/>
    </row>
    <row r="2357" spans="20:23" x14ac:dyDescent="0.25">
      <c r="T2357" s="113"/>
      <c r="U2357" s="111"/>
      <c r="W2357" s="83"/>
    </row>
    <row r="2358" spans="20:23" x14ac:dyDescent="0.25">
      <c r="T2358" s="113"/>
      <c r="U2358" s="111"/>
      <c r="W2358" s="83"/>
    </row>
    <row r="2359" spans="20:23" x14ac:dyDescent="0.25">
      <c r="T2359" s="113"/>
      <c r="U2359" s="111"/>
      <c r="W2359" s="83"/>
    </row>
    <row r="2360" spans="20:23" x14ac:dyDescent="0.25">
      <c r="T2360" s="113"/>
      <c r="U2360" s="111"/>
      <c r="W2360" s="83"/>
    </row>
    <row r="2361" spans="20:23" x14ac:dyDescent="0.25">
      <c r="T2361" s="113"/>
      <c r="U2361" s="111"/>
      <c r="W2361" s="83"/>
    </row>
    <row r="2362" spans="20:23" x14ac:dyDescent="0.25">
      <c r="T2362" s="113"/>
      <c r="U2362" s="111"/>
      <c r="W2362" s="83"/>
    </row>
    <row r="2363" spans="20:23" x14ac:dyDescent="0.25">
      <c r="T2363" s="113"/>
      <c r="U2363" s="111"/>
      <c r="W2363" s="83"/>
    </row>
    <row r="2364" spans="20:23" x14ac:dyDescent="0.25">
      <c r="T2364" s="113"/>
      <c r="U2364" s="111"/>
      <c r="W2364" s="83"/>
    </row>
    <row r="2365" spans="20:23" x14ac:dyDescent="0.25">
      <c r="T2365" s="113"/>
      <c r="U2365" s="111"/>
      <c r="W2365" s="83"/>
    </row>
    <row r="2366" spans="20:23" x14ac:dyDescent="0.25">
      <c r="T2366" s="113"/>
      <c r="U2366" s="111"/>
      <c r="W2366" s="83"/>
    </row>
    <row r="2367" spans="20:23" x14ac:dyDescent="0.25">
      <c r="T2367" s="113"/>
      <c r="U2367" s="111"/>
      <c r="W2367" s="83"/>
    </row>
    <row r="2368" spans="20:23" x14ac:dyDescent="0.25">
      <c r="T2368" s="113"/>
      <c r="U2368" s="111"/>
      <c r="W2368" s="83"/>
    </row>
    <row r="2369" spans="20:23" x14ac:dyDescent="0.25">
      <c r="T2369" s="113"/>
      <c r="U2369" s="111"/>
      <c r="W2369" s="83"/>
    </row>
    <row r="2370" spans="20:23" x14ac:dyDescent="0.25">
      <c r="T2370" s="113"/>
      <c r="U2370" s="111"/>
      <c r="W2370" s="83"/>
    </row>
    <row r="2371" spans="20:23" x14ac:dyDescent="0.25">
      <c r="T2371" s="113"/>
      <c r="U2371" s="111"/>
      <c r="W2371" s="83"/>
    </row>
    <row r="2372" spans="20:23" x14ac:dyDescent="0.25">
      <c r="T2372" s="113"/>
      <c r="U2372" s="111"/>
      <c r="W2372" s="83"/>
    </row>
    <row r="2373" spans="20:23" x14ac:dyDescent="0.25">
      <c r="T2373" s="113"/>
      <c r="U2373" s="111"/>
      <c r="W2373" s="83"/>
    </row>
    <row r="2374" spans="20:23" x14ac:dyDescent="0.25">
      <c r="T2374" s="113"/>
      <c r="U2374" s="111"/>
      <c r="W2374" s="83"/>
    </row>
    <row r="2375" spans="20:23" x14ac:dyDescent="0.25">
      <c r="T2375" s="113"/>
      <c r="U2375" s="111"/>
      <c r="W2375" s="83"/>
    </row>
    <row r="2376" spans="20:23" x14ac:dyDescent="0.25">
      <c r="T2376" s="113"/>
      <c r="U2376" s="111"/>
      <c r="W2376" s="83"/>
    </row>
    <row r="2377" spans="20:23" x14ac:dyDescent="0.25">
      <c r="T2377" s="113"/>
      <c r="U2377" s="111"/>
      <c r="W2377" s="83"/>
    </row>
    <row r="2378" spans="20:23" x14ac:dyDescent="0.25">
      <c r="T2378" s="113"/>
      <c r="U2378" s="111"/>
      <c r="W2378" s="83"/>
    </row>
    <row r="2379" spans="20:23" x14ac:dyDescent="0.25">
      <c r="T2379" s="113"/>
      <c r="U2379" s="111"/>
      <c r="W2379" s="83"/>
    </row>
    <row r="2380" spans="20:23" x14ac:dyDescent="0.25">
      <c r="T2380" s="113"/>
      <c r="U2380" s="111"/>
      <c r="W2380" s="83"/>
    </row>
    <row r="2381" spans="20:23" x14ac:dyDescent="0.25">
      <c r="T2381" s="113"/>
      <c r="U2381" s="111"/>
      <c r="W2381" s="83"/>
    </row>
    <row r="2382" spans="20:23" x14ac:dyDescent="0.25">
      <c r="T2382" s="113"/>
      <c r="U2382" s="111"/>
      <c r="W2382" s="83"/>
    </row>
    <row r="2383" spans="20:23" x14ac:dyDescent="0.25">
      <c r="T2383" s="113"/>
      <c r="U2383" s="111"/>
      <c r="W2383" s="83"/>
    </row>
    <row r="2384" spans="20:23" x14ac:dyDescent="0.25">
      <c r="T2384" s="113"/>
      <c r="U2384" s="111"/>
      <c r="W2384" s="83"/>
    </row>
    <row r="2385" spans="20:23" x14ac:dyDescent="0.25">
      <c r="T2385" s="113"/>
      <c r="U2385" s="111"/>
      <c r="W2385" s="83"/>
    </row>
    <row r="2386" spans="20:23" x14ac:dyDescent="0.25">
      <c r="T2386" s="113"/>
      <c r="U2386" s="111"/>
      <c r="W2386" s="83"/>
    </row>
    <row r="2387" spans="20:23" x14ac:dyDescent="0.25">
      <c r="T2387" s="113"/>
      <c r="U2387" s="111"/>
      <c r="W2387" s="83"/>
    </row>
    <row r="2388" spans="20:23" x14ac:dyDescent="0.25">
      <c r="T2388" s="113"/>
      <c r="U2388" s="111"/>
      <c r="W2388" s="83"/>
    </row>
    <row r="2389" spans="20:23" x14ac:dyDescent="0.25">
      <c r="T2389" s="113"/>
      <c r="U2389" s="111"/>
      <c r="W2389" s="83"/>
    </row>
    <row r="2390" spans="20:23" x14ac:dyDescent="0.25">
      <c r="T2390" s="113"/>
      <c r="U2390" s="111"/>
      <c r="W2390" s="83"/>
    </row>
    <row r="2391" spans="20:23" x14ac:dyDescent="0.25">
      <c r="T2391" s="113"/>
      <c r="U2391" s="111"/>
      <c r="W2391" s="83"/>
    </row>
    <row r="2392" spans="20:23" x14ac:dyDescent="0.25">
      <c r="T2392" s="113"/>
      <c r="U2392" s="111"/>
      <c r="W2392" s="83"/>
    </row>
    <row r="2393" spans="20:23" x14ac:dyDescent="0.25">
      <c r="T2393" s="113"/>
      <c r="U2393" s="111"/>
      <c r="W2393" s="83"/>
    </row>
    <row r="2394" spans="20:23" x14ac:dyDescent="0.25">
      <c r="T2394" s="113"/>
      <c r="U2394" s="111"/>
      <c r="W2394" s="83"/>
    </row>
    <row r="2395" spans="20:23" x14ac:dyDescent="0.25">
      <c r="T2395" s="113"/>
      <c r="U2395" s="111"/>
      <c r="W2395" s="83"/>
    </row>
    <row r="2396" spans="20:23" x14ac:dyDescent="0.25">
      <c r="T2396" s="113"/>
      <c r="U2396" s="111"/>
      <c r="W2396" s="83"/>
    </row>
    <row r="2397" spans="20:23" x14ac:dyDescent="0.25">
      <c r="T2397" s="113"/>
      <c r="U2397" s="111"/>
      <c r="W2397" s="83"/>
    </row>
    <row r="2398" spans="20:23" x14ac:dyDescent="0.25">
      <c r="T2398" s="113"/>
      <c r="U2398" s="111"/>
      <c r="W2398" s="83"/>
    </row>
    <row r="2399" spans="20:23" x14ac:dyDescent="0.25">
      <c r="T2399" s="113"/>
      <c r="U2399" s="111"/>
      <c r="W2399" s="83"/>
    </row>
    <row r="2400" spans="20:23" x14ac:dyDescent="0.25">
      <c r="T2400" s="113"/>
      <c r="U2400" s="111"/>
      <c r="W2400" s="83"/>
    </row>
    <row r="2401" spans="20:23" x14ac:dyDescent="0.25">
      <c r="T2401" s="113"/>
      <c r="U2401" s="111"/>
      <c r="W2401" s="83"/>
    </row>
    <row r="2402" spans="20:23" x14ac:dyDescent="0.25">
      <c r="T2402" s="113"/>
      <c r="U2402" s="111"/>
      <c r="W2402" s="83"/>
    </row>
    <row r="2403" spans="20:23" x14ac:dyDescent="0.25">
      <c r="T2403" s="113"/>
      <c r="U2403" s="111"/>
      <c r="W2403" s="83"/>
    </row>
    <row r="2404" spans="20:23" x14ac:dyDescent="0.25">
      <c r="T2404" s="113"/>
      <c r="U2404" s="111"/>
      <c r="W2404" s="83"/>
    </row>
    <row r="2405" spans="20:23" x14ac:dyDescent="0.25">
      <c r="T2405" s="113"/>
      <c r="U2405" s="111"/>
      <c r="W2405" s="83"/>
    </row>
    <row r="2406" spans="20:23" x14ac:dyDescent="0.25">
      <c r="T2406" s="113"/>
      <c r="U2406" s="111"/>
      <c r="W2406" s="83"/>
    </row>
    <row r="2407" spans="20:23" x14ac:dyDescent="0.25">
      <c r="T2407" s="113"/>
      <c r="U2407" s="111"/>
      <c r="W2407" s="83"/>
    </row>
    <row r="2408" spans="20:23" x14ac:dyDescent="0.25">
      <c r="T2408" s="113"/>
      <c r="U2408" s="111"/>
      <c r="W2408" s="83"/>
    </row>
    <row r="2409" spans="20:23" x14ac:dyDescent="0.25">
      <c r="T2409" s="113"/>
      <c r="U2409" s="111"/>
      <c r="W2409" s="83"/>
    </row>
    <row r="2410" spans="20:23" x14ac:dyDescent="0.25">
      <c r="T2410" s="113"/>
      <c r="U2410" s="111"/>
      <c r="W2410" s="83"/>
    </row>
    <row r="2411" spans="20:23" x14ac:dyDescent="0.25">
      <c r="T2411" s="113"/>
      <c r="U2411" s="111"/>
      <c r="W2411" s="83"/>
    </row>
    <row r="2412" spans="20:23" x14ac:dyDescent="0.25">
      <c r="T2412" s="113"/>
      <c r="U2412" s="111"/>
      <c r="W2412" s="83"/>
    </row>
    <row r="2413" spans="20:23" x14ac:dyDescent="0.25">
      <c r="T2413" s="113"/>
      <c r="U2413" s="111"/>
      <c r="W2413" s="83"/>
    </row>
    <row r="2414" spans="20:23" x14ac:dyDescent="0.25">
      <c r="T2414" s="113"/>
      <c r="U2414" s="111"/>
      <c r="W2414" s="83"/>
    </row>
    <row r="2415" spans="20:23" x14ac:dyDescent="0.25">
      <c r="T2415" s="113"/>
      <c r="U2415" s="111"/>
      <c r="W2415" s="83"/>
    </row>
    <row r="2416" spans="20:23" x14ac:dyDescent="0.25">
      <c r="T2416" s="113"/>
      <c r="U2416" s="111"/>
      <c r="W2416" s="83"/>
    </row>
    <row r="2417" spans="20:23" x14ac:dyDescent="0.25">
      <c r="T2417" s="113"/>
      <c r="U2417" s="111"/>
      <c r="W2417" s="83"/>
    </row>
    <row r="2418" spans="20:23" x14ac:dyDescent="0.25">
      <c r="T2418" s="113"/>
      <c r="U2418" s="111"/>
      <c r="W2418" s="83"/>
    </row>
    <row r="2419" spans="20:23" x14ac:dyDescent="0.25">
      <c r="T2419" s="113"/>
      <c r="U2419" s="111"/>
      <c r="W2419" s="83"/>
    </row>
    <row r="2420" spans="20:23" x14ac:dyDescent="0.25">
      <c r="T2420" s="113"/>
      <c r="U2420" s="111"/>
      <c r="W2420" s="83"/>
    </row>
    <row r="2421" spans="20:23" x14ac:dyDescent="0.25">
      <c r="T2421" s="113"/>
      <c r="U2421" s="111"/>
      <c r="W2421" s="83"/>
    </row>
    <row r="2422" spans="20:23" x14ac:dyDescent="0.25">
      <c r="T2422" s="113"/>
      <c r="U2422" s="111"/>
      <c r="W2422" s="83"/>
    </row>
    <row r="2423" spans="20:23" x14ac:dyDescent="0.25">
      <c r="T2423" s="113"/>
      <c r="U2423" s="111"/>
      <c r="W2423" s="83"/>
    </row>
    <row r="2424" spans="20:23" x14ac:dyDescent="0.25">
      <c r="T2424" s="113"/>
      <c r="U2424" s="111"/>
      <c r="W2424" s="83"/>
    </row>
    <row r="2425" spans="20:23" x14ac:dyDescent="0.25">
      <c r="T2425" s="113"/>
      <c r="U2425" s="111"/>
      <c r="W2425" s="83"/>
    </row>
    <row r="2426" spans="20:23" x14ac:dyDescent="0.25">
      <c r="T2426" s="113"/>
      <c r="U2426" s="111"/>
      <c r="W2426" s="83"/>
    </row>
    <row r="2427" spans="20:23" x14ac:dyDescent="0.25">
      <c r="T2427" s="113"/>
      <c r="U2427" s="111"/>
      <c r="W2427" s="83"/>
    </row>
    <row r="2428" spans="20:23" x14ac:dyDescent="0.25">
      <c r="T2428" s="113"/>
      <c r="U2428" s="111"/>
      <c r="W2428" s="83"/>
    </row>
    <row r="2429" spans="20:23" x14ac:dyDescent="0.25">
      <c r="T2429" s="113"/>
      <c r="U2429" s="111"/>
      <c r="W2429" s="83"/>
    </row>
    <row r="2430" spans="20:23" x14ac:dyDescent="0.25">
      <c r="T2430" s="113"/>
      <c r="U2430" s="111"/>
      <c r="W2430" s="83"/>
    </row>
    <row r="2431" spans="20:23" x14ac:dyDescent="0.25">
      <c r="T2431" s="113"/>
      <c r="U2431" s="111"/>
      <c r="W2431" s="83"/>
    </row>
    <row r="2432" spans="20:23" x14ac:dyDescent="0.25">
      <c r="T2432" s="113"/>
      <c r="U2432" s="111"/>
      <c r="W2432" s="83"/>
    </row>
    <row r="2433" spans="20:23" x14ac:dyDescent="0.25">
      <c r="T2433" s="113"/>
      <c r="U2433" s="111"/>
      <c r="W2433" s="83"/>
    </row>
    <row r="2434" spans="20:23" x14ac:dyDescent="0.25">
      <c r="T2434" s="113"/>
      <c r="U2434" s="111"/>
      <c r="W2434" s="83"/>
    </row>
    <row r="2435" spans="20:23" x14ac:dyDescent="0.25">
      <c r="T2435" s="113"/>
      <c r="U2435" s="111"/>
      <c r="W2435" s="83"/>
    </row>
    <row r="2436" spans="20:23" x14ac:dyDescent="0.25">
      <c r="T2436" s="113"/>
      <c r="U2436" s="111"/>
      <c r="W2436" s="83"/>
    </row>
    <row r="2437" spans="20:23" x14ac:dyDescent="0.25">
      <c r="T2437" s="113"/>
      <c r="U2437" s="111"/>
      <c r="W2437" s="83"/>
    </row>
    <row r="2438" spans="20:23" x14ac:dyDescent="0.25">
      <c r="T2438" s="113"/>
      <c r="U2438" s="111"/>
      <c r="W2438" s="83"/>
    </row>
    <row r="2439" spans="20:23" x14ac:dyDescent="0.25">
      <c r="T2439" s="113"/>
      <c r="U2439" s="111"/>
      <c r="W2439" s="83"/>
    </row>
    <row r="2440" spans="20:23" x14ac:dyDescent="0.25">
      <c r="T2440" s="113"/>
      <c r="U2440" s="111"/>
      <c r="W2440" s="83"/>
    </row>
    <row r="2441" spans="20:23" x14ac:dyDescent="0.25">
      <c r="T2441" s="113"/>
      <c r="U2441" s="111"/>
      <c r="W2441" s="83"/>
    </row>
    <row r="2442" spans="20:23" x14ac:dyDescent="0.25">
      <c r="T2442" s="113"/>
      <c r="U2442" s="111"/>
      <c r="W2442" s="83"/>
    </row>
    <row r="2443" spans="20:23" x14ac:dyDescent="0.25">
      <c r="T2443" s="113"/>
      <c r="U2443" s="111"/>
      <c r="W2443" s="83"/>
    </row>
    <row r="2444" spans="20:23" x14ac:dyDescent="0.25">
      <c r="T2444" s="113"/>
      <c r="U2444" s="111"/>
      <c r="W2444" s="83"/>
    </row>
    <row r="2445" spans="20:23" x14ac:dyDescent="0.25">
      <c r="T2445" s="113"/>
      <c r="U2445" s="111"/>
      <c r="W2445" s="83"/>
    </row>
    <row r="2446" spans="20:23" x14ac:dyDescent="0.25">
      <c r="T2446" s="113"/>
      <c r="U2446" s="111"/>
      <c r="W2446" s="83"/>
    </row>
    <row r="2447" spans="20:23" x14ac:dyDescent="0.25">
      <c r="T2447" s="113"/>
      <c r="U2447" s="111"/>
      <c r="W2447" s="83"/>
    </row>
    <row r="2448" spans="20:23" x14ac:dyDescent="0.25">
      <c r="T2448" s="113"/>
      <c r="U2448" s="111"/>
      <c r="W2448" s="83"/>
    </row>
    <row r="2449" spans="20:23" x14ac:dyDescent="0.25">
      <c r="T2449" s="113"/>
      <c r="U2449" s="111"/>
      <c r="W2449" s="83"/>
    </row>
    <row r="2450" spans="20:23" x14ac:dyDescent="0.25">
      <c r="T2450" s="113"/>
      <c r="U2450" s="111"/>
      <c r="W2450" s="83"/>
    </row>
    <row r="2451" spans="20:23" x14ac:dyDescent="0.25">
      <c r="T2451" s="113"/>
      <c r="U2451" s="111"/>
      <c r="W2451" s="83"/>
    </row>
    <row r="2452" spans="20:23" x14ac:dyDescent="0.25">
      <c r="T2452" s="113"/>
      <c r="U2452" s="111"/>
      <c r="W2452" s="83"/>
    </row>
    <row r="2453" spans="20:23" x14ac:dyDescent="0.25">
      <c r="T2453" s="113"/>
      <c r="U2453" s="111"/>
      <c r="W2453" s="83"/>
    </row>
    <row r="2454" spans="20:23" x14ac:dyDescent="0.25">
      <c r="T2454" s="113"/>
      <c r="U2454" s="111"/>
      <c r="W2454" s="83"/>
    </row>
    <row r="2455" spans="20:23" x14ac:dyDescent="0.25">
      <c r="T2455" s="113"/>
      <c r="U2455" s="111"/>
      <c r="W2455" s="83"/>
    </row>
    <row r="2456" spans="20:23" x14ac:dyDescent="0.25">
      <c r="T2456" s="113"/>
      <c r="U2456" s="111"/>
      <c r="W2456" s="83"/>
    </row>
    <row r="2457" spans="20:23" x14ac:dyDescent="0.25">
      <c r="T2457" s="113"/>
      <c r="U2457" s="111"/>
      <c r="W2457" s="83"/>
    </row>
    <row r="2458" spans="20:23" x14ac:dyDescent="0.25">
      <c r="T2458" s="113"/>
      <c r="U2458" s="111"/>
      <c r="W2458" s="83"/>
    </row>
    <row r="2459" spans="20:23" x14ac:dyDescent="0.25">
      <c r="T2459" s="113"/>
      <c r="U2459" s="111"/>
      <c r="W2459" s="83"/>
    </row>
    <row r="2460" spans="20:23" x14ac:dyDescent="0.25">
      <c r="T2460" s="113"/>
      <c r="U2460" s="111"/>
      <c r="W2460" s="83"/>
    </row>
    <row r="2461" spans="20:23" x14ac:dyDescent="0.25">
      <c r="T2461" s="113"/>
      <c r="U2461" s="111"/>
      <c r="W2461" s="83"/>
    </row>
    <row r="2462" spans="20:23" x14ac:dyDescent="0.25">
      <c r="T2462" s="113"/>
      <c r="U2462" s="111"/>
      <c r="W2462" s="83"/>
    </row>
    <row r="2463" spans="20:23" x14ac:dyDescent="0.25">
      <c r="T2463" s="113"/>
      <c r="U2463" s="111"/>
      <c r="W2463" s="83"/>
    </row>
    <row r="2464" spans="20:23" x14ac:dyDescent="0.25">
      <c r="T2464" s="113"/>
      <c r="U2464" s="111"/>
      <c r="W2464" s="83"/>
    </row>
    <row r="2465" spans="20:23" x14ac:dyDescent="0.25">
      <c r="T2465" s="113"/>
      <c r="U2465" s="111"/>
      <c r="W2465" s="83"/>
    </row>
    <row r="2466" spans="20:23" x14ac:dyDescent="0.25">
      <c r="T2466" s="113"/>
      <c r="U2466" s="111"/>
      <c r="W2466" s="83"/>
    </row>
    <row r="2467" spans="20:23" x14ac:dyDescent="0.25">
      <c r="T2467" s="113"/>
      <c r="U2467" s="111"/>
      <c r="W2467" s="83"/>
    </row>
    <row r="2468" spans="20:23" x14ac:dyDescent="0.25">
      <c r="T2468" s="113"/>
      <c r="U2468" s="111"/>
      <c r="W2468" s="83"/>
    </row>
    <row r="2469" spans="20:23" x14ac:dyDescent="0.25">
      <c r="T2469" s="113"/>
      <c r="U2469" s="111"/>
      <c r="W2469" s="83"/>
    </row>
    <row r="2470" spans="20:23" x14ac:dyDescent="0.25">
      <c r="T2470" s="113"/>
      <c r="U2470" s="111"/>
      <c r="W2470" s="83"/>
    </row>
    <row r="2471" spans="20:23" x14ac:dyDescent="0.25">
      <c r="T2471" s="113"/>
      <c r="U2471" s="111"/>
      <c r="W2471" s="83"/>
    </row>
    <row r="2472" spans="20:23" x14ac:dyDescent="0.25">
      <c r="T2472" s="113"/>
      <c r="U2472" s="111"/>
      <c r="W2472" s="83"/>
    </row>
    <row r="2473" spans="20:23" x14ac:dyDescent="0.25">
      <c r="T2473" s="113"/>
      <c r="U2473" s="111"/>
      <c r="W2473" s="83"/>
    </row>
    <row r="2474" spans="20:23" x14ac:dyDescent="0.25">
      <c r="T2474" s="113"/>
      <c r="U2474" s="111"/>
      <c r="W2474" s="83"/>
    </row>
    <row r="2475" spans="20:23" x14ac:dyDescent="0.25">
      <c r="T2475" s="113"/>
      <c r="U2475" s="111"/>
      <c r="W2475" s="83"/>
    </row>
    <row r="2476" spans="20:23" x14ac:dyDescent="0.25">
      <c r="T2476" s="113"/>
      <c r="U2476" s="111"/>
      <c r="W2476" s="83"/>
    </row>
    <row r="2477" spans="20:23" x14ac:dyDescent="0.25">
      <c r="T2477" s="113"/>
      <c r="U2477" s="111"/>
      <c r="W2477" s="83"/>
    </row>
    <row r="2478" spans="20:23" x14ac:dyDescent="0.25">
      <c r="T2478" s="113"/>
      <c r="U2478" s="111"/>
      <c r="W2478" s="83"/>
    </row>
    <row r="2479" spans="20:23" x14ac:dyDescent="0.25">
      <c r="T2479" s="113"/>
      <c r="U2479" s="111"/>
      <c r="W2479" s="83"/>
    </row>
    <row r="2480" spans="20:23" x14ac:dyDescent="0.25">
      <c r="T2480" s="113"/>
      <c r="U2480" s="111"/>
      <c r="W2480" s="83"/>
    </row>
    <row r="2481" spans="20:23" x14ac:dyDescent="0.25">
      <c r="T2481" s="113"/>
      <c r="U2481" s="111"/>
      <c r="W2481" s="83"/>
    </row>
    <row r="2482" spans="20:23" x14ac:dyDescent="0.25">
      <c r="T2482" s="113"/>
      <c r="U2482" s="111"/>
      <c r="W2482" s="83"/>
    </row>
    <row r="2483" spans="20:23" x14ac:dyDescent="0.25">
      <c r="T2483" s="113"/>
      <c r="U2483" s="111"/>
      <c r="W2483" s="83"/>
    </row>
    <row r="2484" spans="20:23" x14ac:dyDescent="0.25">
      <c r="T2484" s="113"/>
      <c r="U2484" s="111"/>
      <c r="W2484" s="83"/>
    </row>
    <row r="2485" spans="20:23" x14ac:dyDescent="0.25">
      <c r="T2485" s="113"/>
      <c r="U2485" s="111"/>
      <c r="W2485" s="83"/>
    </row>
    <row r="2486" spans="20:23" x14ac:dyDescent="0.25">
      <c r="T2486" s="113"/>
      <c r="U2486" s="111"/>
      <c r="W2486" s="83"/>
    </row>
    <row r="2487" spans="20:23" x14ac:dyDescent="0.25">
      <c r="T2487" s="113"/>
      <c r="U2487" s="111"/>
      <c r="W2487" s="83"/>
    </row>
    <row r="2488" spans="20:23" x14ac:dyDescent="0.25">
      <c r="T2488" s="113"/>
      <c r="U2488" s="111"/>
      <c r="W2488" s="83"/>
    </row>
    <row r="2489" spans="20:23" x14ac:dyDescent="0.25">
      <c r="T2489" s="113"/>
      <c r="U2489" s="111"/>
      <c r="W2489" s="83"/>
    </row>
    <row r="2490" spans="20:23" x14ac:dyDescent="0.25">
      <c r="T2490" s="113"/>
      <c r="U2490" s="111"/>
      <c r="W2490" s="83"/>
    </row>
    <row r="2491" spans="20:23" x14ac:dyDescent="0.25">
      <c r="T2491" s="113"/>
      <c r="U2491" s="111"/>
      <c r="W2491" s="83"/>
    </row>
    <row r="2492" spans="20:23" x14ac:dyDescent="0.25">
      <c r="T2492" s="113"/>
      <c r="U2492" s="111"/>
      <c r="W2492" s="83"/>
    </row>
    <row r="2493" spans="20:23" x14ac:dyDescent="0.25">
      <c r="T2493" s="113"/>
      <c r="U2493" s="111"/>
      <c r="W2493" s="83"/>
    </row>
    <row r="2494" spans="20:23" x14ac:dyDescent="0.25">
      <c r="T2494" s="113"/>
      <c r="U2494" s="111"/>
      <c r="W2494" s="83"/>
    </row>
    <row r="2495" spans="20:23" x14ac:dyDescent="0.25">
      <c r="T2495" s="113"/>
      <c r="U2495" s="111"/>
      <c r="W2495" s="83"/>
    </row>
    <row r="2496" spans="20:23" x14ac:dyDescent="0.25">
      <c r="T2496" s="113"/>
      <c r="U2496" s="111"/>
      <c r="W2496" s="83"/>
    </row>
    <row r="2497" spans="20:23" x14ac:dyDescent="0.25">
      <c r="T2497" s="113"/>
      <c r="U2497" s="111"/>
      <c r="W2497" s="83"/>
    </row>
    <row r="2498" spans="20:23" x14ac:dyDescent="0.25">
      <c r="T2498" s="113"/>
      <c r="U2498" s="111"/>
      <c r="W2498" s="83"/>
    </row>
    <row r="2499" spans="20:23" x14ac:dyDescent="0.25">
      <c r="T2499" s="113"/>
      <c r="U2499" s="111"/>
      <c r="W2499" s="83"/>
    </row>
    <row r="2500" spans="20:23" x14ac:dyDescent="0.25">
      <c r="T2500" s="113"/>
      <c r="U2500" s="111"/>
      <c r="W2500" s="83"/>
    </row>
    <row r="2501" spans="20:23" x14ac:dyDescent="0.25">
      <c r="T2501" s="113"/>
      <c r="U2501" s="111"/>
      <c r="W2501" s="83"/>
    </row>
    <row r="2502" spans="20:23" x14ac:dyDescent="0.25">
      <c r="T2502" s="113"/>
      <c r="U2502" s="111"/>
      <c r="W2502" s="83"/>
    </row>
    <row r="2503" spans="20:23" x14ac:dyDescent="0.25">
      <c r="T2503" s="113"/>
      <c r="U2503" s="111"/>
      <c r="W2503" s="83"/>
    </row>
    <row r="2504" spans="20:23" x14ac:dyDescent="0.25">
      <c r="T2504" s="113"/>
      <c r="U2504" s="111"/>
      <c r="W2504" s="83"/>
    </row>
    <row r="2505" spans="20:23" x14ac:dyDescent="0.25">
      <c r="T2505" s="113"/>
      <c r="U2505" s="111"/>
      <c r="W2505" s="83"/>
    </row>
    <row r="2506" spans="20:23" x14ac:dyDescent="0.25">
      <c r="T2506" s="113"/>
      <c r="U2506" s="111"/>
      <c r="W2506" s="83"/>
    </row>
    <row r="2507" spans="20:23" x14ac:dyDescent="0.25">
      <c r="T2507" s="113"/>
      <c r="U2507" s="111"/>
      <c r="W2507" s="83"/>
    </row>
    <row r="2508" spans="20:23" x14ac:dyDescent="0.25">
      <c r="T2508" s="113"/>
      <c r="U2508" s="111"/>
      <c r="W2508" s="83"/>
    </row>
    <row r="2509" spans="20:23" x14ac:dyDescent="0.25">
      <c r="T2509" s="113"/>
      <c r="U2509" s="111"/>
      <c r="W2509" s="83"/>
    </row>
    <row r="2510" spans="20:23" x14ac:dyDescent="0.25">
      <c r="T2510" s="113"/>
      <c r="U2510" s="111"/>
      <c r="W2510" s="83"/>
    </row>
    <row r="2511" spans="20:23" x14ac:dyDescent="0.25">
      <c r="T2511" s="113"/>
      <c r="U2511" s="111"/>
      <c r="W2511" s="83"/>
    </row>
    <row r="2512" spans="20:23" x14ac:dyDescent="0.25">
      <c r="T2512" s="113"/>
      <c r="U2512" s="111"/>
      <c r="W2512" s="83"/>
    </row>
    <row r="2513" spans="20:23" x14ac:dyDescent="0.25">
      <c r="T2513" s="113"/>
      <c r="U2513" s="111"/>
      <c r="W2513" s="83"/>
    </row>
    <row r="2514" spans="20:23" x14ac:dyDescent="0.25">
      <c r="T2514" s="113"/>
      <c r="U2514" s="111"/>
      <c r="W2514" s="83"/>
    </row>
    <row r="2515" spans="20:23" x14ac:dyDescent="0.25">
      <c r="T2515" s="113"/>
      <c r="U2515" s="111"/>
      <c r="W2515" s="83"/>
    </row>
    <row r="2516" spans="20:23" x14ac:dyDescent="0.25">
      <c r="T2516" s="113"/>
      <c r="U2516" s="111"/>
      <c r="W2516" s="83"/>
    </row>
    <row r="2517" spans="20:23" x14ac:dyDescent="0.25">
      <c r="T2517" s="113"/>
      <c r="U2517" s="111"/>
      <c r="W2517" s="83"/>
    </row>
    <row r="2518" spans="20:23" x14ac:dyDescent="0.25">
      <c r="T2518" s="113"/>
      <c r="U2518" s="111"/>
      <c r="W2518" s="83"/>
    </row>
    <row r="2519" spans="20:23" x14ac:dyDescent="0.25">
      <c r="T2519" s="113"/>
      <c r="U2519" s="111"/>
      <c r="W2519" s="83"/>
    </row>
    <row r="2520" spans="20:23" x14ac:dyDescent="0.25">
      <c r="T2520" s="113"/>
      <c r="U2520" s="111"/>
      <c r="W2520" s="83"/>
    </row>
    <row r="2521" spans="20:23" x14ac:dyDescent="0.25">
      <c r="T2521" s="113"/>
      <c r="U2521" s="111"/>
      <c r="W2521" s="83"/>
    </row>
    <row r="2522" spans="20:23" x14ac:dyDescent="0.25">
      <c r="T2522" s="113"/>
      <c r="U2522" s="111"/>
      <c r="W2522" s="83"/>
    </row>
    <row r="2523" spans="20:23" x14ac:dyDescent="0.25">
      <c r="T2523" s="113"/>
      <c r="U2523" s="111"/>
      <c r="W2523" s="83"/>
    </row>
    <row r="2524" spans="20:23" x14ac:dyDescent="0.25">
      <c r="T2524" s="113"/>
      <c r="U2524" s="111"/>
      <c r="W2524" s="83"/>
    </row>
    <row r="2525" spans="20:23" x14ac:dyDescent="0.25">
      <c r="T2525" s="113"/>
      <c r="U2525" s="111"/>
      <c r="W2525" s="83"/>
    </row>
    <row r="2526" spans="20:23" x14ac:dyDescent="0.25">
      <c r="T2526" s="113"/>
      <c r="U2526" s="111"/>
      <c r="W2526" s="83"/>
    </row>
    <row r="2527" spans="20:23" x14ac:dyDescent="0.25">
      <c r="T2527" s="113"/>
      <c r="U2527" s="111"/>
      <c r="W2527" s="83"/>
    </row>
    <row r="2528" spans="20:23" x14ac:dyDescent="0.25">
      <c r="T2528" s="113"/>
      <c r="U2528" s="111"/>
      <c r="W2528" s="83"/>
    </row>
    <row r="2529" spans="20:23" x14ac:dyDescent="0.25">
      <c r="T2529" s="113"/>
      <c r="U2529" s="111"/>
      <c r="W2529" s="83"/>
    </row>
    <row r="2530" spans="20:23" x14ac:dyDescent="0.25">
      <c r="T2530" s="113"/>
      <c r="U2530" s="111"/>
      <c r="W2530" s="83"/>
    </row>
    <row r="2531" spans="20:23" x14ac:dyDescent="0.25">
      <c r="T2531" s="113"/>
      <c r="U2531" s="111"/>
      <c r="W2531" s="83"/>
    </row>
    <row r="2532" spans="20:23" x14ac:dyDescent="0.25">
      <c r="T2532" s="113"/>
      <c r="U2532" s="111"/>
      <c r="W2532" s="83"/>
    </row>
    <row r="2533" spans="20:23" x14ac:dyDescent="0.25">
      <c r="T2533" s="113"/>
      <c r="U2533" s="111"/>
      <c r="W2533" s="83"/>
    </row>
    <row r="2534" spans="20:23" x14ac:dyDescent="0.25">
      <c r="T2534" s="113"/>
      <c r="U2534" s="111"/>
      <c r="W2534" s="83"/>
    </row>
    <row r="2535" spans="20:23" x14ac:dyDescent="0.25">
      <c r="T2535" s="113"/>
      <c r="U2535" s="111"/>
      <c r="W2535" s="83"/>
    </row>
    <row r="2536" spans="20:23" x14ac:dyDescent="0.25">
      <c r="T2536" s="113"/>
      <c r="U2536" s="111"/>
      <c r="W2536" s="83"/>
    </row>
    <row r="2537" spans="20:23" x14ac:dyDescent="0.25">
      <c r="T2537" s="113"/>
      <c r="U2537" s="111"/>
      <c r="W2537" s="83"/>
    </row>
    <row r="2538" spans="20:23" x14ac:dyDescent="0.25">
      <c r="T2538" s="113"/>
      <c r="U2538" s="111"/>
      <c r="W2538" s="83"/>
    </row>
    <row r="2539" spans="20:23" x14ac:dyDescent="0.25">
      <c r="T2539" s="113"/>
      <c r="U2539" s="111"/>
      <c r="W2539" s="83"/>
    </row>
    <row r="2540" spans="20:23" x14ac:dyDescent="0.25">
      <c r="T2540" s="113"/>
      <c r="U2540" s="111"/>
      <c r="W2540" s="83"/>
    </row>
    <row r="2541" spans="20:23" x14ac:dyDescent="0.25">
      <c r="T2541" s="113"/>
      <c r="U2541" s="111"/>
      <c r="W2541" s="83"/>
    </row>
    <row r="2542" spans="20:23" x14ac:dyDescent="0.25">
      <c r="T2542" s="113"/>
      <c r="U2542" s="111"/>
      <c r="W2542" s="83"/>
    </row>
    <row r="2543" spans="20:23" x14ac:dyDescent="0.25">
      <c r="T2543" s="113"/>
      <c r="U2543" s="111"/>
      <c r="W2543" s="83"/>
    </row>
    <row r="2544" spans="20:23" x14ac:dyDescent="0.25">
      <c r="T2544" s="113"/>
      <c r="U2544" s="111"/>
      <c r="W2544" s="83"/>
    </row>
    <row r="2545" spans="20:23" x14ac:dyDescent="0.25">
      <c r="T2545" s="113"/>
      <c r="U2545" s="111"/>
      <c r="W2545" s="83"/>
    </row>
    <row r="2546" spans="20:23" x14ac:dyDescent="0.25">
      <c r="T2546" s="113"/>
      <c r="U2546" s="111"/>
      <c r="W2546" s="83"/>
    </row>
    <row r="2547" spans="20:23" x14ac:dyDescent="0.25">
      <c r="T2547" s="113"/>
      <c r="U2547" s="111"/>
      <c r="W2547" s="83"/>
    </row>
    <row r="2548" spans="20:23" x14ac:dyDescent="0.25">
      <c r="T2548" s="113"/>
      <c r="U2548" s="111"/>
      <c r="W2548" s="83"/>
    </row>
    <row r="2549" spans="20:23" x14ac:dyDescent="0.25">
      <c r="T2549" s="113"/>
      <c r="U2549" s="111"/>
      <c r="W2549" s="83"/>
    </row>
    <row r="2550" spans="20:23" x14ac:dyDescent="0.25">
      <c r="T2550" s="113"/>
      <c r="U2550" s="111"/>
      <c r="W2550" s="83"/>
    </row>
    <row r="2551" spans="20:23" x14ac:dyDescent="0.25">
      <c r="T2551" s="113"/>
      <c r="U2551" s="111"/>
      <c r="W2551" s="83"/>
    </row>
    <row r="2552" spans="20:23" x14ac:dyDescent="0.25">
      <c r="T2552" s="113"/>
      <c r="U2552" s="111"/>
      <c r="W2552" s="83"/>
    </row>
    <row r="2553" spans="20:23" x14ac:dyDescent="0.25">
      <c r="T2553" s="113"/>
      <c r="U2553" s="111"/>
      <c r="W2553" s="83"/>
    </row>
    <row r="2554" spans="20:23" x14ac:dyDescent="0.25">
      <c r="T2554" s="113"/>
      <c r="U2554" s="111"/>
      <c r="W2554" s="83"/>
    </row>
    <row r="2555" spans="20:23" x14ac:dyDescent="0.25">
      <c r="T2555" s="113"/>
      <c r="U2555" s="111"/>
      <c r="W2555" s="83"/>
    </row>
    <row r="2556" spans="20:23" x14ac:dyDescent="0.25">
      <c r="T2556" s="113"/>
      <c r="U2556" s="111"/>
      <c r="W2556" s="83"/>
    </row>
    <row r="2557" spans="20:23" x14ac:dyDescent="0.25">
      <c r="T2557" s="113"/>
      <c r="U2557" s="111"/>
      <c r="W2557" s="83"/>
    </row>
    <row r="2558" spans="20:23" x14ac:dyDescent="0.25">
      <c r="T2558" s="113"/>
      <c r="U2558" s="111"/>
      <c r="W2558" s="83"/>
    </row>
    <row r="2559" spans="20:23" x14ac:dyDescent="0.25">
      <c r="T2559" s="113"/>
      <c r="U2559" s="111"/>
      <c r="W2559" s="83"/>
    </row>
    <row r="2560" spans="20:23" x14ac:dyDescent="0.25">
      <c r="T2560" s="113"/>
      <c r="U2560" s="111"/>
      <c r="W2560" s="83"/>
    </row>
    <row r="2561" spans="20:23" x14ac:dyDescent="0.25">
      <c r="T2561" s="113"/>
      <c r="U2561" s="111"/>
      <c r="W2561" s="83"/>
    </row>
    <row r="2562" spans="20:23" x14ac:dyDescent="0.25">
      <c r="T2562" s="113"/>
      <c r="U2562" s="111"/>
      <c r="W2562" s="83"/>
    </row>
    <row r="2563" spans="20:23" x14ac:dyDescent="0.25">
      <c r="T2563" s="113"/>
      <c r="U2563" s="111"/>
      <c r="W2563" s="83"/>
    </row>
    <row r="2564" spans="20:23" x14ac:dyDescent="0.25">
      <c r="T2564" s="113"/>
      <c r="U2564" s="111"/>
      <c r="W2564" s="83"/>
    </row>
    <row r="2565" spans="20:23" x14ac:dyDescent="0.25">
      <c r="T2565" s="113"/>
      <c r="U2565" s="111"/>
      <c r="W2565" s="83"/>
    </row>
    <row r="2566" spans="20:23" x14ac:dyDescent="0.25">
      <c r="T2566" s="113"/>
      <c r="U2566" s="111"/>
      <c r="W2566" s="83"/>
    </row>
    <row r="2567" spans="20:23" x14ac:dyDescent="0.25">
      <c r="T2567" s="113"/>
      <c r="U2567" s="111"/>
      <c r="W2567" s="83"/>
    </row>
    <row r="2568" spans="20:23" x14ac:dyDescent="0.25">
      <c r="T2568" s="113"/>
      <c r="U2568" s="111"/>
      <c r="W2568" s="83"/>
    </row>
    <row r="2569" spans="20:23" x14ac:dyDescent="0.25">
      <c r="T2569" s="113"/>
      <c r="U2569" s="111"/>
      <c r="W2569" s="83"/>
    </row>
    <row r="2570" spans="20:23" x14ac:dyDescent="0.25">
      <c r="T2570" s="113"/>
      <c r="U2570" s="111"/>
      <c r="W2570" s="83"/>
    </row>
    <row r="2571" spans="20:23" x14ac:dyDescent="0.25">
      <c r="T2571" s="113"/>
      <c r="U2571" s="111"/>
      <c r="W2571" s="83"/>
    </row>
    <row r="2572" spans="20:23" x14ac:dyDescent="0.25">
      <c r="T2572" s="113"/>
      <c r="U2572" s="111"/>
      <c r="W2572" s="83"/>
    </row>
    <row r="2573" spans="20:23" x14ac:dyDescent="0.25">
      <c r="T2573" s="113"/>
      <c r="U2573" s="111"/>
      <c r="W2573" s="83"/>
    </row>
    <row r="2574" spans="20:23" x14ac:dyDescent="0.25">
      <c r="T2574" s="113"/>
      <c r="U2574" s="111"/>
      <c r="W2574" s="83"/>
    </row>
    <row r="2575" spans="20:23" x14ac:dyDescent="0.25">
      <c r="T2575" s="113"/>
      <c r="U2575" s="111"/>
      <c r="W2575" s="83"/>
    </row>
    <row r="2576" spans="20:23" x14ac:dyDescent="0.25">
      <c r="T2576" s="113"/>
      <c r="U2576" s="111"/>
      <c r="W2576" s="83"/>
    </row>
    <row r="2577" spans="20:23" x14ac:dyDescent="0.25">
      <c r="T2577" s="113"/>
      <c r="U2577" s="111"/>
      <c r="W2577" s="83"/>
    </row>
    <row r="2578" spans="20:23" x14ac:dyDescent="0.25">
      <c r="T2578" s="113"/>
      <c r="U2578" s="111"/>
      <c r="W2578" s="83"/>
    </row>
    <row r="2579" spans="20:23" x14ac:dyDescent="0.25">
      <c r="T2579" s="113"/>
      <c r="U2579" s="111"/>
      <c r="W2579" s="83"/>
    </row>
    <row r="2580" spans="20:23" x14ac:dyDescent="0.25">
      <c r="T2580" s="113"/>
      <c r="U2580" s="111"/>
      <c r="W2580" s="83"/>
    </row>
    <row r="2581" spans="20:23" x14ac:dyDescent="0.25">
      <c r="T2581" s="113"/>
      <c r="U2581" s="111"/>
      <c r="W2581" s="83"/>
    </row>
    <row r="2582" spans="20:23" x14ac:dyDescent="0.25">
      <c r="T2582" s="113"/>
      <c r="U2582" s="111"/>
      <c r="W2582" s="83"/>
    </row>
    <row r="2583" spans="20:23" x14ac:dyDescent="0.25">
      <c r="T2583" s="113"/>
      <c r="U2583" s="111"/>
      <c r="W2583" s="83"/>
    </row>
    <row r="2584" spans="20:23" x14ac:dyDescent="0.25">
      <c r="T2584" s="113"/>
      <c r="U2584" s="111"/>
      <c r="W2584" s="83"/>
    </row>
    <row r="2585" spans="20:23" x14ac:dyDescent="0.25">
      <c r="T2585" s="113"/>
      <c r="U2585" s="111"/>
      <c r="W2585" s="83"/>
    </row>
    <row r="2586" spans="20:23" x14ac:dyDescent="0.25">
      <c r="T2586" s="113"/>
      <c r="U2586" s="111"/>
      <c r="W2586" s="83"/>
    </row>
    <row r="2587" spans="20:23" x14ac:dyDescent="0.25">
      <c r="T2587" s="113"/>
      <c r="U2587" s="111"/>
      <c r="W2587" s="83"/>
    </row>
    <row r="2588" spans="20:23" x14ac:dyDescent="0.25">
      <c r="T2588" s="113"/>
      <c r="U2588" s="111"/>
      <c r="W2588" s="83"/>
    </row>
    <row r="2589" spans="20:23" x14ac:dyDescent="0.25">
      <c r="T2589" s="113"/>
      <c r="U2589" s="111"/>
      <c r="W2589" s="83"/>
    </row>
    <row r="2590" spans="20:23" x14ac:dyDescent="0.25">
      <c r="T2590" s="113"/>
      <c r="U2590" s="111"/>
      <c r="W2590" s="83"/>
    </row>
    <row r="2591" spans="20:23" x14ac:dyDescent="0.25">
      <c r="T2591" s="113"/>
      <c r="U2591" s="111"/>
      <c r="W2591" s="83"/>
    </row>
    <row r="2592" spans="20:23" x14ac:dyDescent="0.25">
      <c r="T2592" s="113"/>
      <c r="U2592" s="111"/>
      <c r="W2592" s="83"/>
    </row>
    <row r="2593" spans="20:23" x14ac:dyDescent="0.25">
      <c r="T2593" s="113"/>
      <c r="U2593" s="111"/>
      <c r="W2593" s="83"/>
    </row>
    <row r="2594" spans="20:23" x14ac:dyDescent="0.25">
      <c r="T2594" s="113"/>
      <c r="U2594" s="111"/>
      <c r="W2594" s="83"/>
    </row>
    <row r="2595" spans="20:23" x14ac:dyDescent="0.25">
      <c r="T2595" s="113"/>
      <c r="U2595" s="111"/>
      <c r="W2595" s="83"/>
    </row>
    <row r="2596" spans="20:23" x14ac:dyDescent="0.25">
      <c r="T2596" s="113"/>
      <c r="U2596" s="111"/>
      <c r="W2596" s="83"/>
    </row>
    <row r="2597" spans="20:23" x14ac:dyDescent="0.25">
      <c r="T2597" s="113"/>
      <c r="U2597" s="111"/>
      <c r="W2597" s="83"/>
    </row>
    <row r="2598" spans="20:23" x14ac:dyDescent="0.25">
      <c r="T2598" s="113"/>
      <c r="U2598" s="111"/>
      <c r="W2598" s="83"/>
    </row>
    <row r="2599" spans="20:23" x14ac:dyDescent="0.25">
      <c r="T2599" s="113"/>
      <c r="U2599" s="111"/>
      <c r="W2599" s="83"/>
    </row>
    <row r="2600" spans="20:23" x14ac:dyDescent="0.25">
      <c r="T2600" s="113"/>
      <c r="U2600" s="111"/>
      <c r="W2600" s="83"/>
    </row>
    <row r="2601" spans="20:23" x14ac:dyDescent="0.25">
      <c r="T2601" s="113"/>
      <c r="U2601" s="111"/>
      <c r="W2601" s="83"/>
    </row>
    <row r="2602" spans="20:23" x14ac:dyDescent="0.25">
      <c r="T2602" s="113"/>
      <c r="U2602" s="111"/>
      <c r="W2602" s="83"/>
    </row>
    <row r="2603" spans="20:23" x14ac:dyDescent="0.25">
      <c r="T2603" s="113"/>
      <c r="U2603" s="111"/>
      <c r="W2603" s="83"/>
    </row>
    <row r="2604" spans="20:23" x14ac:dyDescent="0.25">
      <c r="T2604" s="113"/>
      <c r="U2604" s="111"/>
      <c r="W2604" s="83"/>
    </row>
    <row r="2605" spans="20:23" x14ac:dyDescent="0.25">
      <c r="T2605" s="113"/>
      <c r="U2605" s="111"/>
      <c r="W2605" s="83"/>
    </row>
    <row r="2606" spans="20:23" x14ac:dyDescent="0.25">
      <c r="T2606" s="113"/>
      <c r="U2606" s="111"/>
      <c r="W2606" s="83"/>
    </row>
    <row r="2607" spans="20:23" x14ac:dyDescent="0.25">
      <c r="T2607" s="113"/>
      <c r="U2607" s="111"/>
      <c r="W2607" s="83"/>
    </row>
    <row r="2608" spans="20:23" x14ac:dyDescent="0.25">
      <c r="T2608" s="113"/>
      <c r="U2608" s="111"/>
      <c r="W2608" s="83"/>
    </row>
    <row r="2609" spans="20:23" x14ac:dyDescent="0.25">
      <c r="T2609" s="113"/>
      <c r="U2609" s="111"/>
      <c r="W2609" s="83"/>
    </row>
    <row r="2610" spans="20:23" x14ac:dyDescent="0.25">
      <c r="T2610" s="113"/>
      <c r="U2610" s="111"/>
      <c r="W2610" s="83"/>
    </row>
    <row r="2611" spans="20:23" x14ac:dyDescent="0.25">
      <c r="T2611" s="113"/>
      <c r="U2611" s="111"/>
      <c r="W2611" s="83"/>
    </row>
    <row r="2612" spans="20:23" x14ac:dyDescent="0.25">
      <c r="T2612" s="113"/>
      <c r="U2612" s="111"/>
      <c r="W2612" s="83"/>
    </row>
    <row r="2613" spans="20:23" x14ac:dyDescent="0.25">
      <c r="T2613" s="113"/>
      <c r="U2613" s="111"/>
      <c r="W2613" s="83"/>
    </row>
    <row r="2614" spans="20:23" x14ac:dyDescent="0.25">
      <c r="T2614" s="113"/>
      <c r="U2614" s="111"/>
      <c r="W2614" s="83"/>
    </row>
    <row r="2615" spans="20:23" x14ac:dyDescent="0.25">
      <c r="T2615" s="113"/>
      <c r="U2615" s="111"/>
      <c r="W2615" s="83"/>
    </row>
    <row r="2616" spans="20:23" x14ac:dyDescent="0.25">
      <c r="T2616" s="113"/>
      <c r="U2616" s="111"/>
      <c r="W2616" s="83"/>
    </row>
    <row r="2617" spans="20:23" x14ac:dyDescent="0.25">
      <c r="T2617" s="113"/>
      <c r="U2617" s="111"/>
      <c r="W2617" s="83"/>
    </row>
    <row r="2618" spans="20:23" x14ac:dyDescent="0.25">
      <c r="T2618" s="113"/>
      <c r="U2618" s="111"/>
      <c r="W2618" s="83"/>
    </row>
    <row r="2619" spans="20:23" x14ac:dyDescent="0.25">
      <c r="T2619" s="113"/>
      <c r="U2619" s="111"/>
      <c r="W2619" s="83"/>
    </row>
    <row r="2620" spans="20:23" x14ac:dyDescent="0.25">
      <c r="T2620" s="113"/>
      <c r="U2620" s="111"/>
      <c r="W2620" s="83"/>
    </row>
    <row r="2621" spans="20:23" x14ac:dyDescent="0.25">
      <c r="T2621" s="113"/>
      <c r="U2621" s="111"/>
      <c r="W2621" s="83"/>
    </row>
    <row r="2622" spans="20:23" x14ac:dyDescent="0.25">
      <c r="T2622" s="113"/>
      <c r="U2622" s="111"/>
      <c r="W2622" s="83"/>
    </row>
    <row r="2623" spans="20:23" x14ac:dyDescent="0.25">
      <c r="T2623" s="113"/>
      <c r="U2623" s="111"/>
      <c r="W2623" s="83"/>
    </row>
    <row r="2624" spans="20:23" x14ac:dyDescent="0.25">
      <c r="T2624" s="113"/>
      <c r="U2624" s="111"/>
      <c r="W2624" s="83"/>
    </row>
    <row r="2625" spans="20:23" x14ac:dyDescent="0.25">
      <c r="T2625" s="113"/>
      <c r="U2625" s="111"/>
      <c r="W2625" s="83"/>
    </row>
    <row r="2626" spans="20:23" x14ac:dyDescent="0.25">
      <c r="T2626" s="113"/>
      <c r="U2626" s="111"/>
      <c r="W2626" s="83"/>
    </row>
    <row r="2627" spans="20:23" x14ac:dyDescent="0.25">
      <c r="T2627" s="113"/>
      <c r="U2627" s="111"/>
      <c r="W2627" s="83"/>
    </row>
    <row r="2628" spans="20:23" x14ac:dyDescent="0.25">
      <c r="T2628" s="113"/>
      <c r="U2628" s="111"/>
      <c r="W2628" s="83"/>
    </row>
    <row r="2629" spans="20:23" x14ac:dyDescent="0.25">
      <c r="T2629" s="113"/>
      <c r="U2629" s="111"/>
      <c r="W2629" s="83"/>
    </row>
    <row r="2630" spans="20:23" x14ac:dyDescent="0.25">
      <c r="T2630" s="113"/>
      <c r="U2630" s="111"/>
      <c r="W2630" s="83"/>
    </row>
    <row r="2631" spans="20:23" x14ac:dyDescent="0.25">
      <c r="T2631" s="113"/>
      <c r="U2631" s="111"/>
      <c r="W2631" s="83"/>
    </row>
    <row r="2632" spans="20:23" x14ac:dyDescent="0.25">
      <c r="T2632" s="113"/>
      <c r="U2632" s="111"/>
      <c r="W2632" s="83"/>
    </row>
    <row r="2633" spans="20:23" x14ac:dyDescent="0.25">
      <c r="T2633" s="113"/>
      <c r="U2633" s="111"/>
      <c r="W2633" s="83"/>
    </row>
    <row r="2634" spans="20:23" x14ac:dyDescent="0.25">
      <c r="T2634" s="113"/>
      <c r="U2634" s="111"/>
      <c r="W2634" s="83"/>
    </row>
    <row r="2635" spans="20:23" x14ac:dyDescent="0.25">
      <c r="T2635" s="113"/>
      <c r="U2635" s="111"/>
      <c r="W2635" s="83"/>
    </row>
    <row r="2636" spans="20:23" x14ac:dyDescent="0.25">
      <c r="T2636" s="113"/>
      <c r="U2636" s="111"/>
      <c r="W2636" s="83"/>
    </row>
    <row r="2637" spans="20:23" x14ac:dyDescent="0.25">
      <c r="T2637" s="113"/>
      <c r="U2637" s="111"/>
      <c r="W2637" s="83"/>
    </row>
    <row r="2638" spans="20:23" x14ac:dyDescent="0.25">
      <c r="T2638" s="113"/>
      <c r="U2638" s="111"/>
      <c r="W2638" s="83"/>
    </row>
    <row r="2639" spans="20:23" x14ac:dyDescent="0.25">
      <c r="T2639" s="113"/>
      <c r="U2639" s="111"/>
      <c r="W2639" s="83"/>
    </row>
    <row r="2640" spans="20:23" x14ac:dyDescent="0.25">
      <c r="T2640" s="113"/>
      <c r="U2640" s="111"/>
      <c r="W2640" s="83"/>
    </row>
    <row r="2641" spans="20:23" x14ac:dyDescent="0.25">
      <c r="T2641" s="113"/>
      <c r="U2641" s="111"/>
      <c r="W2641" s="83"/>
    </row>
    <row r="2642" spans="20:23" x14ac:dyDescent="0.25">
      <c r="T2642" s="113"/>
      <c r="U2642" s="111"/>
      <c r="W2642" s="83"/>
    </row>
    <row r="2643" spans="20:23" x14ac:dyDescent="0.25">
      <c r="T2643" s="113"/>
      <c r="U2643" s="111"/>
      <c r="W2643" s="83"/>
    </row>
    <row r="2644" spans="20:23" x14ac:dyDescent="0.25">
      <c r="T2644" s="113"/>
      <c r="U2644" s="111"/>
      <c r="W2644" s="83"/>
    </row>
    <row r="2645" spans="20:23" x14ac:dyDescent="0.25">
      <c r="T2645" s="113"/>
      <c r="U2645" s="111"/>
      <c r="W2645" s="83"/>
    </row>
    <row r="2646" spans="20:23" x14ac:dyDescent="0.25">
      <c r="T2646" s="113"/>
      <c r="U2646" s="111"/>
      <c r="W2646" s="83"/>
    </row>
    <row r="2647" spans="20:23" x14ac:dyDescent="0.25">
      <c r="T2647" s="113"/>
      <c r="U2647" s="111"/>
      <c r="W2647" s="83"/>
    </row>
    <row r="2648" spans="20:23" x14ac:dyDescent="0.25">
      <c r="T2648" s="113"/>
      <c r="U2648" s="111"/>
      <c r="W2648" s="83"/>
    </row>
    <row r="2649" spans="20:23" x14ac:dyDescent="0.25">
      <c r="T2649" s="113"/>
      <c r="U2649" s="111"/>
      <c r="W2649" s="83"/>
    </row>
    <row r="2650" spans="20:23" x14ac:dyDescent="0.25">
      <c r="T2650" s="113"/>
      <c r="U2650" s="111"/>
      <c r="W2650" s="83"/>
    </row>
    <row r="2651" spans="20:23" x14ac:dyDescent="0.25">
      <c r="T2651" s="113"/>
      <c r="U2651" s="111"/>
      <c r="W2651" s="83"/>
    </row>
    <row r="2652" spans="20:23" x14ac:dyDescent="0.25">
      <c r="T2652" s="113"/>
      <c r="U2652" s="111"/>
      <c r="W2652" s="83"/>
    </row>
    <row r="2653" spans="20:23" x14ac:dyDescent="0.25">
      <c r="T2653" s="113"/>
      <c r="U2653" s="111"/>
      <c r="W2653" s="83"/>
    </row>
    <row r="2654" spans="20:23" x14ac:dyDescent="0.25">
      <c r="T2654" s="113"/>
      <c r="U2654" s="111"/>
      <c r="W2654" s="83"/>
    </row>
    <row r="2655" spans="20:23" x14ac:dyDescent="0.25">
      <c r="T2655" s="113"/>
      <c r="U2655" s="111"/>
      <c r="W2655" s="83"/>
    </row>
    <row r="2656" spans="20:23" x14ac:dyDescent="0.25">
      <c r="T2656" s="113"/>
      <c r="U2656" s="111"/>
      <c r="W2656" s="83"/>
    </row>
    <row r="2657" spans="20:23" x14ac:dyDescent="0.25">
      <c r="T2657" s="113"/>
      <c r="U2657" s="111"/>
      <c r="W2657" s="83"/>
    </row>
    <row r="2658" spans="20:23" x14ac:dyDescent="0.25">
      <c r="T2658" s="113"/>
      <c r="U2658" s="111"/>
      <c r="W2658" s="83"/>
    </row>
    <row r="2659" spans="20:23" x14ac:dyDescent="0.25">
      <c r="T2659" s="113"/>
      <c r="U2659" s="111"/>
      <c r="W2659" s="83"/>
    </row>
    <row r="2660" spans="20:23" x14ac:dyDescent="0.25">
      <c r="T2660" s="113"/>
      <c r="U2660" s="111"/>
      <c r="W2660" s="83"/>
    </row>
    <row r="2661" spans="20:23" x14ac:dyDescent="0.25">
      <c r="T2661" s="113"/>
      <c r="U2661" s="111"/>
      <c r="W2661" s="83"/>
    </row>
    <row r="2662" spans="20:23" x14ac:dyDescent="0.25">
      <c r="T2662" s="113"/>
      <c r="U2662" s="111"/>
      <c r="W2662" s="83"/>
    </row>
    <row r="2663" spans="20:23" x14ac:dyDescent="0.25">
      <c r="T2663" s="113"/>
      <c r="U2663" s="111"/>
      <c r="W2663" s="83"/>
    </row>
    <row r="2664" spans="20:23" x14ac:dyDescent="0.25">
      <c r="T2664" s="113"/>
      <c r="U2664" s="111"/>
      <c r="W2664" s="83"/>
    </row>
    <row r="2665" spans="20:23" x14ac:dyDescent="0.25">
      <c r="T2665" s="113"/>
      <c r="U2665" s="111"/>
      <c r="W2665" s="83"/>
    </row>
    <row r="2666" spans="20:23" x14ac:dyDescent="0.25">
      <c r="T2666" s="113"/>
      <c r="U2666" s="111"/>
      <c r="W2666" s="83"/>
    </row>
    <row r="2667" spans="20:23" x14ac:dyDescent="0.25">
      <c r="T2667" s="113"/>
      <c r="U2667" s="111"/>
      <c r="W2667" s="83"/>
    </row>
    <row r="2668" spans="20:23" x14ac:dyDescent="0.25">
      <c r="T2668" s="113"/>
      <c r="U2668" s="111"/>
      <c r="W2668" s="83"/>
    </row>
    <row r="2669" spans="20:23" x14ac:dyDescent="0.25">
      <c r="T2669" s="113"/>
      <c r="U2669" s="111"/>
      <c r="W2669" s="83"/>
    </row>
    <row r="2670" spans="20:23" x14ac:dyDescent="0.25">
      <c r="T2670" s="113"/>
      <c r="U2670" s="111"/>
      <c r="W2670" s="83"/>
    </row>
    <row r="2671" spans="20:23" x14ac:dyDescent="0.25">
      <c r="T2671" s="113"/>
      <c r="U2671" s="111"/>
      <c r="W2671" s="83"/>
    </row>
    <row r="2672" spans="20:23" x14ac:dyDescent="0.25">
      <c r="T2672" s="113"/>
      <c r="U2672" s="111"/>
      <c r="W2672" s="83"/>
    </row>
    <row r="2673" spans="20:23" x14ac:dyDescent="0.25">
      <c r="T2673" s="113"/>
      <c r="U2673" s="111"/>
      <c r="W2673" s="83"/>
    </row>
    <row r="2674" spans="20:23" x14ac:dyDescent="0.25">
      <c r="T2674" s="113"/>
      <c r="U2674" s="111"/>
      <c r="W2674" s="83"/>
    </row>
    <row r="2675" spans="20:23" x14ac:dyDescent="0.25">
      <c r="T2675" s="113"/>
      <c r="U2675" s="111"/>
      <c r="W2675" s="83"/>
    </row>
    <row r="2676" spans="20:23" x14ac:dyDescent="0.25">
      <c r="T2676" s="113"/>
      <c r="U2676" s="111"/>
      <c r="W2676" s="83"/>
    </row>
    <row r="2677" spans="20:23" x14ac:dyDescent="0.25">
      <c r="T2677" s="113"/>
      <c r="U2677" s="111"/>
      <c r="W2677" s="83"/>
    </row>
    <row r="2678" spans="20:23" x14ac:dyDescent="0.25">
      <c r="T2678" s="113"/>
      <c r="U2678" s="111"/>
      <c r="W2678" s="83"/>
    </row>
    <row r="2679" spans="20:23" x14ac:dyDescent="0.25">
      <c r="T2679" s="113"/>
      <c r="U2679" s="111"/>
      <c r="W2679" s="83"/>
    </row>
    <row r="2680" spans="20:23" x14ac:dyDescent="0.25">
      <c r="T2680" s="113"/>
      <c r="U2680" s="111"/>
      <c r="W2680" s="83"/>
    </row>
    <row r="2681" spans="20:23" x14ac:dyDescent="0.25">
      <c r="T2681" s="113"/>
      <c r="U2681" s="111"/>
      <c r="W2681" s="83"/>
    </row>
    <row r="2682" spans="20:23" x14ac:dyDescent="0.25">
      <c r="T2682" s="113"/>
      <c r="U2682" s="111"/>
      <c r="W2682" s="83"/>
    </row>
    <row r="2683" spans="20:23" x14ac:dyDescent="0.25">
      <c r="T2683" s="113"/>
      <c r="U2683" s="111"/>
      <c r="W2683" s="83"/>
    </row>
    <row r="2684" spans="20:23" x14ac:dyDescent="0.25">
      <c r="T2684" s="113"/>
      <c r="U2684" s="111"/>
      <c r="W2684" s="83"/>
    </row>
    <row r="2685" spans="20:23" x14ac:dyDescent="0.25">
      <c r="T2685" s="113"/>
      <c r="U2685" s="111"/>
      <c r="W2685" s="83"/>
    </row>
    <row r="2686" spans="20:23" x14ac:dyDescent="0.25">
      <c r="T2686" s="113"/>
      <c r="U2686" s="111"/>
      <c r="W2686" s="83"/>
    </row>
    <row r="2687" spans="20:23" x14ac:dyDescent="0.25">
      <c r="T2687" s="113"/>
      <c r="U2687" s="111"/>
      <c r="W2687" s="83"/>
    </row>
    <row r="2688" spans="20:23" x14ac:dyDescent="0.25">
      <c r="T2688" s="113"/>
      <c r="U2688" s="111"/>
      <c r="W2688" s="83"/>
    </row>
    <row r="2689" spans="20:23" x14ac:dyDescent="0.25">
      <c r="T2689" s="113"/>
      <c r="U2689" s="111"/>
      <c r="W2689" s="83"/>
    </row>
    <row r="2690" spans="20:23" x14ac:dyDescent="0.25">
      <c r="T2690" s="113"/>
      <c r="U2690" s="111"/>
      <c r="W2690" s="83"/>
    </row>
    <row r="2691" spans="20:23" x14ac:dyDescent="0.25">
      <c r="T2691" s="113"/>
      <c r="U2691" s="111"/>
      <c r="W2691" s="83"/>
    </row>
    <row r="2692" spans="20:23" x14ac:dyDescent="0.25">
      <c r="T2692" s="113"/>
      <c r="U2692" s="111"/>
      <c r="W2692" s="83"/>
    </row>
    <row r="2693" spans="20:23" x14ac:dyDescent="0.25">
      <c r="T2693" s="113"/>
      <c r="U2693" s="111"/>
      <c r="W2693" s="83"/>
    </row>
    <row r="2694" spans="20:23" x14ac:dyDescent="0.25">
      <c r="T2694" s="113"/>
      <c r="U2694" s="111"/>
      <c r="W2694" s="83"/>
    </row>
    <row r="2695" spans="20:23" x14ac:dyDescent="0.25">
      <c r="T2695" s="113"/>
      <c r="U2695" s="111"/>
      <c r="W2695" s="83"/>
    </row>
    <row r="2696" spans="20:23" x14ac:dyDescent="0.25">
      <c r="T2696" s="113"/>
      <c r="U2696" s="111"/>
      <c r="W2696" s="83"/>
    </row>
    <row r="2697" spans="20:23" x14ac:dyDescent="0.25">
      <c r="T2697" s="113"/>
      <c r="U2697" s="111"/>
      <c r="W2697" s="83"/>
    </row>
    <row r="2698" spans="20:23" x14ac:dyDescent="0.25">
      <c r="T2698" s="113"/>
      <c r="U2698" s="111"/>
      <c r="W2698" s="83"/>
    </row>
    <row r="2699" spans="20:23" x14ac:dyDescent="0.25">
      <c r="T2699" s="113"/>
      <c r="U2699" s="111"/>
      <c r="W2699" s="83"/>
    </row>
    <row r="2700" spans="20:23" x14ac:dyDescent="0.25">
      <c r="T2700" s="113"/>
      <c r="U2700" s="111"/>
      <c r="W2700" s="83"/>
    </row>
    <row r="2701" spans="20:23" x14ac:dyDescent="0.25">
      <c r="T2701" s="113"/>
      <c r="U2701" s="111"/>
      <c r="W2701" s="83"/>
    </row>
    <row r="2702" spans="20:23" x14ac:dyDescent="0.25">
      <c r="T2702" s="113"/>
      <c r="U2702" s="111"/>
      <c r="W2702" s="83"/>
    </row>
    <row r="2703" spans="20:23" x14ac:dyDescent="0.25">
      <c r="T2703" s="113"/>
      <c r="U2703" s="111"/>
      <c r="W2703" s="83"/>
    </row>
    <row r="2704" spans="20:23" x14ac:dyDescent="0.25">
      <c r="T2704" s="113"/>
      <c r="U2704" s="111"/>
      <c r="W2704" s="83"/>
    </row>
    <row r="2705" spans="20:23" x14ac:dyDescent="0.25">
      <c r="T2705" s="113"/>
      <c r="U2705" s="111"/>
      <c r="W2705" s="83"/>
    </row>
    <row r="2706" spans="20:23" x14ac:dyDescent="0.25">
      <c r="T2706" s="113"/>
      <c r="U2706" s="111"/>
      <c r="W2706" s="83"/>
    </row>
    <row r="2707" spans="20:23" x14ac:dyDescent="0.25">
      <c r="T2707" s="113"/>
      <c r="U2707" s="111"/>
      <c r="W2707" s="83"/>
    </row>
    <row r="2708" spans="20:23" x14ac:dyDescent="0.25">
      <c r="T2708" s="113"/>
      <c r="U2708" s="111"/>
      <c r="W2708" s="83"/>
    </row>
    <row r="2709" spans="20:23" x14ac:dyDescent="0.25">
      <c r="T2709" s="113"/>
      <c r="U2709" s="111"/>
      <c r="W2709" s="83"/>
    </row>
    <row r="2710" spans="20:23" x14ac:dyDescent="0.25">
      <c r="T2710" s="113"/>
      <c r="U2710" s="111"/>
      <c r="W2710" s="83"/>
    </row>
    <row r="2711" spans="20:23" x14ac:dyDescent="0.25">
      <c r="T2711" s="113"/>
      <c r="U2711" s="111"/>
      <c r="W2711" s="83"/>
    </row>
    <row r="2712" spans="20:23" x14ac:dyDescent="0.25">
      <c r="T2712" s="113"/>
      <c r="U2712" s="111"/>
      <c r="W2712" s="83"/>
    </row>
    <row r="2713" spans="20:23" x14ac:dyDescent="0.25">
      <c r="T2713" s="113"/>
      <c r="U2713" s="111"/>
      <c r="W2713" s="83"/>
    </row>
    <row r="2714" spans="20:23" x14ac:dyDescent="0.25">
      <c r="T2714" s="113"/>
      <c r="U2714" s="111"/>
      <c r="W2714" s="83"/>
    </row>
    <row r="2715" spans="20:23" x14ac:dyDescent="0.25">
      <c r="T2715" s="113"/>
      <c r="U2715" s="111"/>
      <c r="W2715" s="83"/>
    </row>
    <row r="2716" spans="20:23" x14ac:dyDescent="0.25">
      <c r="T2716" s="113"/>
      <c r="U2716" s="111"/>
      <c r="W2716" s="83"/>
    </row>
    <row r="2717" spans="20:23" x14ac:dyDescent="0.25">
      <c r="T2717" s="113"/>
      <c r="U2717" s="111"/>
      <c r="W2717" s="83"/>
    </row>
    <row r="2718" spans="20:23" x14ac:dyDescent="0.25">
      <c r="T2718" s="113"/>
      <c r="U2718" s="111"/>
      <c r="W2718" s="83"/>
    </row>
    <row r="2719" spans="20:23" x14ac:dyDescent="0.25">
      <c r="T2719" s="113"/>
      <c r="U2719" s="111"/>
      <c r="W2719" s="83"/>
    </row>
    <row r="2720" spans="20:23" x14ac:dyDescent="0.25">
      <c r="T2720" s="113"/>
      <c r="U2720" s="111"/>
      <c r="W2720" s="83"/>
    </row>
    <row r="2721" spans="20:23" x14ac:dyDescent="0.25">
      <c r="T2721" s="113"/>
      <c r="U2721" s="111"/>
      <c r="W2721" s="83"/>
    </row>
    <row r="2722" spans="20:23" x14ac:dyDescent="0.25">
      <c r="T2722" s="113"/>
      <c r="U2722" s="111"/>
      <c r="W2722" s="83"/>
    </row>
    <row r="2723" spans="20:23" x14ac:dyDescent="0.25">
      <c r="T2723" s="113"/>
      <c r="U2723" s="111"/>
      <c r="W2723" s="83"/>
    </row>
    <row r="2724" spans="20:23" x14ac:dyDescent="0.25">
      <c r="T2724" s="113"/>
      <c r="U2724" s="111"/>
      <c r="W2724" s="83"/>
    </row>
    <row r="2725" spans="20:23" x14ac:dyDescent="0.25">
      <c r="T2725" s="113"/>
      <c r="U2725" s="111"/>
      <c r="W2725" s="83"/>
    </row>
    <row r="2726" spans="20:23" x14ac:dyDescent="0.25">
      <c r="T2726" s="113"/>
      <c r="U2726" s="111"/>
      <c r="W2726" s="83"/>
    </row>
    <row r="2727" spans="20:23" x14ac:dyDescent="0.25">
      <c r="T2727" s="113"/>
      <c r="U2727" s="111"/>
      <c r="W2727" s="83"/>
    </row>
    <row r="2728" spans="20:23" x14ac:dyDescent="0.25">
      <c r="T2728" s="113"/>
      <c r="U2728" s="111"/>
      <c r="W2728" s="83"/>
    </row>
    <row r="2729" spans="20:23" x14ac:dyDescent="0.25">
      <c r="T2729" s="113"/>
      <c r="U2729" s="111"/>
      <c r="W2729" s="83"/>
    </row>
    <row r="2730" spans="20:23" x14ac:dyDescent="0.25">
      <c r="T2730" s="113"/>
      <c r="U2730" s="111"/>
      <c r="W2730" s="83"/>
    </row>
    <row r="2731" spans="20:23" x14ac:dyDescent="0.25">
      <c r="T2731" s="113"/>
      <c r="U2731" s="111"/>
      <c r="W2731" s="83"/>
    </row>
    <row r="2732" spans="20:23" x14ac:dyDescent="0.25">
      <c r="T2732" s="113"/>
      <c r="U2732" s="111"/>
      <c r="W2732" s="83"/>
    </row>
    <row r="2733" spans="20:23" x14ac:dyDescent="0.25">
      <c r="T2733" s="113"/>
      <c r="U2733" s="111"/>
      <c r="W2733" s="83"/>
    </row>
    <row r="2734" spans="20:23" x14ac:dyDescent="0.25">
      <c r="T2734" s="113"/>
      <c r="U2734" s="111"/>
      <c r="W2734" s="83"/>
    </row>
    <row r="2735" spans="20:23" x14ac:dyDescent="0.25">
      <c r="T2735" s="113"/>
      <c r="U2735" s="111"/>
      <c r="W2735" s="83"/>
    </row>
    <row r="2736" spans="20:23" x14ac:dyDescent="0.25">
      <c r="T2736" s="113"/>
      <c r="U2736" s="111"/>
      <c r="W2736" s="83"/>
    </row>
    <row r="2737" spans="20:23" x14ac:dyDescent="0.25">
      <c r="T2737" s="113"/>
      <c r="U2737" s="111"/>
      <c r="W2737" s="83"/>
    </row>
    <row r="2738" spans="20:23" x14ac:dyDescent="0.25">
      <c r="T2738" s="113"/>
      <c r="U2738" s="111"/>
      <c r="W2738" s="83"/>
    </row>
    <row r="2739" spans="20:23" x14ac:dyDescent="0.25">
      <c r="T2739" s="113"/>
      <c r="U2739" s="111"/>
      <c r="W2739" s="83"/>
    </row>
    <row r="2740" spans="20:23" x14ac:dyDescent="0.25">
      <c r="T2740" s="113"/>
      <c r="U2740" s="111"/>
      <c r="W2740" s="83"/>
    </row>
    <row r="2741" spans="20:23" x14ac:dyDescent="0.25">
      <c r="T2741" s="113"/>
      <c r="U2741" s="111"/>
      <c r="W2741" s="83"/>
    </row>
    <row r="2742" spans="20:23" x14ac:dyDescent="0.25">
      <c r="T2742" s="113"/>
      <c r="U2742" s="111"/>
      <c r="W2742" s="83"/>
    </row>
    <row r="2743" spans="20:23" x14ac:dyDescent="0.25">
      <c r="T2743" s="113"/>
      <c r="U2743" s="111"/>
      <c r="W2743" s="83"/>
    </row>
    <row r="2744" spans="20:23" x14ac:dyDescent="0.25">
      <c r="T2744" s="113"/>
      <c r="U2744" s="111"/>
      <c r="W2744" s="83"/>
    </row>
    <row r="2745" spans="20:23" x14ac:dyDescent="0.25">
      <c r="T2745" s="113"/>
      <c r="U2745" s="111"/>
      <c r="W2745" s="83"/>
    </row>
    <row r="2746" spans="20:23" x14ac:dyDescent="0.25">
      <c r="T2746" s="113"/>
      <c r="U2746" s="111"/>
      <c r="W2746" s="83"/>
    </row>
    <row r="2747" spans="20:23" x14ac:dyDescent="0.25">
      <c r="T2747" s="113"/>
      <c r="U2747" s="111"/>
      <c r="W2747" s="83"/>
    </row>
    <row r="2748" spans="20:23" x14ac:dyDescent="0.25">
      <c r="T2748" s="113"/>
      <c r="U2748" s="111"/>
      <c r="W2748" s="83"/>
    </row>
    <row r="2749" spans="20:23" x14ac:dyDescent="0.25">
      <c r="T2749" s="113"/>
      <c r="U2749" s="111"/>
      <c r="W2749" s="83"/>
    </row>
    <row r="2750" spans="20:23" x14ac:dyDescent="0.25">
      <c r="T2750" s="113"/>
      <c r="U2750" s="111"/>
      <c r="W2750" s="83"/>
    </row>
    <row r="2751" spans="20:23" x14ac:dyDescent="0.25">
      <c r="T2751" s="113"/>
      <c r="U2751" s="111"/>
      <c r="W2751" s="83"/>
    </row>
    <row r="2752" spans="20:23" x14ac:dyDescent="0.25">
      <c r="T2752" s="113"/>
      <c r="U2752" s="111"/>
      <c r="W2752" s="83"/>
    </row>
    <row r="2753" spans="20:23" x14ac:dyDescent="0.25">
      <c r="T2753" s="113"/>
      <c r="U2753" s="111"/>
      <c r="W2753" s="83"/>
    </row>
    <row r="2754" spans="20:23" x14ac:dyDescent="0.25">
      <c r="T2754" s="113"/>
      <c r="U2754" s="111"/>
      <c r="W2754" s="83"/>
    </row>
    <row r="2755" spans="20:23" x14ac:dyDescent="0.25">
      <c r="T2755" s="113"/>
      <c r="U2755" s="111"/>
      <c r="W2755" s="83"/>
    </row>
    <row r="2756" spans="20:23" x14ac:dyDescent="0.25">
      <c r="T2756" s="113"/>
      <c r="U2756" s="111"/>
      <c r="W2756" s="83"/>
    </row>
    <row r="2757" spans="20:23" x14ac:dyDescent="0.25">
      <c r="T2757" s="113"/>
      <c r="U2757" s="111"/>
      <c r="W2757" s="83"/>
    </row>
    <row r="2758" spans="20:23" x14ac:dyDescent="0.25">
      <c r="T2758" s="113"/>
      <c r="U2758" s="111"/>
      <c r="W2758" s="83"/>
    </row>
    <row r="2759" spans="20:23" x14ac:dyDescent="0.25">
      <c r="T2759" s="113"/>
      <c r="U2759" s="111"/>
      <c r="W2759" s="83"/>
    </row>
    <row r="2760" spans="20:23" x14ac:dyDescent="0.25">
      <c r="T2760" s="113"/>
      <c r="U2760" s="111"/>
      <c r="W2760" s="83"/>
    </row>
    <row r="2761" spans="20:23" x14ac:dyDescent="0.25">
      <c r="T2761" s="113"/>
      <c r="U2761" s="111"/>
      <c r="W2761" s="83"/>
    </row>
    <row r="2762" spans="20:23" x14ac:dyDescent="0.25">
      <c r="T2762" s="113"/>
      <c r="U2762" s="111"/>
      <c r="W2762" s="83"/>
    </row>
    <row r="2763" spans="20:23" x14ac:dyDescent="0.25">
      <c r="T2763" s="113"/>
      <c r="U2763" s="111"/>
      <c r="W2763" s="83"/>
    </row>
    <row r="2764" spans="20:23" x14ac:dyDescent="0.25">
      <c r="T2764" s="113"/>
      <c r="U2764" s="111"/>
      <c r="W2764" s="83"/>
    </row>
    <row r="2765" spans="20:23" x14ac:dyDescent="0.25">
      <c r="T2765" s="113"/>
      <c r="U2765" s="111"/>
      <c r="W2765" s="83"/>
    </row>
    <row r="2766" spans="20:23" x14ac:dyDescent="0.25">
      <c r="T2766" s="113"/>
      <c r="U2766" s="111"/>
      <c r="W2766" s="83"/>
    </row>
    <row r="2767" spans="20:23" x14ac:dyDescent="0.25">
      <c r="T2767" s="113"/>
      <c r="U2767" s="111"/>
      <c r="W2767" s="83"/>
    </row>
    <row r="2768" spans="20:23" x14ac:dyDescent="0.25">
      <c r="T2768" s="113"/>
      <c r="U2768" s="111"/>
      <c r="W2768" s="83"/>
    </row>
    <row r="2769" spans="20:23" x14ac:dyDescent="0.25">
      <c r="T2769" s="113"/>
      <c r="U2769" s="111"/>
      <c r="W2769" s="83"/>
    </row>
    <row r="2770" spans="20:23" x14ac:dyDescent="0.25">
      <c r="T2770" s="113"/>
      <c r="U2770" s="111"/>
      <c r="W2770" s="83"/>
    </row>
    <row r="2771" spans="20:23" x14ac:dyDescent="0.25">
      <c r="T2771" s="113"/>
      <c r="U2771" s="111"/>
      <c r="W2771" s="83"/>
    </row>
    <row r="2772" spans="20:23" x14ac:dyDescent="0.25">
      <c r="T2772" s="113"/>
      <c r="U2772" s="111"/>
      <c r="W2772" s="83"/>
    </row>
    <row r="2773" spans="20:23" x14ac:dyDescent="0.25">
      <c r="T2773" s="113"/>
      <c r="U2773" s="111"/>
      <c r="W2773" s="83"/>
    </row>
    <row r="2774" spans="20:23" x14ac:dyDescent="0.25">
      <c r="T2774" s="113"/>
      <c r="U2774" s="111"/>
      <c r="W2774" s="83"/>
    </row>
    <row r="2775" spans="20:23" x14ac:dyDescent="0.25">
      <c r="T2775" s="113"/>
      <c r="U2775" s="111"/>
      <c r="W2775" s="83"/>
    </row>
    <row r="2776" spans="20:23" x14ac:dyDescent="0.25">
      <c r="T2776" s="113"/>
      <c r="U2776" s="111"/>
      <c r="W2776" s="83"/>
    </row>
    <row r="2777" spans="20:23" x14ac:dyDescent="0.25">
      <c r="T2777" s="113"/>
      <c r="U2777" s="111"/>
      <c r="W2777" s="83"/>
    </row>
    <row r="2778" spans="20:23" x14ac:dyDescent="0.25">
      <c r="T2778" s="113"/>
      <c r="U2778" s="111"/>
      <c r="W2778" s="83"/>
    </row>
    <row r="2779" spans="20:23" x14ac:dyDescent="0.25">
      <c r="T2779" s="113"/>
      <c r="U2779" s="111"/>
      <c r="W2779" s="83"/>
    </row>
    <row r="2780" spans="20:23" x14ac:dyDescent="0.25">
      <c r="T2780" s="113"/>
      <c r="U2780" s="111"/>
      <c r="W2780" s="83"/>
    </row>
    <row r="2781" spans="20:23" x14ac:dyDescent="0.25">
      <c r="T2781" s="113"/>
      <c r="U2781" s="111"/>
      <c r="W2781" s="83"/>
    </row>
    <row r="2782" spans="20:23" x14ac:dyDescent="0.25">
      <c r="T2782" s="113"/>
      <c r="U2782" s="111"/>
      <c r="W2782" s="83"/>
    </row>
    <row r="2783" spans="20:23" x14ac:dyDescent="0.25">
      <c r="T2783" s="113"/>
      <c r="U2783" s="111"/>
      <c r="W2783" s="83"/>
    </row>
    <row r="2784" spans="20:23" x14ac:dyDescent="0.25">
      <c r="T2784" s="113"/>
      <c r="U2784" s="111"/>
      <c r="W2784" s="83"/>
    </row>
    <row r="2785" spans="20:23" x14ac:dyDescent="0.25">
      <c r="T2785" s="113"/>
      <c r="U2785" s="111"/>
      <c r="W2785" s="83"/>
    </row>
    <row r="2786" spans="20:23" x14ac:dyDescent="0.25">
      <c r="T2786" s="113"/>
      <c r="U2786" s="111"/>
      <c r="W2786" s="83"/>
    </row>
    <row r="2787" spans="20:23" x14ac:dyDescent="0.25">
      <c r="T2787" s="113"/>
      <c r="U2787" s="111"/>
      <c r="W2787" s="83"/>
    </row>
    <row r="2788" spans="20:23" x14ac:dyDescent="0.25">
      <c r="T2788" s="113"/>
      <c r="U2788" s="111"/>
      <c r="W2788" s="83"/>
    </row>
    <row r="2789" spans="20:23" x14ac:dyDescent="0.25">
      <c r="T2789" s="113"/>
      <c r="U2789" s="111"/>
      <c r="W2789" s="83"/>
    </row>
    <row r="2790" spans="20:23" x14ac:dyDescent="0.25">
      <c r="T2790" s="113"/>
      <c r="U2790" s="111"/>
      <c r="W2790" s="83"/>
    </row>
    <row r="2791" spans="20:23" x14ac:dyDescent="0.25">
      <c r="T2791" s="113"/>
      <c r="U2791" s="111"/>
      <c r="W2791" s="83"/>
    </row>
    <row r="2792" spans="20:23" x14ac:dyDescent="0.25">
      <c r="T2792" s="113"/>
      <c r="U2792" s="111"/>
      <c r="W2792" s="83"/>
    </row>
    <row r="2793" spans="20:23" x14ac:dyDescent="0.25">
      <c r="T2793" s="113"/>
      <c r="U2793" s="111"/>
      <c r="W2793" s="83"/>
    </row>
    <row r="2794" spans="20:23" x14ac:dyDescent="0.25">
      <c r="T2794" s="113"/>
      <c r="U2794" s="111"/>
      <c r="W2794" s="83"/>
    </row>
    <row r="2795" spans="20:23" x14ac:dyDescent="0.25">
      <c r="T2795" s="113"/>
      <c r="U2795" s="111"/>
      <c r="W2795" s="83"/>
    </row>
    <row r="2796" spans="20:23" x14ac:dyDescent="0.25">
      <c r="T2796" s="113"/>
      <c r="U2796" s="111"/>
      <c r="W2796" s="83"/>
    </row>
    <row r="2797" spans="20:23" x14ac:dyDescent="0.25">
      <c r="T2797" s="113"/>
      <c r="U2797" s="111"/>
      <c r="W2797" s="83"/>
    </row>
    <row r="2798" spans="20:23" x14ac:dyDescent="0.25">
      <c r="T2798" s="113"/>
      <c r="U2798" s="111"/>
      <c r="W2798" s="83"/>
    </row>
    <row r="2799" spans="20:23" x14ac:dyDescent="0.25">
      <c r="T2799" s="113"/>
      <c r="U2799" s="111"/>
      <c r="W2799" s="83"/>
    </row>
    <row r="2800" spans="20:23" x14ac:dyDescent="0.25">
      <c r="T2800" s="113"/>
      <c r="U2800" s="111"/>
      <c r="W2800" s="83"/>
    </row>
    <row r="2801" spans="20:23" x14ac:dyDescent="0.25">
      <c r="T2801" s="113"/>
      <c r="U2801" s="111"/>
      <c r="W2801" s="83"/>
    </row>
    <row r="2802" spans="20:23" x14ac:dyDescent="0.25">
      <c r="T2802" s="113"/>
      <c r="U2802" s="111"/>
      <c r="W2802" s="83"/>
    </row>
    <row r="2803" spans="20:23" x14ac:dyDescent="0.25">
      <c r="T2803" s="113"/>
      <c r="U2803" s="111"/>
      <c r="W2803" s="83"/>
    </row>
    <row r="2804" spans="20:23" x14ac:dyDescent="0.25">
      <c r="T2804" s="113"/>
      <c r="U2804" s="111"/>
      <c r="W2804" s="83"/>
    </row>
    <row r="2805" spans="20:23" x14ac:dyDescent="0.25">
      <c r="T2805" s="113"/>
      <c r="U2805" s="111"/>
      <c r="W2805" s="83"/>
    </row>
    <row r="2806" spans="20:23" x14ac:dyDescent="0.25">
      <c r="T2806" s="113"/>
      <c r="U2806" s="111"/>
      <c r="W2806" s="83"/>
    </row>
    <row r="2807" spans="20:23" x14ac:dyDescent="0.25">
      <c r="T2807" s="113"/>
      <c r="U2807" s="111"/>
      <c r="W2807" s="83"/>
    </row>
    <row r="2808" spans="20:23" x14ac:dyDescent="0.25">
      <c r="T2808" s="113"/>
      <c r="U2808" s="111"/>
      <c r="W2808" s="83"/>
    </row>
    <row r="2809" spans="20:23" x14ac:dyDescent="0.25">
      <c r="T2809" s="113"/>
      <c r="U2809" s="111"/>
      <c r="W2809" s="83"/>
    </row>
    <row r="2810" spans="20:23" x14ac:dyDescent="0.25">
      <c r="T2810" s="113"/>
      <c r="U2810" s="111"/>
      <c r="W2810" s="83"/>
    </row>
    <row r="2811" spans="20:23" x14ac:dyDescent="0.25">
      <c r="T2811" s="113"/>
      <c r="U2811" s="111"/>
      <c r="W2811" s="83"/>
    </row>
    <row r="2812" spans="20:23" x14ac:dyDescent="0.25">
      <c r="T2812" s="113"/>
      <c r="U2812" s="111"/>
      <c r="W2812" s="83"/>
    </row>
    <row r="2813" spans="20:23" x14ac:dyDescent="0.25">
      <c r="T2813" s="113"/>
      <c r="U2813" s="111"/>
      <c r="W2813" s="83"/>
    </row>
    <row r="2814" spans="20:23" x14ac:dyDescent="0.25">
      <c r="T2814" s="113"/>
      <c r="U2814" s="111"/>
      <c r="W2814" s="83"/>
    </row>
    <row r="2815" spans="20:23" x14ac:dyDescent="0.25">
      <c r="T2815" s="113"/>
      <c r="U2815" s="111"/>
      <c r="W2815" s="83"/>
    </row>
    <row r="2816" spans="20:23" x14ac:dyDescent="0.25">
      <c r="T2816" s="113"/>
      <c r="U2816" s="111"/>
      <c r="W2816" s="83"/>
    </row>
    <row r="2817" spans="20:23" x14ac:dyDescent="0.25">
      <c r="T2817" s="113"/>
      <c r="U2817" s="111"/>
      <c r="W2817" s="83"/>
    </row>
    <row r="2818" spans="20:23" x14ac:dyDescent="0.25">
      <c r="T2818" s="113"/>
      <c r="U2818" s="111"/>
      <c r="W2818" s="83"/>
    </row>
    <row r="2819" spans="20:23" x14ac:dyDescent="0.25">
      <c r="T2819" s="113"/>
      <c r="U2819" s="111"/>
      <c r="W2819" s="83"/>
    </row>
    <row r="2820" spans="20:23" x14ac:dyDescent="0.25">
      <c r="T2820" s="113"/>
      <c r="U2820" s="111"/>
      <c r="W2820" s="83"/>
    </row>
    <row r="2821" spans="20:23" x14ac:dyDescent="0.25">
      <c r="T2821" s="113"/>
      <c r="U2821" s="111"/>
      <c r="W2821" s="83"/>
    </row>
    <row r="2822" spans="20:23" x14ac:dyDescent="0.25">
      <c r="T2822" s="113"/>
      <c r="U2822" s="111"/>
      <c r="W2822" s="83"/>
    </row>
    <row r="2823" spans="20:23" x14ac:dyDescent="0.25">
      <c r="T2823" s="113"/>
      <c r="U2823" s="111"/>
      <c r="W2823" s="83"/>
    </row>
    <row r="2824" spans="20:23" x14ac:dyDescent="0.25">
      <c r="T2824" s="113"/>
      <c r="U2824" s="111"/>
      <c r="W2824" s="83"/>
    </row>
    <row r="2825" spans="20:23" x14ac:dyDescent="0.25">
      <c r="T2825" s="113"/>
      <c r="U2825" s="111"/>
      <c r="W2825" s="83"/>
    </row>
    <row r="2826" spans="20:23" x14ac:dyDescent="0.25">
      <c r="T2826" s="113"/>
      <c r="U2826" s="111"/>
      <c r="W2826" s="83"/>
    </row>
    <row r="2827" spans="20:23" x14ac:dyDescent="0.25">
      <c r="T2827" s="113"/>
      <c r="U2827" s="111"/>
      <c r="W2827" s="83"/>
    </row>
    <row r="2828" spans="20:23" x14ac:dyDescent="0.25">
      <c r="T2828" s="113"/>
      <c r="U2828" s="111"/>
      <c r="W2828" s="83"/>
    </row>
    <row r="2829" spans="20:23" x14ac:dyDescent="0.25">
      <c r="T2829" s="113"/>
      <c r="U2829" s="111"/>
      <c r="W2829" s="83"/>
    </row>
    <row r="2830" spans="20:23" x14ac:dyDescent="0.25">
      <c r="T2830" s="113"/>
      <c r="U2830" s="111"/>
      <c r="W2830" s="83"/>
    </row>
    <row r="2831" spans="20:23" x14ac:dyDescent="0.25">
      <c r="T2831" s="113"/>
      <c r="U2831" s="111"/>
      <c r="W2831" s="83"/>
    </row>
    <row r="2832" spans="20:23" x14ac:dyDescent="0.25">
      <c r="T2832" s="113"/>
      <c r="U2832" s="111"/>
      <c r="W2832" s="83"/>
    </row>
    <row r="2833" spans="20:23" x14ac:dyDescent="0.25">
      <c r="T2833" s="113"/>
      <c r="U2833" s="111"/>
      <c r="W2833" s="83"/>
    </row>
    <row r="2834" spans="20:23" x14ac:dyDescent="0.25">
      <c r="T2834" s="113"/>
      <c r="U2834" s="111"/>
      <c r="W2834" s="83"/>
    </row>
    <row r="2835" spans="20:23" x14ac:dyDescent="0.25">
      <c r="T2835" s="113"/>
      <c r="U2835" s="111"/>
      <c r="W2835" s="83"/>
    </row>
    <row r="2836" spans="20:23" x14ac:dyDescent="0.25">
      <c r="T2836" s="113"/>
      <c r="U2836" s="111"/>
      <c r="W2836" s="83"/>
    </row>
    <row r="2837" spans="20:23" x14ac:dyDescent="0.25">
      <c r="T2837" s="113"/>
      <c r="U2837" s="111"/>
      <c r="W2837" s="83"/>
    </row>
    <row r="2838" spans="20:23" x14ac:dyDescent="0.25">
      <c r="T2838" s="113"/>
      <c r="U2838" s="111"/>
      <c r="W2838" s="83"/>
    </row>
    <row r="2839" spans="20:23" x14ac:dyDescent="0.25">
      <c r="T2839" s="113"/>
      <c r="U2839" s="111"/>
      <c r="W2839" s="83"/>
    </row>
    <row r="2840" spans="20:23" x14ac:dyDescent="0.25">
      <c r="T2840" s="113"/>
      <c r="U2840" s="111"/>
      <c r="W2840" s="83"/>
    </row>
    <row r="2841" spans="20:23" x14ac:dyDescent="0.25">
      <c r="T2841" s="113"/>
      <c r="U2841" s="111"/>
      <c r="W2841" s="83"/>
    </row>
    <row r="2842" spans="20:23" x14ac:dyDescent="0.25">
      <c r="T2842" s="113"/>
      <c r="U2842" s="111"/>
      <c r="W2842" s="83"/>
    </row>
    <row r="2843" spans="20:23" x14ac:dyDescent="0.25">
      <c r="T2843" s="113"/>
      <c r="U2843" s="111"/>
      <c r="W2843" s="83"/>
    </row>
    <row r="2844" spans="20:23" x14ac:dyDescent="0.25">
      <c r="T2844" s="113"/>
      <c r="U2844" s="111"/>
      <c r="W2844" s="83"/>
    </row>
    <row r="2845" spans="20:23" x14ac:dyDescent="0.25">
      <c r="T2845" s="113"/>
      <c r="U2845" s="111"/>
      <c r="W2845" s="83"/>
    </row>
    <row r="2846" spans="20:23" x14ac:dyDescent="0.25">
      <c r="T2846" s="113"/>
      <c r="U2846" s="111"/>
      <c r="W2846" s="83"/>
    </row>
    <row r="2847" spans="20:23" x14ac:dyDescent="0.25">
      <c r="T2847" s="113"/>
      <c r="U2847" s="111"/>
      <c r="W2847" s="83"/>
    </row>
    <row r="2848" spans="20:23" x14ac:dyDescent="0.25">
      <c r="T2848" s="113"/>
      <c r="U2848" s="111"/>
      <c r="W2848" s="83"/>
    </row>
    <row r="2849" spans="20:23" x14ac:dyDescent="0.25">
      <c r="T2849" s="113"/>
      <c r="U2849" s="111"/>
      <c r="W2849" s="83"/>
    </row>
    <row r="2850" spans="20:23" x14ac:dyDescent="0.25">
      <c r="T2850" s="113"/>
      <c r="U2850" s="111"/>
      <c r="W2850" s="83"/>
    </row>
    <row r="2851" spans="20:23" x14ac:dyDescent="0.25">
      <c r="T2851" s="113"/>
      <c r="U2851" s="111"/>
      <c r="W2851" s="83"/>
    </row>
    <row r="2852" spans="20:23" x14ac:dyDescent="0.25">
      <c r="T2852" s="113"/>
      <c r="U2852" s="111"/>
      <c r="W2852" s="83"/>
    </row>
    <row r="2853" spans="20:23" x14ac:dyDescent="0.25">
      <c r="T2853" s="113"/>
      <c r="U2853" s="111"/>
      <c r="W2853" s="83"/>
    </row>
    <row r="2854" spans="20:23" x14ac:dyDescent="0.25">
      <c r="T2854" s="113"/>
      <c r="U2854" s="111"/>
      <c r="W2854" s="83"/>
    </row>
    <row r="2855" spans="20:23" x14ac:dyDescent="0.25">
      <c r="T2855" s="113"/>
      <c r="U2855" s="111"/>
      <c r="W2855" s="83"/>
    </row>
    <row r="2856" spans="20:23" x14ac:dyDescent="0.25">
      <c r="T2856" s="113"/>
      <c r="U2856" s="111"/>
      <c r="W2856" s="83"/>
    </row>
    <row r="2857" spans="20:23" x14ac:dyDescent="0.25">
      <c r="T2857" s="113"/>
      <c r="U2857" s="111"/>
      <c r="W2857" s="83"/>
    </row>
    <row r="2858" spans="20:23" x14ac:dyDescent="0.25">
      <c r="T2858" s="113"/>
      <c r="U2858" s="111"/>
      <c r="W2858" s="83"/>
    </row>
    <row r="2859" spans="20:23" x14ac:dyDescent="0.25">
      <c r="T2859" s="113"/>
      <c r="U2859" s="111"/>
      <c r="W2859" s="83"/>
    </row>
    <row r="2860" spans="20:23" x14ac:dyDescent="0.25">
      <c r="T2860" s="113"/>
      <c r="U2860" s="111"/>
      <c r="W2860" s="83"/>
    </row>
    <row r="2861" spans="20:23" x14ac:dyDescent="0.25">
      <c r="T2861" s="113"/>
      <c r="U2861" s="111"/>
      <c r="W2861" s="83"/>
    </row>
    <row r="2862" spans="20:23" x14ac:dyDescent="0.25">
      <c r="T2862" s="113"/>
      <c r="U2862" s="111"/>
      <c r="W2862" s="83"/>
    </row>
    <row r="2863" spans="20:23" x14ac:dyDescent="0.25">
      <c r="T2863" s="113"/>
      <c r="U2863" s="111"/>
      <c r="W2863" s="83"/>
    </row>
    <row r="2864" spans="20:23" x14ac:dyDescent="0.25">
      <c r="T2864" s="113"/>
      <c r="U2864" s="111"/>
      <c r="W2864" s="83"/>
    </row>
    <row r="2865" spans="20:23" x14ac:dyDescent="0.25">
      <c r="T2865" s="113"/>
      <c r="U2865" s="111"/>
      <c r="W2865" s="83"/>
    </row>
    <row r="2866" spans="20:23" x14ac:dyDescent="0.25">
      <c r="T2866" s="113"/>
      <c r="U2866" s="111"/>
      <c r="W2866" s="83"/>
    </row>
    <row r="2867" spans="20:23" x14ac:dyDescent="0.25">
      <c r="T2867" s="113"/>
      <c r="U2867" s="111"/>
      <c r="W2867" s="83"/>
    </row>
    <row r="2868" spans="20:23" x14ac:dyDescent="0.25">
      <c r="T2868" s="113"/>
      <c r="U2868" s="111"/>
      <c r="W2868" s="83"/>
    </row>
    <row r="2869" spans="20:23" x14ac:dyDescent="0.25">
      <c r="T2869" s="113"/>
      <c r="U2869" s="111"/>
      <c r="W2869" s="83"/>
    </row>
    <row r="2870" spans="20:23" x14ac:dyDescent="0.25">
      <c r="T2870" s="113"/>
      <c r="U2870" s="111"/>
      <c r="W2870" s="83"/>
    </row>
    <row r="2871" spans="20:23" x14ac:dyDescent="0.25">
      <c r="T2871" s="113"/>
      <c r="U2871" s="111"/>
      <c r="W2871" s="83"/>
    </row>
    <row r="2872" spans="20:23" x14ac:dyDescent="0.25">
      <c r="T2872" s="113"/>
      <c r="U2872" s="111"/>
      <c r="W2872" s="83"/>
    </row>
    <row r="2873" spans="20:23" x14ac:dyDescent="0.25">
      <c r="T2873" s="113"/>
      <c r="U2873" s="111"/>
      <c r="W2873" s="83"/>
    </row>
    <row r="2874" spans="20:23" x14ac:dyDescent="0.25">
      <c r="T2874" s="113"/>
      <c r="U2874" s="111"/>
      <c r="W2874" s="83"/>
    </row>
    <row r="2875" spans="20:23" x14ac:dyDescent="0.25">
      <c r="T2875" s="113"/>
      <c r="U2875" s="111"/>
      <c r="W2875" s="83"/>
    </row>
    <row r="2876" spans="20:23" x14ac:dyDescent="0.25">
      <c r="T2876" s="113"/>
      <c r="U2876" s="111"/>
      <c r="W2876" s="83"/>
    </row>
    <row r="2877" spans="20:23" x14ac:dyDescent="0.25">
      <c r="T2877" s="113"/>
      <c r="U2877" s="111"/>
      <c r="W2877" s="83"/>
    </row>
    <row r="2878" spans="20:23" x14ac:dyDescent="0.25">
      <c r="T2878" s="113"/>
      <c r="U2878" s="111"/>
      <c r="W2878" s="83"/>
    </row>
    <row r="2879" spans="20:23" x14ac:dyDescent="0.25">
      <c r="T2879" s="113"/>
      <c r="U2879" s="111"/>
      <c r="W2879" s="83"/>
    </row>
    <row r="2880" spans="20:23" x14ac:dyDescent="0.25">
      <c r="T2880" s="113"/>
      <c r="U2880" s="111"/>
      <c r="W2880" s="83"/>
    </row>
    <row r="2881" spans="20:23" x14ac:dyDescent="0.25">
      <c r="T2881" s="113"/>
      <c r="U2881" s="111"/>
      <c r="W2881" s="83"/>
    </row>
    <row r="2882" spans="20:23" x14ac:dyDescent="0.25">
      <c r="T2882" s="113"/>
      <c r="U2882" s="111"/>
      <c r="W2882" s="83"/>
    </row>
    <row r="2883" spans="20:23" x14ac:dyDescent="0.25">
      <c r="T2883" s="113"/>
      <c r="U2883" s="111"/>
      <c r="W2883" s="83"/>
    </row>
    <row r="2884" spans="20:23" x14ac:dyDescent="0.25">
      <c r="T2884" s="113"/>
      <c r="U2884" s="111"/>
      <c r="W2884" s="83"/>
    </row>
    <row r="2885" spans="20:23" x14ac:dyDescent="0.25">
      <c r="T2885" s="113"/>
      <c r="U2885" s="111"/>
      <c r="W2885" s="83"/>
    </row>
    <row r="2886" spans="20:23" x14ac:dyDescent="0.25">
      <c r="T2886" s="113"/>
      <c r="U2886" s="111"/>
      <c r="W2886" s="83"/>
    </row>
    <row r="2887" spans="20:23" x14ac:dyDescent="0.25">
      <c r="T2887" s="113"/>
      <c r="U2887" s="111"/>
      <c r="W2887" s="83"/>
    </row>
    <row r="2888" spans="20:23" x14ac:dyDescent="0.25">
      <c r="T2888" s="113"/>
      <c r="U2888" s="111"/>
      <c r="W2888" s="83"/>
    </row>
    <row r="2889" spans="20:23" x14ac:dyDescent="0.25">
      <c r="T2889" s="113"/>
      <c r="U2889" s="111"/>
      <c r="W2889" s="83"/>
    </row>
    <row r="2890" spans="20:23" x14ac:dyDescent="0.25">
      <c r="T2890" s="113"/>
      <c r="U2890" s="111"/>
      <c r="W2890" s="83"/>
    </row>
    <row r="2891" spans="20:23" x14ac:dyDescent="0.25">
      <c r="T2891" s="113"/>
      <c r="U2891" s="111"/>
      <c r="W2891" s="83"/>
    </row>
    <row r="2892" spans="20:23" x14ac:dyDescent="0.25">
      <c r="T2892" s="113"/>
      <c r="U2892" s="111"/>
      <c r="W2892" s="83"/>
    </row>
    <row r="2893" spans="20:23" x14ac:dyDescent="0.25">
      <c r="T2893" s="113"/>
      <c r="U2893" s="111"/>
      <c r="W2893" s="83"/>
    </row>
    <row r="2894" spans="20:23" x14ac:dyDescent="0.25">
      <c r="T2894" s="113"/>
      <c r="U2894" s="111"/>
      <c r="W2894" s="83"/>
    </row>
    <row r="2895" spans="20:23" x14ac:dyDescent="0.25">
      <c r="T2895" s="113"/>
      <c r="U2895" s="111"/>
      <c r="W2895" s="83"/>
    </row>
    <row r="2896" spans="20:23" x14ac:dyDescent="0.25">
      <c r="T2896" s="113"/>
      <c r="U2896" s="111"/>
      <c r="W2896" s="83"/>
    </row>
    <row r="2897" spans="20:23" x14ac:dyDescent="0.25">
      <c r="T2897" s="113"/>
      <c r="U2897" s="111"/>
      <c r="W2897" s="83"/>
    </row>
    <row r="2898" spans="20:23" x14ac:dyDescent="0.25">
      <c r="T2898" s="113"/>
      <c r="U2898" s="111"/>
      <c r="W2898" s="83"/>
    </row>
    <row r="2899" spans="20:23" x14ac:dyDescent="0.25">
      <c r="T2899" s="113"/>
      <c r="U2899" s="111"/>
      <c r="W2899" s="83"/>
    </row>
    <row r="2900" spans="20:23" x14ac:dyDescent="0.25">
      <c r="T2900" s="113"/>
      <c r="U2900" s="111"/>
      <c r="W2900" s="83"/>
    </row>
    <row r="2901" spans="20:23" x14ac:dyDescent="0.25">
      <c r="T2901" s="113"/>
      <c r="U2901" s="111"/>
      <c r="W2901" s="83"/>
    </row>
    <row r="2902" spans="20:23" x14ac:dyDescent="0.25">
      <c r="T2902" s="113"/>
      <c r="U2902" s="111"/>
      <c r="W2902" s="83"/>
    </row>
    <row r="2903" spans="20:23" x14ac:dyDescent="0.25">
      <c r="T2903" s="113"/>
      <c r="U2903" s="111"/>
      <c r="W2903" s="83"/>
    </row>
    <row r="2904" spans="20:23" x14ac:dyDescent="0.25">
      <c r="T2904" s="113"/>
      <c r="U2904" s="111"/>
      <c r="W2904" s="83"/>
    </row>
    <row r="2905" spans="20:23" x14ac:dyDescent="0.25">
      <c r="T2905" s="113"/>
      <c r="U2905" s="111"/>
      <c r="W2905" s="83"/>
    </row>
    <row r="2906" spans="20:23" x14ac:dyDescent="0.25">
      <c r="T2906" s="113"/>
      <c r="U2906" s="111"/>
      <c r="W2906" s="83"/>
    </row>
    <row r="2907" spans="20:23" x14ac:dyDescent="0.25">
      <c r="T2907" s="113"/>
      <c r="U2907" s="111"/>
      <c r="W2907" s="83"/>
    </row>
    <row r="2908" spans="20:23" x14ac:dyDescent="0.25">
      <c r="T2908" s="113"/>
      <c r="U2908" s="111"/>
      <c r="W2908" s="83"/>
    </row>
    <row r="2909" spans="20:23" x14ac:dyDescent="0.25">
      <c r="T2909" s="113"/>
      <c r="U2909" s="111"/>
      <c r="W2909" s="83"/>
    </row>
    <row r="2910" spans="20:23" x14ac:dyDescent="0.25">
      <c r="T2910" s="113"/>
      <c r="U2910" s="111"/>
      <c r="W2910" s="83"/>
    </row>
    <row r="2911" spans="20:23" x14ac:dyDescent="0.25">
      <c r="T2911" s="113"/>
      <c r="U2911" s="111"/>
      <c r="W2911" s="83"/>
    </row>
    <row r="2912" spans="20:23" x14ac:dyDescent="0.25">
      <c r="T2912" s="113"/>
      <c r="U2912" s="111"/>
      <c r="W2912" s="83"/>
    </row>
    <row r="2913" spans="20:23" x14ac:dyDescent="0.25">
      <c r="T2913" s="113"/>
      <c r="U2913" s="111"/>
      <c r="W2913" s="83"/>
    </row>
    <row r="2914" spans="20:23" x14ac:dyDescent="0.25">
      <c r="T2914" s="113"/>
      <c r="U2914" s="111"/>
      <c r="W2914" s="83"/>
    </row>
    <row r="2915" spans="20:23" x14ac:dyDescent="0.25">
      <c r="T2915" s="113"/>
      <c r="U2915" s="111"/>
      <c r="W2915" s="83"/>
    </row>
    <row r="2916" spans="20:23" x14ac:dyDescent="0.25">
      <c r="T2916" s="113"/>
      <c r="U2916" s="111"/>
      <c r="W2916" s="83"/>
    </row>
    <row r="2917" spans="20:23" x14ac:dyDescent="0.25">
      <c r="T2917" s="113"/>
      <c r="U2917" s="111"/>
      <c r="W2917" s="83"/>
    </row>
    <row r="2918" spans="20:23" x14ac:dyDescent="0.25">
      <c r="T2918" s="113"/>
      <c r="U2918" s="111"/>
      <c r="W2918" s="83"/>
    </row>
    <row r="2919" spans="20:23" x14ac:dyDescent="0.25">
      <c r="T2919" s="113"/>
      <c r="U2919" s="111"/>
      <c r="W2919" s="83"/>
    </row>
    <row r="2920" spans="20:23" x14ac:dyDescent="0.25">
      <c r="T2920" s="113"/>
      <c r="U2920" s="111"/>
      <c r="W2920" s="83"/>
    </row>
    <row r="2921" spans="20:23" x14ac:dyDescent="0.25">
      <c r="T2921" s="113"/>
      <c r="U2921" s="111"/>
      <c r="W2921" s="83"/>
    </row>
    <row r="2922" spans="20:23" x14ac:dyDescent="0.25">
      <c r="T2922" s="113"/>
      <c r="U2922" s="111"/>
      <c r="W2922" s="83"/>
    </row>
    <row r="2923" spans="20:23" x14ac:dyDescent="0.25">
      <c r="T2923" s="113"/>
      <c r="U2923" s="111"/>
      <c r="W2923" s="83"/>
    </row>
    <row r="2924" spans="20:23" x14ac:dyDescent="0.25">
      <c r="T2924" s="113"/>
      <c r="U2924" s="111"/>
      <c r="W2924" s="83"/>
    </row>
    <row r="2925" spans="20:23" x14ac:dyDescent="0.25">
      <c r="T2925" s="113"/>
      <c r="U2925" s="111"/>
      <c r="W2925" s="83"/>
    </row>
    <row r="2926" spans="20:23" x14ac:dyDescent="0.25">
      <c r="T2926" s="113"/>
      <c r="U2926" s="111"/>
      <c r="W2926" s="83"/>
    </row>
    <row r="2927" spans="20:23" x14ac:dyDescent="0.25">
      <c r="T2927" s="113"/>
      <c r="U2927" s="111"/>
      <c r="W2927" s="83"/>
    </row>
    <row r="2928" spans="20:23" x14ac:dyDescent="0.25">
      <c r="T2928" s="113"/>
      <c r="U2928" s="111"/>
      <c r="W2928" s="83"/>
    </row>
    <row r="2929" spans="20:23" x14ac:dyDescent="0.25">
      <c r="T2929" s="113"/>
      <c r="U2929" s="111"/>
      <c r="W2929" s="83"/>
    </row>
    <row r="2930" spans="20:23" x14ac:dyDescent="0.25">
      <c r="T2930" s="113"/>
      <c r="U2930" s="111"/>
      <c r="W2930" s="83"/>
    </row>
    <row r="2931" spans="20:23" x14ac:dyDescent="0.25">
      <c r="T2931" s="113"/>
      <c r="U2931" s="111"/>
      <c r="W2931" s="83"/>
    </row>
    <row r="2932" spans="20:23" x14ac:dyDescent="0.25">
      <c r="T2932" s="113"/>
      <c r="U2932" s="111"/>
      <c r="W2932" s="83"/>
    </row>
    <row r="2933" spans="20:23" x14ac:dyDescent="0.25">
      <c r="T2933" s="113"/>
      <c r="U2933" s="111"/>
      <c r="W2933" s="83"/>
    </row>
    <row r="2934" spans="20:23" x14ac:dyDescent="0.25">
      <c r="T2934" s="113"/>
      <c r="U2934" s="111"/>
      <c r="W2934" s="83"/>
    </row>
    <row r="2935" spans="20:23" x14ac:dyDescent="0.25">
      <c r="T2935" s="113"/>
      <c r="U2935" s="111"/>
      <c r="W2935" s="83"/>
    </row>
    <row r="2936" spans="20:23" x14ac:dyDescent="0.25">
      <c r="T2936" s="113"/>
      <c r="U2936" s="111"/>
      <c r="W2936" s="83"/>
    </row>
    <row r="2937" spans="20:23" x14ac:dyDescent="0.25">
      <c r="T2937" s="113"/>
      <c r="U2937" s="111"/>
      <c r="W2937" s="83"/>
    </row>
    <row r="2938" spans="20:23" x14ac:dyDescent="0.25">
      <c r="T2938" s="113"/>
      <c r="U2938" s="111"/>
      <c r="W2938" s="83"/>
    </row>
    <row r="2939" spans="20:23" x14ac:dyDescent="0.25">
      <c r="T2939" s="113"/>
      <c r="U2939" s="111"/>
      <c r="W2939" s="83"/>
    </row>
    <row r="2940" spans="20:23" x14ac:dyDescent="0.25">
      <c r="T2940" s="113"/>
      <c r="U2940" s="111"/>
      <c r="W2940" s="83"/>
    </row>
    <row r="2941" spans="20:23" x14ac:dyDescent="0.25">
      <c r="T2941" s="113"/>
      <c r="U2941" s="111"/>
      <c r="W2941" s="83"/>
    </row>
    <row r="2942" spans="20:23" x14ac:dyDescent="0.25">
      <c r="T2942" s="113"/>
      <c r="U2942" s="111"/>
      <c r="W2942" s="83"/>
    </row>
    <row r="2943" spans="20:23" x14ac:dyDescent="0.25">
      <c r="T2943" s="113"/>
      <c r="U2943" s="111"/>
      <c r="W2943" s="83"/>
    </row>
    <row r="2944" spans="20:23" x14ac:dyDescent="0.25">
      <c r="T2944" s="113"/>
      <c r="U2944" s="111"/>
      <c r="W2944" s="83"/>
    </row>
    <row r="2945" spans="20:23" x14ac:dyDescent="0.25">
      <c r="T2945" s="113"/>
      <c r="U2945" s="111"/>
      <c r="W2945" s="83"/>
    </row>
    <row r="2946" spans="20:23" x14ac:dyDescent="0.25">
      <c r="T2946" s="113"/>
      <c r="U2946" s="111"/>
      <c r="W2946" s="83"/>
    </row>
    <row r="2947" spans="20:23" x14ac:dyDescent="0.25">
      <c r="T2947" s="113"/>
      <c r="U2947" s="111"/>
      <c r="W2947" s="83"/>
    </row>
    <row r="2948" spans="20:23" x14ac:dyDescent="0.25">
      <c r="T2948" s="113"/>
      <c r="U2948" s="111"/>
      <c r="W2948" s="83"/>
    </row>
    <row r="2949" spans="20:23" x14ac:dyDescent="0.25">
      <c r="T2949" s="113"/>
      <c r="U2949" s="111"/>
      <c r="W2949" s="83"/>
    </row>
    <row r="2950" spans="20:23" x14ac:dyDescent="0.25">
      <c r="T2950" s="113"/>
      <c r="U2950" s="111"/>
      <c r="W2950" s="83"/>
    </row>
    <row r="2951" spans="20:23" x14ac:dyDescent="0.25">
      <c r="T2951" s="113"/>
      <c r="U2951" s="111"/>
      <c r="W2951" s="83"/>
    </row>
    <row r="2952" spans="20:23" x14ac:dyDescent="0.25">
      <c r="T2952" s="113"/>
      <c r="U2952" s="111"/>
      <c r="W2952" s="83"/>
    </row>
    <row r="2953" spans="20:23" x14ac:dyDescent="0.25">
      <c r="T2953" s="113"/>
      <c r="U2953" s="111"/>
      <c r="W2953" s="83"/>
    </row>
    <row r="2954" spans="20:23" x14ac:dyDescent="0.25">
      <c r="T2954" s="113"/>
      <c r="U2954" s="111"/>
      <c r="W2954" s="83"/>
    </row>
    <row r="2955" spans="20:23" x14ac:dyDescent="0.25">
      <c r="T2955" s="113"/>
      <c r="U2955" s="111"/>
      <c r="W2955" s="83"/>
    </row>
    <row r="2956" spans="20:23" x14ac:dyDescent="0.25">
      <c r="T2956" s="113"/>
      <c r="U2956" s="111"/>
      <c r="W2956" s="83"/>
    </row>
    <row r="2957" spans="20:23" x14ac:dyDescent="0.25">
      <c r="T2957" s="113"/>
      <c r="U2957" s="111"/>
      <c r="W2957" s="83"/>
    </row>
    <row r="2958" spans="20:23" x14ac:dyDescent="0.25">
      <c r="T2958" s="113"/>
      <c r="U2958" s="111"/>
      <c r="W2958" s="83"/>
    </row>
    <row r="2959" spans="20:23" x14ac:dyDescent="0.25">
      <c r="T2959" s="113"/>
      <c r="U2959" s="111"/>
      <c r="W2959" s="83"/>
    </row>
    <row r="2960" spans="20:23" x14ac:dyDescent="0.25">
      <c r="T2960" s="113"/>
      <c r="U2960" s="111"/>
      <c r="W2960" s="83"/>
    </row>
    <row r="2961" spans="20:23" x14ac:dyDescent="0.25">
      <c r="T2961" s="113"/>
      <c r="U2961" s="111"/>
      <c r="W2961" s="83"/>
    </row>
    <row r="2962" spans="20:23" x14ac:dyDescent="0.25">
      <c r="T2962" s="113"/>
      <c r="U2962" s="111"/>
      <c r="W2962" s="83"/>
    </row>
    <row r="2963" spans="20:23" x14ac:dyDescent="0.25">
      <c r="T2963" s="113"/>
      <c r="U2963" s="111"/>
      <c r="W2963" s="83"/>
    </row>
    <row r="2964" spans="20:23" x14ac:dyDescent="0.25">
      <c r="T2964" s="113"/>
      <c r="U2964" s="111"/>
      <c r="W2964" s="83"/>
    </row>
    <row r="2965" spans="20:23" x14ac:dyDescent="0.25">
      <c r="T2965" s="113"/>
      <c r="U2965" s="111"/>
      <c r="W2965" s="83"/>
    </row>
    <row r="2966" spans="20:23" x14ac:dyDescent="0.25">
      <c r="T2966" s="113"/>
      <c r="U2966" s="111"/>
      <c r="W2966" s="83"/>
    </row>
    <row r="2967" spans="20:23" x14ac:dyDescent="0.25">
      <c r="T2967" s="113"/>
      <c r="U2967" s="111"/>
      <c r="W2967" s="83"/>
    </row>
    <row r="2968" spans="20:23" x14ac:dyDescent="0.25">
      <c r="T2968" s="113"/>
      <c r="U2968" s="111"/>
      <c r="W2968" s="83"/>
    </row>
    <row r="2969" spans="20:23" x14ac:dyDescent="0.25">
      <c r="T2969" s="113"/>
      <c r="U2969" s="111"/>
      <c r="W2969" s="83"/>
    </row>
    <row r="2970" spans="20:23" x14ac:dyDescent="0.25">
      <c r="T2970" s="113"/>
      <c r="U2970" s="111"/>
      <c r="W2970" s="83"/>
    </row>
    <row r="2971" spans="20:23" x14ac:dyDescent="0.25">
      <c r="T2971" s="113"/>
      <c r="U2971" s="111"/>
      <c r="W2971" s="83"/>
    </row>
    <row r="2972" spans="20:23" x14ac:dyDescent="0.25">
      <c r="T2972" s="113"/>
      <c r="U2972" s="111"/>
      <c r="W2972" s="83"/>
    </row>
    <row r="2973" spans="20:23" x14ac:dyDescent="0.25">
      <c r="T2973" s="113"/>
      <c r="U2973" s="111"/>
      <c r="W2973" s="83"/>
    </row>
    <row r="2974" spans="20:23" x14ac:dyDescent="0.25">
      <c r="T2974" s="113"/>
      <c r="U2974" s="111"/>
      <c r="W2974" s="83"/>
    </row>
    <row r="2975" spans="20:23" x14ac:dyDescent="0.25">
      <c r="T2975" s="113"/>
      <c r="U2975" s="111"/>
      <c r="W2975" s="83"/>
    </row>
    <row r="2976" spans="20:23" x14ac:dyDescent="0.25">
      <c r="T2976" s="113"/>
      <c r="U2976" s="111"/>
      <c r="W2976" s="83"/>
    </row>
    <row r="2977" spans="20:23" x14ac:dyDescent="0.25">
      <c r="T2977" s="113"/>
      <c r="U2977" s="111"/>
      <c r="W2977" s="83"/>
    </row>
    <row r="2978" spans="20:23" x14ac:dyDescent="0.25">
      <c r="T2978" s="113"/>
      <c r="U2978" s="111"/>
      <c r="W2978" s="83"/>
    </row>
    <row r="2979" spans="20:23" x14ac:dyDescent="0.25">
      <c r="T2979" s="113"/>
      <c r="U2979" s="111"/>
      <c r="W2979" s="83"/>
    </row>
    <row r="2980" spans="20:23" x14ac:dyDescent="0.25">
      <c r="T2980" s="113"/>
      <c r="U2980" s="111"/>
      <c r="W2980" s="83"/>
    </row>
    <row r="2981" spans="20:23" x14ac:dyDescent="0.25">
      <c r="T2981" s="113"/>
      <c r="U2981" s="111"/>
      <c r="W2981" s="83"/>
    </row>
    <row r="2982" spans="20:23" x14ac:dyDescent="0.25">
      <c r="T2982" s="113"/>
      <c r="U2982" s="111"/>
      <c r="W2982" s="83"/>
    </row>
    <row r="2983" spans="20:23" x14ac:dyDescent="0.25">
      <c r="T2983" s="113"/>
      <c r="U2983" s="111"/>
      <c r="W2983" s="83"/>
    </row>
    <row r="2984" spans="20:23" x14ac:dyDescent="0.25">
      <c r="T2984" s="113"/>
      <c r="U2984" s="111"/>
      <c r="W2984" s="83"/>
    </row>
    <row r="2985" spans="20:23" x14ac:dyDescent="0.25">
      <c r="T2985" s="113"/>
      <c r="U2985" s="111"/>
      <c r="W2985" s="83"/>
    </row>
    <row r="2986" spans="20:23" x14ac:dyDescent="0.25">
      <c r="T2986" s="113"/>
      <c r="U2986" s="111"/>
      <c r="W2986" s="83"/>
    </row>
    <row r="2987" spans="20:23" x14ac:dyDescent="0.25">
      <c r="T2987" s="113"/>
      <c r="U2987" s="111"/>
      <c r="W2987" s="83"/>
    </row>
    <row r="2988" spans="20:23" x14ac:dyDescent="0.25">
      <c r="T2988" s="113"/>
      <c r="U2988" s="111"/>
      <c r="W2988" s="83"/>
    </row>
    <row r="2989" spans="20:23" x14ac:dyDescent="0.25">
      <c r="T2989" s="113"/>
      <c r="U2989" s="111"/>
      <c r="W2989" s="83"/>
    </row>
    <row r="2990" spans="20:23" x14ac:dyDescent="0.25">
      <c r="T2990" s="113"/>
      <c r="U2990" s="111"/>
      <c r="W2990" s="83"/>
    </row>
    <row r="2991" spans="20:23" x14ac:dyDescent="0.25">
      <c r="T2991" s="113"/>
      <c r="U2991" s="111"/>
      <c r="W2991" s="83"/>
    </row>
    <row r="2992" spans="20:23" x14ac:dyDescent="0.25">
      <c r="T2992" s="113"/>
      <c r="U2992" s="111"/>
      <c r="W2992" s="83"/>
    </row>
    <row r="2993" spans="20:23" x14ac:dyDescent="0.25">
      <c r="T2993" s="113"/>
      <c r="U2993" s="111"/>
      <c r="W2993" s="83"/>
    </row>
    <row r="2994" spans="20:23" x14ac:dyDescent="0.25">
      <c r="T2994" s="113"/>
      <c r="U2994" s="111"/>
      <c r="W2994" s="83"/>
    </row>
    <row r="2995" spans="20:23" x14ac:dyDescent="0.25">
      <c r="T2995" s="113"/>
      <c r="U2995" s="111"/>
      <c r="W2995" s="83"/>
    </row>
    <row r="2996" spans="20:23" x14ac:dyDescent="0.25">
      <c r="T2996" s="113"/>
      <c r="U2996" s="111"/>
      <c r="W2996" s="83"/>
    </row>
    <row r="2997" spans="20:23" x14ac:dyDescent="0.25">
      <c r="T2997" s="113"/>
      <c r="U2997" s="111"/>
      <c r="W2997" s="83"/>
    </row>
    <row r="2998" spans="20:23" x14ac:dyDescent="0.25">
      <c r="T2998" s="113"/>
      <c r="U2998" s="111"/>
      <c r="W2998" s="83"/>
    </row>
    <row r="2999" spans="20:23" x14ac:dyDescent="0.25">
      <c r="T2999" s="113"/>
      <c r="U2999" s="111"/>
      <c r="W2999" s="83"/>
    </row>
    <row r="3000" spans="20:23" x14ac:dyDescent="0.25">
      <c r="T3000" s="113"/>
      <c r="U3000" s="111"/>
      <c r="W3000" s="83"/>
    </row>
    <row r="3001" spans="20:23" x14ac:dyDescent="0.25">
      <c r="T3001" s="113"/>
      <c r="U3001" s="111"/>
      <c r="W3001" s="83"/>
    </row>
    <row r="3002" spans="20:23" x14ac:dyDescent="0.25">
      <c r="T3002" s="113"/>
      <c r="U3002" s="111"/>
      <c r="W3002" s="83"/>
    </row>
    <row r="3003" spans="20:23" x14ac:dyDescent="0.25">
      <c r="T3003" s="113"/>
      <c r="U3003" s="111"/>
      <c r="W3003" s="83"/>
    </row>
    <row r="3004" spans="20:23" x14ac:dyDescent="0.25">
      <c r="T3004" s="113"/>
      <c r="U3004" s="111"/>
      <c r="W3004" s="83"/>
    </row>
    <row r="3005" spans="20:23" x14ac:dyDescent="0.25">
      <c r="T3005" s="113"/>
      <c r="U3005" s="111"/>
      <c r="W3005" s="83"/>
    </row>
    <row r="3006" spans="20:23" x14ac:dyDescent="0.25">
      <c r="T3006" s="113"/>
      <c r="U3006" s="111"/>
      <c r="W3006" s="83"/>
    </row>
    <row r="3007" spans="20:23" x14ac:dyDescent="0.25">
      <c r="T3007" s="113"/>
      <c r="U3007" s="111"/>
      <c r="W3007" s="83"/>
    </row>
    <row r="3008" spans="20:23" x14ac:dyDescent="0.25">
      <c r="T3008" s="113"/>
      <c r="U3008" s="111"/>
      <c r="W3008" s="83"/>
    </row>
    <row r="3009" spans="20:23" x14ac:dyDescent="0.25">
      <c r="T3009" s="113"/>
      <c r="U3009" s="111"/>
      <c r="W3009" s="83"/>
    </row>
    <row r="3010" spans="20:23" x14ac:dyDescent="0.25">
      <c r="T3010" s="113"/>
      <c r="U3010" s="111"/>
      <c r="W3010" s="83"/>
    </row>
    <row r="3011" spans="20:23" x14ac:dyDescent="0.25">
      <c r="T3011" s="113"/>
      <c r="U3011" s="111"/>
      <c r="W3011" s="83"/>
    </row>
    <row r="3012" spans="20:23" x14ac:dyDescent="0.25">
      <c r="T3012" s="113"/>
      <c r="U3012" s="111"/>
      <c r="W3012" s="83"/>
    </row>
    <row r="3013" spans="20:23" x14ac:dyDescent="0.25">
      <c r="T3013" s="113"/>
      <c r="U3013" s="111"/>
      <c r="W3013" s="83"/>
    </row>
    <row r="3014" spans="20:23" x14ac:dyDescent="0.25">
      <c r="T3014" s="113"/>
      <c r="U3014" s="111"/>
      <c r="W3014" s="83"/>
    </row>
    <row r="3015" spans="20:23" x14ac:dyDescent="0.25">
      <c r="T3015" s="113"/>
      <c r="U3015" s="111"/>
      <c r="W3015" s="83"/>
    </row>
    <row r="3016" spans="20:23" x14ac:dyDescent="0.25">
      <c r="T3016" s="113"/>
      <c r="U3016" s="111"/>
      <c r="W3016" s="83"/>
    </row>
    <row r="3017" spans="20:23" x14ac:dyDescent="0.25">
      <c r="T3017" s="113"/>
      <c r="U3017" s="111"/>
      <c r="W3017" s="83"/>
    </row>
    <row r="3018" spans="20:23" x14ac:dyDescent="0.25">
      <c r="T3018" s="113"/>
      <c r="U3018" s="111"/>
      <c r="W3018" s="83"/>
    </row>
    <row r="3019" spans="20:23" x14ac:dyDescent="0.25">
      <c r="T3019" s="113"/>
      <c r="U3019" s="111"/>
      <c r="W3019" s="83"/>
    </row>
    <row r="3020" spans="20:23" x14ac:dyDescent="0.25">
      <c r="T3020" s="113"/>
      <c r="U3020" s="111"/>
      <c r="W3020" s="83"/>
    </row>
    <row r="3021" spans="20:23" x14ac:dyDescent="0.25">
      <c r="T3021" s="113"/>
      <c r="U3021" s="111"/>
      <c r="W3021" s="83"/>
    </row>
    <row r="3022" spans="20:23" x14ac:dyDescent="0.25">
      <c r="T3022" s="113"/>
      <c r="U3022" s="111"/>
      <c r="W3022" s="83"/>
    </row>
    <row r="3023" spans="20:23" x14ac:dyDescent="0.25">
      <c r="T3023" s="113"/>
      <c r="U3023" s="111"/>
      <c r="W3023" s="83"/>
    </row>
    <row r="3024" spans="20:23" x14ac:dyDescent="0.25">
      <c r="T3024" s="113"/>
      <c r="U3024" s="111"/>
      <c r="W3024" s="83"/>
    </row>
    <row r="3025" spans="20:23" x14ac:dyDescent="0.25">
      <c r="T3025" s="113"/>
      <c r="U3025" s="111"/>
      <c r="W3025" s="83"/>
    </row>
    <row r="3026" spans="20:23" x14ac:dyDescent="0.25">
      <c r="T3026" s="113"/>
      <c r="U3026" s="111"/>
      <c r="W3026" s="83"/>
    </row>
    <row r="3027" spans="20:23" x14ac:dyDescent="0.25">
      <c r="T3027" s="113"/>
      <c r="U3027" s="111"/>
      <c r="W3027" s="83"/>
    </row>
    <row r="3028" spans="20:23" x14ac:dyDescent="0.25">
      <c r="T3028" s="113"/>
      <c r="U3028" s="111"/>
      <c r="W3028" s="83"/>
    </row>
    <row r="3029" spans="20:23" x14ac:dyDescent="0.25">
      <c r="T3029" s="113"/>
      <c r="U3029" s="111"/>
      <c r="W3029" s="83"/>
    </row>
    <row r="3030" spans="20:23" x14ac:dyDescent="0.25">
      <c r="T3030" s="113"/>
      <c r="U3030" s="111"/>
      <c r="W3030" s="83"/>
    </row>
    <row r="3031" spans="20:23" x14ac:dyDescent="0.25">
      <c r="T3031" s="113"/>
      <c r="U3031" s="111"/>
      <c r="W3031" s="83"/>
    </row>
    <row r="3032" spans="20:23" x14ac:dyDescent="0.25">
      <c r="T3032" s="113"/>
      <c r="U3032" s="111"/>
      <c r="W3032" s="83"/>
    </row>
    <row r="3033" spans="20:23" x14ac:dyDescent="0.25">
      <c r="T3033" s="113"/>
      <c r="U3033" s="111"/>
      <c r="W3033" s="83"/>
    </row>
    <row r="3034" spans="20:23" x14ac:dyDescent="0.25">
      <c r="T3034" s="113"/>
      <c r="U3034" s="111"/>
      <c r="W3034" s="83"/>
    </row>
    <row r="3035" spans="20:23" x14ac:dyDescent="0.25">
      <c r="T3035" s="113"/>
      <c r="U3035" s="111"/>
      <c r="W3035" s="83"/>
    </row>
    <row r="3036" spans="20:23" x14ac:dyDescent="0.25">
      <c r="T3036" s="113"/>
      <c r="U3036" s="111"/>
      <c r="W3036" s="83"/>
    </row>
    <row r="3037" spans="20:23" x14ac:dyDescent="0.25">
      <c r="T3037" s="113"/>
      <c r="U3037" s="111"/>
      <c r="W3037" s="83"/>
    </row>
    <row r="3038" spans="20:23" x14ac:dyDescent="0.25">
      <c r="T3038" s="113"/>
      <c r="U3038" s="111"/>
      <c r="W3038" s="83"/>
    </row>
    <row r="3039" spans="20:23" x14ac:dyDescent="0.25">
      <c r="T3039" s="113"/>
      <c r="U3039" s="111"/>
      <c r="W3039" s="83"/>
    </row>
    <row r="3040" spans="20:23" x14ac:dyDescent="0.25">
      <c r="T3040" s="113"/>
      <c r="U3040" s="111"/>
      <c r="W3040" s="83"/>
    </row>
    <row r="3041" spans="20:23" x14ac:dyDescent="0.25">
      <c r="T3041" s="113"/>
      <c r="U3041" s="111"/>
      <c r="W3041" s="83"/>
    </row>
    <row r="3042" spans="20:23" x14ac:dyDescent="0.25">
      <c r="T3042" s="113"/>
      <c r="U3042" s="111"/>
      <c r="W3042" s="83"/>
    </row>
    <row r="3043" spans="20:23" x14ac:dyDescent="0.25">
      <c r="T3043" s="113"/>
      <c r="U3043" s="111"/>
      <c r="W3043" s="83"/>
    </row>
    <row r="3044" spans="20:23" x14ac:dyDescent="0.25">
      <c r="T3044" s="113"/>
      <c r="U3044" s="111"/>
      <c r="W3044" s="83"/>
    </row>
    <row r="3045" spans="20:23" x14ac:dyDescent="0.25">
      <c r="T3045" s="113"/>
      <c r="U3045" s="111"/>
      <c r="W3045" s="83"/>
    </row>
    <row r="3046" spans="20:23" x14ac:dyDescent="0.25">
      <c r="T3046" s="113"/>
      <c r="U3046" s="111"/>
      <c r="W3046" s="83"/>
    </row>
    <row r="3047" spans="20:23" x14ac:dyDescent="0.25">
      <c r="T3047" s="113"/>
      <c r="U3047" s="111"/>
      <c r="W3047" s="83"/>
    </row>
    <row r="3048" spans="20:23" x14ac:dyDescent="0.25">
      <c r="T3048" s="113"/>
      <c r="U3048" s="111"/>
      <c r="W3048" s="83"/>
    </row>
    <row r="3049" spans="20:23" x14ac:dyDescent="0.25">
      <c r="T3049" s="113"/>
      <c r="U3049" s="111"/>
      <c r="W3049" s="83"/>
    </row>
    <row r="3050" spans="20:23" x14ac:dyDescent="0.25">
      <c r="T3050" s="113"/>
      <c r="U3050" s="111"/>
      <c r="W3050" s="83"/>
    </row>
    <row r="3051" spans="20:23" x14ac:dyDescent="0.25">
      <c r="T3051" s="113"/>
      <c r="U3051" s="111"/>
      <c r="W3051" s="83"/>
    </row>
    <row r="3052" spans="20:23" x14ac:dyDescent="0.25">
      <c r="T3052" s="113"/>
      <c r="U3052" s="111"/>
      <c r="W3052" s="83"/>
    </row>
    <row r="3053" spans="20:23" x14ac:dyDescent="0.25">
      <c r="T3053" s="113"/>
      <c r="U3053" s="111"/>
      <c r="W3053" s="83"/>
    </row>
    <row r="3054" spans="20:23" x14ac:dyDescent="0.25">
      <c r="T3054" s="113"/>
      <c r="U3054" s="111"/>
      <c r="W3054" s="83"/>
    </row>
    <row r="3055" spans="20:23" x14ac:dyDescent="0.25">
      <c r="T3055" s="113"/>
      <c r="U3055" s="111"/>
      <c r="W3055" s="83"/>
    </row>
    <row r="3056" spans="20:23" x14ac:dyDescent="0.25">
      <c r="T3056" s="113"/>
      <c r="U3056" s="111"/>
      <c r="W3056" s="83"/>
    </row>
    <row r="3057" spans="20:23" x14ac:dyDescent="0.25">
      <c r="T3057" s="113"/>
      <c r="U3057" s="111"/>
      <c r="W3057" s="83"/>
    </row>
    <row r="3058" spans="20:23" x14ac:dyDescent="0.25">
      <c r="T3058" s="113"/>
      <c r="U3058" s="111"/>
      <c r="W3058" s="83"/>
    </row>
    <row r="3059" spans="20:23" x14ac:dyDescent="0.25">
      <c r="T3059" s="113"/>
      <c r="U3059" s="111"/>
      <c r="W3059" s="83"/>
    </row>
    <row r="3060" spans="20:23" x14ac:dyDescent="0.25">
      <c r="T3060" s="113"/>
      <c r="U3060" s="111"/>
      <c r="W3060" s="83"/>
    </row>
    <row r="3061" spans="20:23" x14ac:dyDescent="0.25">
      <c r="T3061" s="113"/>
      <c r="U3061" s="111"/>
      <c r="W3061" s="83"/>
    </row>
    <row r="3062" spans="20:23" x14ac:dyDescent="0.25">
      <c r="T3062" s="113"/>
      <c r="U3062" s="111"/>
      <c r="W3062" s="83"/>
    </row>
    <row r="3063" spans="20:23" x14ac:dyDescent="0.25">
      <c r="T3063" s="113"/>
      <c r="U3063" s="111"/>
      <c r="W3063" s="83"/>
    </row>
    <row r="3064" spans="20:23" x14ac:dyDescent="0.25">
      <c r="T3064" s="113"/>
      <c r="U3064" s="111"/>
      <c r="W3064" s="83"/>
    </row>
    <row r="3065" spans="20:23" x14ac:dyDescent="0.25">
      <c r="T3065" s="113"/>
      <c r="U3065" s="111"/>
      <c r="W3065" s="83"/>
    </row>
    <row r="3066" spans="20:23" x14ac:dyDescent="0.25">
      <c r="T3066" s="113"/>
      <c r="U3066" s="111"/>
      <c r="W3066" s="83"/>
    </row>
    <row r="3067" spans="20:23" x14ac:dyDescent="0.25">
      <c r="T3067" s="113"/>
      <c r="U3067" s="111"/>
      <c r="W3067" s="83"/>
    </row>
    <row r="3068" spans="20:23" x14ac:dyDescent="0.25">
      <c r="T3068" s="113"/>
      <c r="U3068" s="111"/>
      <c r="W3068" s="83"/>
    </row>
    <row r="3069" spans="20:23" x14ac:dyDescent="0.25">
      <c r="T3069" s="113"/>
      <c r="U3069" s="111"/>
      <c r="W3069" s="83"/>
    </row>
    <row r="3070" spans="20:23" x14ac:dyDescent="0.25">
      <c r="T3070" s="113"/>
      <c r="U3070" s="111"/>
      <c r="W3070" s="83"/>
    </row>
    <row r="3071" spans="20:23" x14ac:dyDescent="0.25">
      <c r="T3071" s="113"/>
      <c r="U3071" s="111"/>
      <c r="W3071" s="83"/>
    </row>
    <row r="3072" spans="20:23" x14ac:dyDescent="0.25">
      <c r="T3072" s="113"/>
      <c r="U3072" s="111"/>
      <c r="W3072" s="83"/>
    </row>
    <row r="3073" spans="20:23" x14ac:dyDescent="0.25">
      <c r="T3073" s="113"/>
      <c r="U3073" s="111"/>
      <c r="W3073" s="83"/>
    </row>
    <row r="3074" spans="20:23" x14ac:dyDescent="0.25">
      <c r="T3074" s="113"/>
      <c r="U3074" s="111"/>
      <c r="W3074" s="83"/>
    </row>
    <row r="3075" spans="20:23" x14ac:dyDescent="0.25">
      <c r="T3075" s="113"/>
      <c r="U3075" s="111"/>
      <c r="W3075" s="83"/>
    </row>
    <row r="3076" spans="20:23" x14ac:dyDescent="0.25">
      <c r="T3076" s="113"/>
      <c r="U3076" s="111"/>
      <c r="W3076" s="83"/>
    </row>
    <row r="3077" spans="20:23" x14ac:dyDescent="0.25">
      <c r="T3077" s="113"/>
      <c r="U3077" s="111"/>
      <c r="W3077" s="83"/>
    </row>
    <row r="3078" spans="20:23" x14ac:dyDescent="0.25">
      <c r="T3078" s="113"/>
      <c r="U3078" s="111"/>
      <c r="W3078" s="83"/>
    </row>
    <row r="3079" spans="20:23" x14ac:dyDescent="0.25">
      <c r="T3079" s="113"/>
      <c r="U3079" s="111"/>
      <c r="W3079" s="83"/>
    </row>
    <row r="3080" spans="20:23" x14ac:dyDescent="0.25">
      <c r="T3080" s="113"/>
      <c r="U3080" s="111"/>
      <c r="W3080" s="83"/>
    </row>
    <row r="3081" spans="20:23" x14ac:dyDescent="0.25">
      <c r="T3081" s="113"/>
      <c r="U3081" s="111"/>
      <c r="W3081" s="83"/>
    </row>
    <row r="3082" spans="20:23" x14ac:dyDescent="0.25">
      <c r="T3082" s="113"/>
      <c r="U3082" s="111"/>
      <c r="W3082" s="83"/>
    </row>
    <row r="3083" spans="20:23" x14ac:dyDescent="0.25">
      <c r="T3083" s="113"/>
      <c r="U3083" s="111"/>
      <c r="W3083" s="83"/>
    </row>
    <row r="3084" spans="20:23" x14ac:dyDescent="0.25">
      <c r="T3084" s="113"/>
      <c r="U3084" s="111"/>
      <c r="W3084" s="83"/>
    </row>
    <row r="3085" spans="20:23" x14ac:dyDescent="0.25">
      <c r="T3085" s="113"/>
      <c r="U3085" s="111"/>
      <c r="W3085" s="83"/>
    </row>
    <row r="3086" spans="20:23" x14ac:dyDescent="0.25">
      <c r="T3086" s="113"/>
      <c r="U3086" s="111"/>
      <c r="W3086" s="83"/>
    </row>
    <row r="3087" spans="20:23" x14ac:dyDescent="0.25">
      <c r="T3087" s="113"/>
      <c r="U3087" s="111"/>
      <c r="W3087" s="83"/>
    </row>
    <row r="3088" spans="20:23" x14ac:dyDescent="0.25">
      <c r="T3088" s="113"/>
      <c r="U3088" s="111"/>
      <c r="W3088" s="83"/>
    </row>
    <row r="3089" spans="20:23" x14ac:dyDescent="0.25">
      <c r="T3089" s="113"/>
      <c r="U3089" s="111"/>
      <c r="W3089" s="83"/>
    </row>
    <row r="3090" spans="20:23" x14ac:dyDescent="0.25">
      <c r="T3090" s="113"/>
      <c r="U3090" s="111"/>
      <c r="W3090" s="83"/>
    </row>
    <row r="3091" spans="20:23" x14ac:dyDescent="0.25">
      <c r="T3091" s="113"/>
      <c r="U3091" s="111"/>
      <c r="W3091" s="83"/>
    </row>
    <row r="3092" spans="20:23" x14ac:dyDescent="0.25">
      <c r="T3092" s="113"/>
      <c r="U3092" s="111"/>
      <c r="W3092" s="83"/>
    </row>
    <row r="3093" spans="20:23" x14ac:dyDescent="0.25">
      <c r="T3093" s="113"/>
      <c r="U3093" s="111"/>
      <c r="W3093" s="83"/>
    </row>
    <row r="3094" spans="20:23" x14ac:dyDescent="0.25">
      <c r="T3094" s="113"/>
      <c r="U3094" s="111"/>
      <c r="W3094" s="83"/>
    </row>
    <row r="3095" spans="20:23" x14ac:dyDescent="0.25">
      <c r="T3095" s="113"/>
      <c r="U3095" s="111"/>
      <c r="W3095" s="83"/>
    </row>
    <row r="3096" spans="20:23" x14ac:dyDescent="0.25">
      <c r="T3096" s="113"/>
      <c r="U3096" s="111"/>
      <c r="W3096" s="83"/>
    </row>
    <row r="3097" spans="20:23" x14ac:dyDescent="0.25">
      <c r="T3097" s="113"/>
      <c r="U3097" s="111"/>
      <c r="W3097" s="83"/>
    </row>
    <row r="3098" spans="20:23" x14ac:dyDescent="0.25">
      <c r="T3098" s="113"/>
      <c r="U3098" s="111"/>
      <c r="W3098" s="83"/>
    </row>
    <row r="3099" spans="20:23" x14ac:dyDescent="0.25">
      <c r="T3099" s="113"/>
      <c r="U3099" s="111"/>
      <c r="W3099" s="83"/>
    </row>
    <row r="3100" spans="20:23" x14ac:dyDescent="0.25">
      <c r="T3100" s="113"/>
      <c r="U3100" s="111"/>
      <c r="W3100" s="83"/>
    </row>
    <row r="3101" spans="20:23" x14ac:dyDescent="0.25">
      <c r="T3101" s="113"/>
      <c r="U3101" s="111"/>
      <c r="W3101" s="83"/>
    </row>
    <row r="3102" spans="20:23" x14ac:dyDescent="0.25">
      <c r="T3102" s="113"/>
      <c r="U3102" s="111"/>
      <c r="W3102" s="83"/>
    </row>
    <row r="3103" spans="20:23" x14ac:dyDescent="0.25">
      <c r="T3103" s="113"/>
      <c r="U3103" s="111"/>
      <c r="W3103" s="83"/>
    </row>
    <row r="3104" spans="20:23" x14ac:dyDescent="0.25">
      <c r="T3104" s="113"/>
      <c r="U3104" s="111"/>
      <c r="W3104" s="83"/>
    </row>
    <row r="3105" spans="20:23" x14ac:dyDescent="0.25">
      <c r="T3105" s="113"/>
      <c r="U3105" s="111"/>
      <c r="W3105" s="83"/>
    </row>
    <row r="3106" spans="20:23" x14ac:dyDescent="0.25">
      <c r="T3106" s="113"/>
      <c r="U3106" s="111"/>
      <c r="W3106" s="83"/>
    </row>
    <row r="3107" spans="20:23" x14ac:dyDescent="0.25">
      <c r="T3107" s="113"/>
      <c r="U3107" s="111"/>
      <c r="W3107" s="83"/>
    </row>
    <row r="3108" spans="20:23" x14ac:dyDescent="0.25">
      <c r="T3108" s="113"/>
      <c r="U3108" s="111"/>
      <c r="W3108" s="83"/>
    </row>
    <row r="3109" spans="20:23" x14ac:dyDescent="0.25">
      <c r="T3109" s="113"/>
      <c r="U3109" s="111"/>
      <c r="W3109" s="83"/>
    </row>
    <row r="3110" spans="20:23" x14ac:dyDescent="0.25">
      <c r="T3110" s="113"/>
      <c r="U3110" s="111"/>
      <c r="W3110" s="83"/>
    </row>
    <row r="3111" spans="20:23" x14ac:dyDescent="0.25">
      <c r="T3111" s="113"/>
      <c r="U3111" s="111"/>
      <c r="W3111" s="83"/>
    </row>
    <row r="3112" spans="20:23" x14ac:dyDescent="0.25">
      <c r="T3112" s="113"/>
      <c r="U3112" s="111"/>
      <c r="W3112" s="83"/>
    </row>
    <row r="3113" spans="20:23" x14ac:dyDescent="0.25">
      <c r="T3113" s="113"/>
      <c r="U3113" s="111"/>
      <c r="W3113" s="83"/>
    </row>
    <row r="3114" spans="20:23" x14ac:dyDescent="0.25">
      <c r="T3114" s="113"/>
      <c r="U3114" s="111"/>
      <c r="W3114" s="83"/>
    </row>
    <row r="3115" spans="20:23" x14ac:dyDescent="0.25">
      <c r="T3115" s="113"/>
      <c r="U3115" s="111"/>
      <c r="W3115" s="83"/>
    </row>
    <row r="3116" spans="20:23" x14ac:dyDescent="0.25">
      <c r="T3116" s="113"/>
      <c r="U3116" s="111"/>
      <c r="W3116" s="83"/>
    </row>
    <row r="3117" spans="20:23" x14ac:dyDescent="0.25">
      <c r="T3117" s="113"/>
      <c r="U3117" s="111"/>
      <c r="W3117" s="83"/>
    </row>
    <row r="3118" spans="20:23" x14ac:dyDescent="0.25">
      <c r="T3118" s="113"/>
      <c r="U3118" s="111"/>
      <c r="W3118" s="83"/>
    </row>
    <row r="3119" spans="20:23" x14ac:dyDescent="0.25">
      <c r="T3119" s="113"/>
      <c r="U3119" s="111"/>
      <c r="W3119" s="83"/>
    </row>
    <row r="3120" spans="20:23" x14ac:dyDescent="0.25">
      <c r="T3120" s="113"/>
      <c r="U3120" s="111"/>
      <c r="W3120" s="83"/>
    </row>
    <row r="3121" spans="20:23" x14ac:dyDescent="0.25">
      <c r="T3121" s="113"/>
      <c r="U3121" s="111"/>
      <c r="W3121" s="83"/>
    </row>
    <row r="3122" spans="20:23" x14ac:dyDescent="0.25">
      <c r="T3122" s="113"/>
      <c r="U3122" s="111"/>
      <c r="W3122" s="83"/>
    </row>
    <row r="3123" spans="20:23" x14ac:dyDescent="0.25">
      <c r="T3123" s="113"/>
      <c r="U3123" s="111"/>
      <c r="W3123" s="83"/>
    </row>
    <row r="3124" spans="20:23" x14ac:dyDescent="0.25">
      <c r="T3124" s="113"/>
      <c r="U3124" s="111"/>
      <c r="W3124" s="83"/>
    </row>
    <row r="3125" spans="20:23" x14ac:dyDescent="0.25">
      <c r="T3125" s="113"/>
      <c r="U3125" s="111"/>
      <c r="W3125" s="83"/>
    </row>
    <row r="3126" spans="20:23" x14ac:dyDescent="0.25">
      <c r="T3126" s="113"/>
      <c r="U3126" s="111"/>
      <c r="W3126" s="83"/>
    </row>
    <row r="3127" spans="20:23" x14ac:dyDescent="0.25">
      <c r="T3127" s="113"/>
      <c r="U3127" s="111"/>
      <c r="W3127" s="83"/>
    </row>
    <row r="3128" spans="20:23" x14ac:dyDescent="0.25">
      <c r="T3128" s="113"/>
      <c r="U3128" s="111"/>
      <c r="W3128" s="83"/>
    </row>
    <row r="3129" spans="20:23" x14ac:dyDescent="0.25">
      <c r="T3129" s="113"/>
      <c r="U3129" s="111"/>
      <c r="W3129" s="83"/>
    </row>
    <row r="3130" spans="20:23" x14ac:dyDescent="0.25">
      <c r="T3130" s="113"/>
      <c r="U3130" s="111"/>
      <c r="W3130" s="83"/>
    </row>
    <row r="3131" spans="20:23" x14ac:dyDescent="0.25">
      <c r="T3131" s="113"/>
      <c r="U3131" s="111"/>
      <c r="W3131" s="83"/>
    </row>
    <row r="3132" spans="20:23" x14ac:dyDescent="0.25">
      <c r="T3132" s="113"/>
      <c r="U3132" s="111"/>
      <c r="W3132" s="83"/>
    </row>
    <row r="3133" spans="20:23" x14ac:dyDescent="0.25">
      <c r="T3133" s="113"/>
      <c r="U3133" s="111"/>
      <c r="W3133" s="83"/>
    </row>
    <row r="3134" spans="20:23" x14ac:dyDescent="0.25">
      <c r="T3134" s="113"/>
      <c r="U3134" s="111"/>
      <c r="W3134" s="83"/>
    </row>
    <row r="3135" spans="20:23" x14ac:dyDescent="0.25">
      <c r="T3135" s="113"/>
      <c r="U3135" s="111"/>
      <c r="W3135" s="83"/>
    </row>
    <row r="3136" spans="20:23" x14ac:dyDescent="0.25">
      <c r="T3136" s="113"/>
      <c r="U3136" s="111"/>
      <c r="W3136" s="83"/>
    </row>
    <row r="3137" spans="20:23" x14ac:dyDescent="0.25">
      <c r="T3137" s="113"/>
      <c r="U3137" s="111"/>
      <c r="W3137" s="83"/>
    </row>
    <row r="3138" spans="20:23" x14ac:dyDescent="0.25">
      <c r="T3138" s="113"/>
      <c r="U3138" s="111"/>
      <c r="W3138" s="83"/>
    </row>
    <row r="3139" spans="20:23" x14ac:dyDescent="0.25">
      <c r="T3139" s="113"/>
      <c r="U3139" s="111"/>
      <c r="W3139" s="83"/>
    </row>
    <row r="3140" spans="20:23" x14ac:dyDescent="0.25">
      <c r="T3140" s="113"/>
      <c r="U3140" s="111"/>
      <c r="W3140" s="83"/>
    </row>
    <row r="3141" spans="20:23" x14ac:dyDescent="0.25">
      <c r="T3141" s="113"/>
      <c r="U3141" s="111"/>
      <c r="W3141" s="83"/>
    </row>
    <row r="3142" spans="20:23" x14ac:dyDescent="0.25">
      <c r="T3142" s="113"/>
      <c r="U3142" s="111"/>
      <c r="W3142" s="83"/>
    </row>
    <row r="3143" spans="20:23" x14ac:dyDescent="0.25">
      <c r="T3143" s="113"/>
      <c r="U3143" s="111"/>
      <c r="W3143" s="83"/>
    </row>
    <row r="3144" spans="20:23" x14ac:dyDescent="0.25">
      <c r="T3144" s="113"/>
      <c r="U3144" s="111"/>
      <c r="W3144" s="83"/>
    </row>
    <row r="3145" spans="20:23" x14ac:dyDescent="0.25">
      <c r="T3145" s="113"/>
      <c r="U3145" s="111"/>
      <c r="W3145" s="83"/>
    </row>
    <row r="3146" spans="20:23" x14ac:dyDescent="0.25">
      <c r="T3146" s="113"/>
      <c r="U3146" s="111"/>
      <c r="W3146" s="83"/>
    </row>
    <row r="3147" spans="20:23" x14ac:dyDescent="0.25">
      <c r="T3147" s="113"/>
      <c r="U3147" s="111"/>
      <c r="W3147" s="83"/>
    </row>
    <row r="3148" spans="20:23" x14ac:dyDescent="0.25">
      <c r="T3148" s="113"/>
      <c r="U3148" s="111"/>
      <c r="W3148" s="83"/>
    </row>
    <row r="3149" spans="20:23" x14ac:dyDescent="0.25">
      <c r="T3149" s="113"/>
      <c r="U3149" s="111"/>
      <c r="W3149" s="83"/>
    </row>
    <row r="3150" spans="20:23" x14ac:dyDescent="0.25">
      <c r="T3150" s="113"/>
      <c r="U3150" s="111"/>
      <c r="W3150" s="83"/>
    </row>
    <row r="3151" spans="20:23" x14ac:dyDescent="0.25">
      <c r="T3151" s="113"/>
      <c r="U3151" s="111"/>
      <c r="W3151" s="83"/>
    </row>
    <row r="3152" spans="20:23" x14ac:dyDescent="0.25">
      <c r="T3152" s="113"/>
      <c r="U3152" s="111"/>
      <c r="W3152" s="83"/>
    </row>
    <row r="3153" spans="20:23" x14ac:dyDescent="0.25">
      <c r="T3153" s="113"/>
      <c r="U3153" s="111"/>
      <c r="W3153" s="83"/>
    </row>
    <row r="3154" spans="20:23" x14ac:dyDescent="0.25">
      <c r="T3154" s="113"/>
      <c r="U3154" s="111"/>
      <c r="W3154" s="83"/>
    </row>
    <row r="3155" spans="20:23" x14ac:dyDescent="0.25">
      <c r="T3155" s="113"/>
      <c r="U3155" s="111"/>
      <c r="W3155" s="83"/>
    </row>
    <row r="3156" spans="20:23" x14ac:dyDescent="0.25">
      <c r="T3156" s="113"/>
      <c r="U3156" s="111"/>
      <c r="W3156" s="83"/>
    </row>
    <row r="3157" spans="20:23" x14ac:dyDescent="0.25">
      <c r="T3157" s="113"/>
      <c r="U3157" s="111"/>
      <c r="W3157" s="83"/>
    </row>
    <row r="3158" spans="20:23" x14ac:dyDescent="0.25">
      <c r="T3158" s="113"/>
      <c r="U3158" s="111"/>
      <c r="W3158" s="83"/>
    </row>
    <row r="3159" spans="20:23" x14ac:dyDescent="0.25">
      <c r="T3159" s="113"/>
      <c r="U3159" s="111"/>
      <c r="W3159" s="83"/>
    </row>
    <row r="3160" spans="20:23" x14ac:dyDescent="0.25">
      <c r="T3160" s="113"/>
      <c r="U3160" s="111"/>
      <c r="W3160" s="83"/>
    </row>
    <row r="3161" spans="20:23" x14ac:dyDescent="0.25">
      <c r="T3161" s="113"/>
      <c r="U3161" s="111"/>
      <c r="W3161" s="83"/>
    </row>
    <row r="3162" spans="20:23" x14ac:dyDescent="0.25">
      <c r="T3162" s="113"/>
      <c r="U3162" s="111"/>
      <c r="W3162" s="83"/>
    </row>
    <row r="3163" spans="20:23" x14ac:dyDescent="0.25">
      <c r="T3163" s="113"/>
      <c r="U3163" s="111"/>
      <c r="W3163" s="83"/>
    </row>
    <row r="3164" spans="20:23" x14ac:dyDescent="0.25">
      <c r="T3164" s="113"/>
      <c r="U3164" s="111"/>
      <c r="W3164" s="83"/>
    </row>
    <row r="3165" spans="20:23" x14ac:dyDescent="0.25">
      <c r="T3165" s="113"/>
      <c r="U3165" s="111"/>
      <c r="W3165" s="83"/>
    </row>
    <row r="3166" spans="20:23" x14ac:dyDescent="0.25">
      <c r="T3166" s="113"/>
      <c r="U3166" s="111"/>
      <c r="W3166" s="83"/>
    </row>
    <row r="3167" spans="20:23" x14ac:dyDescent="0.25">
      <c r="T3167" s="113"/>
      <c r="U3167" s="111"/>
      <c r="W3167" s="83"/>
    </row>
    <row r="3168" spans="20:23" x14ac:dyDescent="0.25">
      <c r="T3168" s="113"/>
      <c r="U3168" s="111"/>
      <c r="W3168" s="83"/>
    </row>
    <row r="3169" spans="20:23" x14ac:dyDescent="0.25">
      <c r="T3169" s="113"/>
      <c r="U3169" s="111"/>
      <c r="W3169" s="83"/>
    </row>
    <row r="3170" spans="20:23" x14ac:dyDescent="0.25">
      <c r="T3170" s="113"/>
      <c r="U3170" s="111"/>
      <c r="W3170" s="83"/>
    </row>
    <row r="3171" spans="20:23" x14ac:dyDescent="0.25">
      <c r="T3171" s="113"/>
      <c r="U3171" s="111"/>
      <c r="W3171" s="83"/>
    </row>
    <row r="3172" spans="20:23" x14ac:dyDescent="0.25">
      <c r="T3172" s="113"/>
      <c r="U3172" s="111"/>
      <c r="W3172" s="83"/>
    </row>
    <row r="3173" spans="20:23" x14ac:dyDescent="0.25">
      <c r="T3173" s="113"/>
      <c r="U3173" s="111"/>
      <c r="W3173" s="83"/>
    </row>
    <row r="3174" spans="20:23" x14ac:dyDescent="0.25">
      <c r="T3174" s="113"/>
      <c r="U3174" s="111"/>
      <c r="W3174" s="83"/>
    </row>
    <row r="3175" spans="20:23" x14ac:dyDescent="0.25">
      <c r="T3175" s="113"/>
      <c r="U3175" s="111"/>
      <c r="W3175" s="83"/>
    </row>
    <row r="3176" spans="20:23" x14ac:dyDescent="0.25">
      <c r="T3176" s="113"/>
      <c r="U3176" s="111"/>
      <c r="W3176" s="83"/>
    </row>
    <row r="3177" spans="20:23" x14ac:dyDescent="0.25">
      <c r="T3177" s="113"/>
      <c r="U3177" s="111"/>
      <c r="W3177" s="83"/>
    </row>
    <row r="3178" spans="20:23" x14ac:dyDescent="0.25">
      <c r="T3178" s="113"/>
      <c r="U3178" s="111"/>
      <c r="W3178" s="83"/>
    </row>
    <row r="3179" spans="20:23" x14ac:dyDescent="0.25">
      <c r="T3179" s="113"/>
      <c r="U3179" s="111"/>
      <c r="W3179" s="83"/>
    </row>
    <row r="3180" spans="20:23" x14ac:dyDescent="0.25">
      <c r="T3180" s="113"/>
      <c r="U3180" s="111"/>
      <c r="W3180" s="83"/>
    </row>
    <row r="3181" spans="20:23" x14ac:dyDescent="0.25">
      <c r="T3181" s="113"/>
      <c r="U3181" s="111"/>
      <c r="W3181" s="83"/>
    </row>
    <row r="3182" spans="20:23" x14ac:dyDescent="0.25">
      <c r="T3182" s="113"/>
      <c r="U3182" s="111"/>
      <c r="W3182" s="83"/>
    </row>
    <row r="3183" spans="20:23" x14ac:dyDescent="0.25">
      <c r="T3183" s="113"/>
      <c r="U3183" s="111"/>
      <c r="W3183" s="83"/>
    </row>
    <row r="3184" spans="20:23" x14ac:dyDescent="0.25">
      <c r="T3184" s="113"/>
      <c r="U3184" s="111"/>
      <c r="W3184" s="83"/>
    </row>
    <row r="3185" spans="20:23" x14ac:dyDescent="0.25">
      <c r="T3185" s="113"/>
      <c r="U3185" s="111"/>
      <c r="W3185" s="83"/>
    </row>
    <row r="3186" spans="20:23" x14ac:dyDescent="0.25">
      <c r="T3186" s="113"/>
      <c r="U3186" s="111"/>
      <c r="W3186" s="83"/>
    </row>
    <row r="3187" spans="20:23" x14ac:dyDescent="0.25">
      <c r="T3187" s="113"/>
      <c r="U3187" s="111"/>
      <c r="W3187" s="83"/>
    </row>
    <row r="3188" spans="20:23" x14ac:dyDescent="0.25">
      <c r="T3188" s="113"/>
      <c r="U3188" s="111"/>
      <c r="W3188" s="83"/>
    </row>
    <row r="3189" spans="20:23" x14ac:dyDescent="0.25">
      <c r="T3189" s="113"/>
      <c r="U3189" s="111"/>
      <c r="W3189" s="83"/>
    </row>
    <row r="3190" spans="20:23" x14ac:dyDescent="0.25">
      <c r="T3190" s="113"/>
      <c r="U3190" s="111"/>
      <c r="W3190" s="83"/>
    </row>
    <row r="3191" spans="20:23" x14ac:dyDescent="0.25">
      <c r="T3191" s="113"/>
      <c r="U3191" s="111"/>
      <c r="W3191" s="83"/>
    </row>
    <row r="3192" spans="20:23" x14ac:dyDescent="0.25">
      <c r="T3192" s="113"/>
      <c r="U3192" s="111"/>
      <c r="W3192" s="83"/>
    </row>
    <row r="3193" spans="20:23" x14ac:dyDescent="0.25">
      <c r="T3193" s="113"/>
      <c r="U3193" s="111"/>
      <c r="W3193" s="83"/>
    </row>
    <row r="3194" spans="20:23" x14ac:dyDescent="0.25">
      <c r="T3194" s="113"/>
      <c r="U3194" s="111"/>
      <c r="W3194" s="83"/>
    </row>
    <row r="3195" spans="20:23" x14ac:dyDescent="0.25">
      <c r="T3195" s="113"/>
      <c r="U3195" s="111"/>
      <c r="W3195" s="83"/>
    </row>
    <row r="3196" spans="20:23" x14ac:dyDescent="0.25">
      <c r="T3196" s="113"/>
      <c r="U3196" s="111"/>
      <c r="W3196" s="83"/>
    </row>
    <row r="3197" spans="20:23" x14ac:dyDescent="0.25">
      <c r="T3197" s="113"/>
      <c r="U3197" s="111"/>
      <c r="W3197" s="83"/>
    </row>
    <row r="3198" spans="20:23" x14ac:dyDescent="0.25">
      <c r="T3198" s="113"/>
      <c r="U3198" s="111"/>
      <c r="W3198" s="83"/>
    </row>
    <row r="3199" spans="20:23" x14ac:dyDescent="0.25">
      <c r="T3199" s="113"/>
      <c r="U3199" s="111"/>
      <c r="W3199" s="83"/>
    </row>
    <row r="3200" spans="20:23" x14ac:dyDescent="0.25">
      <c r="T3200" s="113"/>
      <c r="U3200" s="111"/>
      <c r="W3200" s="83"/>
    </row>
    <row r="3201" spans="20:23" x14ac:dyDescent="0.25">
      <c r="T3201" s="113"/>
      <c r="U3201" s="111"/>
      <c r="W3201" s="83"/>
    </row>
    <row r="3202" spans="20:23" x14ac:dyDescent="0.25">
      <c r="T3202" s="113"/>
      <c r="U3202" s="111"/>
      <c r="W3202" s="83"/>
    </row>
    <row r="3203" spans="20:23" x14ac:dyDescent="0.25">
      <c r="T3203" s="113"/>
      <c r="U3203" s="111"/>
      <c r="W3203" s="83"/>
    </row>
    <row r="3204" spans="20:23" x14ac:dyDescent="0.25">
      <c r="T3204" s="113"/>
      <c r="U3204" s="111"/>
      <c r="W3204" s="83"/>
    </row>
    <row r="3205" spans="20:23" x14ac:dyDescent="0.25">
      <c r="T3205" s="113"/>
      <c r="U3205" s="111"/>
      <c r="W3205" s="83"/>
    </row>
    <row r="3206" spans="20:23" x14ac:dyDescent="0.25">
      <c r="T3206" s="113"/>
      <c r="U3206" s="111"/>
      <c r="W3206" s="83"/>
    </row>
    <row r="3207" spans="20:23" x14ac:dyDescent="0.25">
      <c r="T3207" s="113"/>
      <c r="U3207" s="111"/>
      <c r="W3207" s="83"/>
    </row>
    <row r="3208" spans="20:23" x14ac:dyDescent="0.25">
      <c r="T3208" s="113"/>
      <c r="U3208" s="111"/>
      <c r="W3208" s="83"/>
    </row>
    <row r="3209" spans="20:23" x14ac:dyDescent="0.25">
      <c r="T3209" s="113"/>
      <c r="U3209" s="111"/>
      <c r="W3209" s="83"/>
    </row>
    <row r="3210" spans="20:23" x14ac:dyDescent="0.25">
      <c r="T3210" s="113"/>
      <c r="U3210" s="111"/>
      <c r="W3210" s="83"/>
    </row>
    <row r="3211" spans="20:23" x14ac:dyDescent="0.25">
      <c r="T3211" s="113"/>
      <c r="U3211" s="111"/>
      <c r="W3211" s="83"/>
    </row>
    <row r="3212" spans="20:23" x14ac:dyDescent="0.25">
      <c r="T3212" s="113"/>
      <c r="U3212" s="111"/>
      <c r="W3212" s="83"/>
    </row>
    <row r="3213" spans="20:23" x14ac:dyDescent="0.25">
      <c r="T3213" s="113"/>
      <c r="U3213" s="111"/>
      <c r="W3213" s="83"/>
    </row>
    <row r="3214" spans="20:23" x14ac:dyDescent="0.25">
      <c r="T3214" s="113"/>
      <c r="U3214" s="111"/>
      <c r="W3214" s="83"/>
    </row>
    <row r="3215" spans="20:23" x14ac:dyDescent="0.25">
      <c r="T3215" s="113"/>
      <c r="U3215" s="111"/>
      <c r="W3215" s="83"/>
    </row>
    <row r="3216" spans="20:23" x14ac:dyDescent="0.25">
      <c r="T3216" s="113"/>
      <c r="U3216" s="111"/>
      <c r="W3216" s="83"/>
    </row>
    <row r="3217" spans="20:23" x14ac:dyDescent="0.25">
      <c r="T3217" s="113"/>
      <c r="U3217" s="111"/>
      <c r="W3217" s="83"/>
    </row>
    <row r="3218" spans="20:23" x14ac:dyDescent="0.25">
      <c r="T3218" s="113"/>
      <c r="U3218" s="111"/>
      <c r="W3218" s="83"/>
    </row>
    <row r="3219" spans="20:23" x14ac:dyDescent="0.25">
      <c r="T3219" s="113"/>
      <c r="U3219" s="111"/>
      <c r="W3219" s="83"/>
    </row>
    <row r="3220" spans="20:23" x14ac:dyDescent="0.25">
      <c r="T3220" s="113"/>
      <c r="U3220" s="111"/>
      <c r="W3220" s="83"/>
    </row>
    <row r="3221" spans="20:23" x14ac:dyDescent="0.25">
      <c r="T3221" s="113"/>
      <c r="U3221" s="111"/>
      <c r="W3221" s="83"/>
    </row>
    <row r="3222" spans="20:23" x14ac:dyDescent="0.25">
      <c r="T3222" s="113"/>
      <c r="U3222" s="111"/>
      <c r="W3222" s="83"/>
    </row>
    <row r="3223" spans="20:23" x14ac:dyDescent="0.25">
      <c r="T3223" s="113"/>
      <c r="U3223" s="111"/>
      <c r="W3223" s="83"/>
    </row>
    <row r="3224" spans="20:23" x14ac:dyDescent="0.25">
      <c r="T3224" s="113"/>
      <c r="U3224" s="111"/>
      <c r="W3224" s="83"/>
    </row>
    <row r="3225" spans="20:23" x14ac:dyDescent="0.25">
      <c r="T3225" s="113"/>
      <c r="U3225" s="111"/>
      <c r="W3225" s="83"/>
    </row>
    <row r="3226" spans="20:23" x14ac:dyDescent="0.25">
      <c r="T3226" s="113"/>
      <c r="U3226" s="111"/>
      <c r="W3226" s="83"/>
    </row>
    <row r="3227" spans="20:23" x14ac:dyDescent="0.25">
      <c r="T3227" s="113"/>
      <c r="U3227" s="111"/>
      <c r="W3227" s="83"/>
    </row>
    <row r="3228" spans="20:23" x14ac:dyDescent="0.25">
      <c r="T3228" s="113"/>
      <c r="U3228" s="111"/>
      <c r="W3228" s="83"/>
    </row>
    <row r="3229" spans="20:23" x14ac:dyDescent="0.25">
      <c r="T3229" s="113"/>
      <c r="U3229" s="111"/>
      <c r="W3229" s="83"/>
    </row>
    <row r="3230" spans="20:23" x14ac:dyDescent="0.25">
      <c r="T3230" s="113"/>
      <c r="U3230" s="111"/>
      <c r="W3230" s="83"/>
    </row>
    <row r="3231" spans="20:23" x14ac:dyDescent="0.25">
      <c r="T3231" s="113"/>
      <c r="U3231" s="111"/>
      <c r="W3231" s="83"/>
    </row>
    <row r="3232" spans="20:23" x14ac:dyDescent="0.25">
      <c r="T3232" s="113"/>
      <c r="U3232" s="111"/>
      <c r="W3232" s="83"/>
    </row>
    <row r="3233" spans="20:23" x14ac:dyDescent="0.25">
      <c r="T3233" s="113"/>
      <c r="U3233" s="111"/>
      <c r="W3233" s="83"/>
    </row>
    <row r="3234" spans="20:23" x14ac:dyDescent="0.25">
      <c r="T3234" s="113"/>
      <c r="U3234" s="111"/>
      <c r="W3234" s="83"/>
    </row>
    <row r="3235" spans="20:23" x14ac:dyDescent="0.25">
      <c r="T3235" s="113"/>
      <c r="U3235" s="111"/>
      <c r="W3235" s="83"/>
    </row>
    <row r="3236" spans="20:23" x14ac:dyDescent="0.25">
      <c r="T3236" s="113"/>
      <c r="U3236" s="111"/>
      <c r="W3236" s="83"/>
    </row>
    <row r="3237" spans="20:23" x14ac:dyDescent="0.25">
      <c r="T3237" s="113"/>
      <c r="U3237" s="111"/>
      <c r="W3237" s="83"/>
    </row>
    <row r="3238" spans="20:23" x14ac:dyDescent="0.25">
      <c r="T3238" s="113"/>
      <c r="U3238" s="111"/>
      <c r="W3238" s="83"/>
    </row>
    <row r="3239" spans="20:23" x14ac:dyDescent="0.25">
      <c r="T3239" s="113"/>
      <c r="U3239" s="111"/>
      <c r="W3239" s="83"/>
    </row>
    <row r="3240" spans="20:23" x14ac:dyDescent="0.25">
      <c r="T3240" s="113"/>
      <c r="U3240" s="111"/>
      <c r="W3240" s="83"/>
    </row>
    <row r="3241" spans="20:23" x14ac:dyDescent="0.25">
      <c r="T3241" s="113"/>
      <c r="U3241" s="111"/>
      <c r="W3241" s="83"/>
    </row>
    <row r="3242" spans="20:23" x14ac:dyDescent="0.25">
      <c r="T3242" s="113"/>
      <c r="U3242" s="111"/>
      <c r="W3242" s="83"/>
    </row>
    <row r="3243" spans="20:23" x14ac:dyDescent="0.25">
      <c r="T3243" s="113"/>
      <c r="U3243" s="111"/>
      <c r="W3243" s="83"/>
    </row>
    <row r="3244" spans="20:23" x14ac:dyDescent="0.25">
      <c r="T3244" s="113"/>
      <c r="U3244" s="111"/>
      <c r="W3244" s="83"/>
    </row>
    <row r="3245" spans="20:23" x14ac:dyDescent="0.25">
      <c r="T3245" s="113"/>
      <c r="U3245" s="111"/>
      <c r="W3245" s="83"/>
    </row>
    <row r="3246" spans="20:23" x14ac:dyDescent="0.25">
      <c r="T3246" s="113"/>
      <c r="U3246" s="111"/>
      <c r="W3246" s="83"/>
    </row>
    <row r="3247" spans="20:23" x14ac:dyDescent="0.25">
      <c r="T3247" s="113"/>
      <c r="U3247" s="111"/>
      <c r="W3247" s="83"/>
    </row>
    <row r="3248" spans="20:23" x14ac:dyDescent="0.25">
      <c r="T3248" s="113"/>
      <c r="U3248" s="111"/>
      <c r="W3248" s="83"/>
    </row>
    <row r="3249" spans="20:23" x14ac:dyDescent="0.25">
      <c r="T3249" s="113"/>
      <c r="U3249" s="111"/>
      <c r="W3249" s="83"/>
    </row>
    <row r="3250" spans="20:23" x14ac:dyDescent="0.25">
      <c r="T3250" s="113"/>
      <c r="U3250" s="111"/>
      <c r="W3250" s="83"/>
    </row>
    <row r="3251" spans="20:23" x14ac:dyDescent="0.25">
      <c r="T3251" s="113"/>
      <c r="U3251" s="111"/>
      <c r="W3251" s="83"/>
    </row>
    <row r="3252" spans="20:23" x14ac:dyDescent="0.25">
      <c r="T3252" s="113"/>
      <c r="U3252" s="111"/>
      <c r="W3252" s="83"/>
    </row>
    <row r="3253" spans="20:23" x14ac:dyDescent="0.25">
      <c r="T3253" s="113"/>
      <c r="U3253" s="111"/>
      <c r="W3253" s="83"/>
    </row>
    <row r="3254" spans="20:23" x14ac:dyDescent="0.25">
      <c r="T3254" s="113"/>
      <c r="U3254" s="111"/>
      <c r="W3254" s="83"/>
    </row>
    <row r="3255" spans="20:23" x14ac:dyDescent="0.25">
      <c r="T3255" s="113"/>
      <c r="U3255" s="111"/>
      <c r="W3255" s="83"/>
    </row>
    <row r="3256" spans="20:23" x14ac:dyDescent="0.25">
      <c r="T3256" s="113"/>
      <c r="U3256" s="111"/>
      <c r="W3256" s="83"/>
    </row>
    <row r="3257" spans="20:23" x14ac:dyDescent="0.25">
      <c r="T3257" s="113"/>
      <c r="U3257" s="111"/>
      <c r="W3257" s="83"/>
    </row>
    <row r="3258" spans="20:23" x14ac:dyDescent="0.25">
      <c r="T3258" s="113"/>
      <c r="U3258" s="111"/>
      <c r="W3258" s="83"/>
    </row>
    <row r="3259" spans="20:23" x14ac:dyDescent="0.25">
      <c r="T3259" s="113"/>
      <c r="U3259" s="111"/>
      <c r="W3259" s="83"/>
    </row>
    <row r="3260" spans="20:23" x14ac:dyDescent="0.25">
      <c r="T3260" s="113"/>
      <c r="U3260" s="111"/>
      <c r="W3260" s="83"/>
    </row>
    <row r="3261" spans="20:23" x14ac:dyDescent="0.25">
      <c r="T3261" s="113"/>
      <c r="U3261" s="111"/>
      <c r="W3261" s="83"/>
    </row>
    <row r="3262" spans="20:23" x14ac:dyDescent="0.25">
      <c r="T3262" s="113"/>
      <c r="U3262" s="111"/>
      <c r="W3262" s="83"/>
    </row>
    <row r="3263" spans="20:23" x14ac:dyDescent="0.25">
      <c r="T3263" s="113"/>
      <c r="U3263" s="111"/>
      <c r="W3263" s="83"/>
    </row>
    <row r="3264" spans="20:23" x14ac:dyDescent="0.25">
      <c r="T3264" s="113"/>
      <c r="U3264" s="111"/>
      <c r="W3264" s="83"/>
    </row>
    <row r="3265" spans="20:23" x14ac:dyDescent="0.25">
      <c r="T3265" s="113"/>
      <c r="U3265" s="111"/>
      <c r="W3265" s="83"/>
    </row>
    <row r="3266" spans="20:23" x14ac:dyDescent="0.25">
      <c r="T3266" s="113"/>
      <c r="U3266" s="111"/>
      <c r="W3266" s="83"/>
    </row>
    <row r="3267" spans="20:23" x14ac:dyDescent="0.25">
      <c r="T3267" s="113"/>
      <c r="U3267" s="111"/>
      <c r="W3267" s="83"/>
    </row>
    <row r="3268" spans="20:23" x14ac:dyDescent="0.25">
      <c r="T3268" s="113"/>
      <c r="U3268" s="111"/>
      <c r="W3268" s="83"/>
    </row>
    <row r="3269" spans="20:23" x14ac:dyDescent="0.25">
      <c r="T3269" s="113"/>
      <c r="U3269" s="111"/>
      <c r="W3269" s="83"/>
    </row>
    <row r="3270" spans="20:23" x14ac:dyDescent="0.25">
      <c r="T3270" s="113"/>
      <c r="U3270" s="111"/>
      <c r="W3270" s="83"/>
    </row>
    <row r="3271" spans="20:23" x14ac:dyDescent="0.25">
      <c r="T3271" s="113"/>
      <c r="U3271" s="111"/>
      <c r="W3271" s="83"/>
    </row>
    <row r="3272" spans="20:23" x14ac:dyDescent="0.25">
      <c r="T3272" s="113"/>
      <c r="U3272" s="111"/>
      <c r="W3272" s="83"/>
    </row>
    <row r="3273" spans="20:23" x14ac:dyDescent="0.25">
      <c r="T3273" s="113"/>
      <c r="U3273" s="111"/>
      <c r="W3273" s="83"/>
    </row>
    <row r="3274" spans="20:23" x14ac:dyDescent="0.25">
      <c r="T3274" s="113"/>
      <c r="U3274" s="111"/>
      <c r="W3274" s="83"/>
    </row>
    <row r="3275" spans="20:23" x14ac:dyDescent="0.25">
      <c r="T3275" s="113"/>
      <c r="U3275" s="111"/>
      <c r="W3275" s="83"/>
    </row>
    <row r="3276" spans="20:23" x14ac:dyDescent="0.25">
      <c r="T3276" s="113"/>
      <c r="U3276" s="111"/>
      <c r="W3276" s="83"/>
    </row>
    <row r="3277" spans="20:23" x14ac:dyDescent="0.25">
      <c r="T3277" s="113"/>
      <c r="U3277" s="111"/>
      <c r="W3277" s="83"/>
    </row>
    <row r="3278" spans="20:23" x14ac:dyDescent="0.25">
      <c r="T3278" s="113"/>
      <c r="U3278" s="111"/>
      <c r="W3278" s="83"/>
    </row>
    <row r="3279" spans="20:23" x14ac:dyDescent="0.25">
      <c r="T3279" s="113"/>
      <c r="U3279" s="111"/>
      <c r="W3279" s="83"/>
    </row>
    <row r="3280" spans="20:23" x14ac:dyDescent="0.25">
      <c r="T3280" s="113"/>
      <c r="U3280" s="111"/>
      <c r="W3280" s="83"/>
    </row>
    <row r="3281" spans="20:23" x14ac:dyDescent="0.25">
      <c r="T3281" s="113"/>
      <c r="U3281" s="111"/>
      <c r="W3281" s="83"/>
    </row>
    <row r="3282" spans="20:23" x14ac:dyDescent="0.25">
      <c r="T3282" s="113"/>
      <c r="U3282" s="111"/>
      <c r="W3282" s="83"/>
    </row>
    <row r="3283" spans="20:23" x14ac:dyDescent="0.25">
      <c r="T3283" s="113"/>
      <c r="U3283" s="111"/>
      <c r="W3283" s="83"/>
    </row>
    <row r="3284" spans="20:23" x14ac:dyDescent="0.25">
      <c r="T3284" s="113"/>
      <c r="U3284" s="111"/>
      <c r="W3284" s="83"/>
    </row>
    <row r="3285" spans="20:23" x14ac:dyDescent="0.25">
      <c r="T3285" s="113"/>
      <c r="U3285" s="111"/>
      <c r="W3285" s="83"/>
    </row>
    <row r="3286" spans="20:23" x14ac:dyDescent="0.25">
      <c r="T3286" s="113"/>
      <c r="U3286" s="111"/>
      <c r="W3286" s="83"/>
    </row>
    <row r="3287" spans="20:23" x14ac:dyDescent="0.25">
      <c r="T3287" s="113"/>
      <c r="U3287" s="111"/>
      <c r="W3287" s="83"/>
    </row>
    <row r="3288" spans="20:23" x14ac:dyDescent="0.25">
      <c r="T3288" s="113"/>
      <c r="U3288" s="111"/>
      <c r="W3288" s="83"/>
    </row>
    <row r="3289" spans="20:23" x14ac:dyDescent="0.25">
      <c r="T3289" s="113"/>
      <c r="U3289" s="111"/>
      <c r="W3289" s="83"/>
    </row>
    <row r="3290" spans="20:23" x14ac:dyDescent="0.25">
      <c r="T3290" s="113"/>
      <c r="U3290" s="111"/>
      <c r="W3290" s="83"/>
    </row>
    <row r="3291" spans="20:23" x14ac:dyDescent="0.25">
      <c r="T3291" s="113"/>
      <c r="U3291" s="111"/>
      <c r="W3291" s="83"/>
    </row>
    <row r="3292" spans="20:23" x14ac:dyDescent="0.25">
      <c r="T3292" s="113"/>
      <c r="U3292" s="111"/>
      <c r="W3292" s="83"/>
    </row>
    <row r="3293" spans="20:23" x14ac:dyDescent="0.25">
      <c r="T3293" s="113"/>
      <c r="U3293" s="111"/>
      <c r="W3293" s="83"/>
    </row>
    <row r="3294" spans="20:23" x14ac:dyDescent="0.25">
      <c r="T3294" s="113"/>
      <c r="U3294" s="111"/>
      <c r="W3294" s="83"/>
    </row>
    <row r="3295" spans="20:23" x14ac:dyDescent="0.25">
      <c r="T3295" s="113"/>
      <c r="U3295" s="111"/>
      <c r="W3295" s="83"/>
    </row>
    <row r="3296" spans="20:23" x14ac:dyDescent="0.25">
      <c r="T3296" s="113"/>
      <c r="U3296" s="111"/>
      <c r="W3296" s="83"/>
    </row>
    <row r="3297" spans="20:23" x14ac:dyDescent="0.25">
      <c r="T3297" s="113"/>
      <c r="U3297" s="111"/>
      <c r="W3297" s="83"/>
    </row>
    <row r="3298" spans="20:23" x14ac:dyDescent="0.25">
      <c r="T3298" s="113"/>
      <c r="U3298" s="111"/>
      <c r="W3298" s="83"/>
    </row>
    <row r="3299" spans="20:23" x14ac:dyDescent="0.25">
      <c r="T3299" s="113"/>
      <c r="U3299" s="111"/>
      <c r="W3299" s="83"/>
    </row>
    <row r="3300" spans="20:23" x14ac:dyDescent="0.25">
      <c r="T3300" s="113"/>
      <c r="U3300" s="111"/>
      <c r="W3300" s="83"/>
    </row>
    <row r="3301" spans="20:23" x14ac:dyDescent="0.25">
      <c r="T3301" s="113"/>
      <c r="U3301" s="111"/>
      <c r="W3301" s="83"/>
    </row>
    <row r="3302" spans="20:23" x14ac:dyDescent="0.25">
      <c r="T3302" s="113"/>
      <c r="U3302" s="111"/>
      <c r="W3302" s="83"/>
    </row>
    <row r="3303" spans="20:23" x14ac:dyDescent="0.25">
      <c r="T3303" s="113"/>
      <c r="U3303" s="111"/>
      <c r="W3303" s="83"/>
    </row>
    <row r="3304" spans="20:23" x14ac:dyDescent="0.25">
      <c r="T3304" s="113"/>
      <c r="U3304" s="111"/>
      <c r="W3304" s="83"/>
    </row>
    <row r="3305" spans="20:23" x14ac:dyDescent="0.25">
      <c r="T3305" s="113"/>
      <c r="U3305" s="111"/>
      <c r="W3305" s="83"/>
    </row>
    <row r="3306" spans="20:23" x14ac:dyDescent="0.25">
      <c r="T3306" s="113"/>
      <c r="U3306" s="111"/>
      <c r="W3306" s="83"/>
    </row>
    <row r="3307" spans="20:23" x14ac:dyDescent="0.25">
      <c r="T3307" s="113"/>
      <c r="U3307" s="111"/>
      <c r="W3307" s="83"/>
    </row>
    <row r="3308" spans="20:23" x14ac:dyDescent="0.25">
      <c r="T3308" s="113"/>
      <c r="U3308" s="111"/>
      <c r="W3308" s="83"/>
    </row>
    <row r="3309" spans="20:23" x14ac:dyDescent="0.25">
      <c r="T3309" s="113"/>
      <c r="U3309" s="111"/>
      <c r="W3309" s="83"/>
    </row>
    <row r="3310" spans="20:23" x14ac:dyDescent="0.25">
      <c r="T3310" s="113"/>
      <c r="U3310" s="111"/>
      <c r="W3310" s="83"/>
    </row>
    <row r="3311" spans="20:23" x14ac:dyDescent="0.25">
      <c r="T3311" s="113"/>
      <c r="U3311" s="111"/>
      <c r="W3311" s="83"/>
    </row>
    <row r="3312" spans="20:23" x14ac:dyDescent="0.25">
      <c r="T3312" s="113"/>
      <c r="U3312" s="111"/>
      <c r="W3312" s="83"/>
    </row>
    <row r="3313" spans="20:23" x14ac:dyDescent="0.25">
      <c r="T3313" s="113"/>
      <c r="U3313" s="111"/>
      <c r="W3313" s="83"/>
    </row>
    <row r="3314" spans="20:23" x14ac:dyDescent="0.25">
      <c r="T3314" s="113"/>
      <c r="U3314" s="111"/>
      <c r="W3314" s="83"/>
    </row>
    <row r="3315" spans="20:23" x14ac:dyDescent="0.25">
      <c r="T3315" s="113"/>
      <c r="U3315" s="111"/>
      <c r="W3315" s="83"/>
    </row>
    <row r="3316" spans="20:23" x14ac:dyDescent="0.25">
      <c r="T3316" s="113"/>
      <c r="U3316" s="111"/>
      <c r="W3316" s="83"/>
    </row>
    <row r="3317" spans="20:23" x14ac:dyDescent="0.25">
      <c r="T3317" s="113"/>
      <c r="U3317" s="111"/>
      <c r="W3317" s="83"/>
    </row>
    <row r="3318" spans="20:23" x14ac:dyDescent="0.25">
      <c r="T3318" s="113"/>
      <c r="U3318" s="111"/>
      <c r="W3318" s="83"/>
    </row>
    <row r="3319" spans="20:23" x14ac:dyDescent="0.25">
      <c r="T3319" s="113"/>
      <c r="U3319" s="111"/>
      <c r="W3319" s="83"/>
    </row>
    <row r="3320" spans="20:23" x14ac:dyDescent="0.25">
      <c r="T3320" s="113"/>
      <c r="U3320" s="111"/>
      <c r="W3320" s="83"/>
    </row>
    <row r="3321" spans="20:23" x14ac:dyDescent="0.25">
      <c r="T3321" s="113"/>
      <c r="U3321" s="111"/>
      <c r="W3321" s="83"/>
    </row>
    <row r="3322" spans="20:23" x14ac:dyDescent="0.25">
      <c r="T3322" s="113"/>
      <c r="U3322" s="111"/>
      <c r="W3322" s="83"/>
    </row>
    <row r="3323" spans="20:23" x14ac:dyDescent="0.25">
      <c r="T3323" s="113"/>
      <c r="U3323" s="111"/>
      <c r="W3323" s="83"/>
    </row>
    <row r="3324" spans="20:23" x14ac:dyDescent="0.25">
      <c r="T3324" s="113"/>
      <c r="U3324" s="111"/>
      <c r="W3324" s="83"/>
    </row>
    <row r="3325" spans="20:23" x14ac:dyDescent="0.25">
      <c r="T3325" s="113"/>
      <c r="U3325" s="111"/>
      <c r="W3325" s="83"/>
    </row>
    <row r="3326" spans="20:23" x14ac:dyDescent="0.25">
      <c r="T3326" s="113"/>
      <c r="U3326" s="111"/>
      <c r="W3326" s="83"/>
    </row>
    <row r="3327" spans="20:23" x14ac:dyDescent="0.25">
      <c r="T3327" s="113"/>
      <c r="U3327" s="111"/>
      <c r="W3327" s="83"/>
    </row>
    <row r="3328" spans="20:23" x14ac:dyDescent="0.25">
      <c r="T3328" s="113"/>
      <c r="U3328" s="111"/>
      <c r="W3328" s="83"/>
    </row>
    <row r="3329" spans="20:23" x14ac:dyDescent="0.25">
      <c r="T3329" s="113"/>
      <c r="U3329" s="111"/>
      <c r="W3329" s="83"/>
    </row>
    <row r="3330" spans="20:23" x14ac:dyDescent="0.25">
      <c r="T3330" s="113"/>
      <c r="U3330" s="111"/>
      <c r="W3330" s="83"/>
    </row>
    <row r="3331" spans="20:23" x14ac:dyDescent="0.25">
      <c r="T3331" s="113"/>
      <c r="U3331" s="111"/>
      <c r="W3331" s="83"/>
    </row>
    <row r="3332" spans="20:23" x14ac:dyDescent="0.25">
      <c r="T3332" s="113"/>
      <c r="U3332" s="111"/>
      <c r="W3332" s="83"/>
    </row>
    <row r="3333" spans="20:23" x14ac:dyDescent="0.25">
      <c r="T3333" s="113"/>
      <c r="U3333" s="111"/>
      <c r="W3333" s="83"/>
    </row>
    <row r="3334" spans="20:23" x14ac:dyDescent="0.25">
      <c r="T3334" s="113"/>
      <c r="U3334" s="111"/>
      <c r="W3334" s="83"/>
    </row>
    <row r="3335" spans="20:23" x14ac:dyDescent="0.25">
      <c r="T3335" s="113"/>
      <c r="U3335" s="111"/>
      <c r="W3335" s="83"/>
    </row>
    <row r="3336" spans="20:23" x14ac:dyDescent="0.25">
      <c r="T3336" s="113"/>
      <c r="U3336" s="111"/>
      <c r="W3336" s="83"/>
    </row>
    <row r="3337" spans="20:23" x14ac:dyDescent="0.25">
      <c r="T3337" s="113"/>
      <c r="U3337" s="111"/>
      <c r="W3337" s="83"/>
    </row>
    <row r="3338" spans="20:23" x14ac:dyDescent="0.25">
      <c r="T3338" s="113"/>
      <c r="U3338" s="111"/>
      <c r="W3338" s="83"/>
    </row>
    <row r="3339" spans="20:23" x14ac:dyDescent="0.25">
      <c r="T3339" s="113"/>
      <c r="U3339" s="111"/>
      <c r="W3339" s="83"/>
    </row>
    <row r="3340" spans="20:23" x14ac:dyDescent="0.25">
      <c r="T3340" s="113"/>
      <c r="U3340" s="111"/>
      <c r="W3340" s="83"/>
    </row>
    <row r="3341" spans="20:23" x14ac:dyDescent="0.25">
      <c r="T3341" s="113"/>
      <c r="U3341" s="111"/>
      <c r="W3341" s="83"/>
    </row>
    <row r="3342" spans="20:23" x14ac:dyDescent="0.25">
      <c r="T3342" s="113"/>
      <c r="U3342" s="111"/>
      <c r="W3342" s="83"/>
    </row>
    <row r="3343" spans="20:23" x14ac:dyDescent="0.25">
      <c r="T3343" s="113"/>
      <c r="U3343" s="111"/>
      <c r="W3343" s="83"/>
    </row>
    <row r="3344" spans="20:23" x14ac:dyDescent="0.25">
      <c r="T3344" s="113"/>
      <c r="U3344" s="111"/>
      <c r="W3344" s="83"/>
    </row>
    <row r="3345" spans="20:23" x14ac:dyDescent="0.25">
      <c r="T3345" s="113"/>
      <c r="U3345" s="111"/>
      <c r="W3345" s="83"/>
    </row>
    <row r="3346" spans="20:23" x14ac:dyDescent="0.25">
      <c r="T3346" s="113"/>
      <c r="U3346" s="111"/>
      <c r="W3346" s="83"/>
    </row>
    <row r="3347" spans="20:23" x14ac:dyDescent="0.25">
      <c r="T3347" s="113"/>
      <c r="U3347" s="111"/>
      <c r="W3347" s="83"/>
    </row>
    <row r="3348" spans="20:23" x14ac:dyDescent="0.25">
      <c r="T3348" s="113"/>
      <c r="U3348" s="111"/>
      <c r="W3348" s="83"/>
    </row>
    <row r="3349" spans="20:23" x14ac:dyDescent="0.25">
      <c r="T3349" s="113"/>
      <c r="U3349" s="111"/>
      <c r="W3349" s="83"/>
    </row>
    <row r="3350" spans="20:23" x14ac:dyDescent="0.25">
      <c r="T3350" s="113"/>
      <c r="U3350" s="111"/>
      <c r="W3350" s="83"/>
    </row>
    <row r="3351" spans="20:23" x14ac:dyDescent="0.25">
      <c r="T3351" s="113"/>
      <c r="U3351" s="111"/>
      <c r="W3351" s="83"/>
    </row>
    <row r="3352" spans="20:23" x14ac:dyDescent="0.25">
      <c r="T3352" s="113"/>
      <c r="U3352" s="111"/>
      <c r="W3352" s="83"/>
    </row>
    <row r="3353" spans="20:23" x14ac:dyDescent="0.25">
      <c r="T3353" s="113"/>
      <c r="U3353" s="111"/>
      <c r="W3353" s="83"/>
    </row>
    <row r="3354" spans="20:23" x14ac:dyDescent="0.25">
      <c r="T3354" s="113"/>
      <c r="U3354" s="111"/>
      <c r="W3354" s="83"/>
    </row>
    <row r="3355" spans="20:23" x14ac:dyDescent="0.25">
      <c r="T3355" s="113"/>
      <c r="U3355" s="111"/>
      <c r="W3355" s="83"/>
    </row>
    <row r="3356" spans="20:23" x14ac:dyDescent="0.25">
      <c r="T3356" s="113"/>
      <c r="U3356" s="111"/>
      <c r="W3356" s="83"/>
    </row>
    <row r="3357" spans="20:23" x14ac:dyDescent="0.25">
      <c r="T3357" s="113"/>
      <c r="U3357" s="111"/>
      <c r="W3357" s="83"/>
    </row>
    <row r="3358" spans="20:23" x14ac:dyDescent="0.25">
      <c r="T3358" s="113"/>
      <c r="U3358" s="111"/>
      <c r="W3358" s="83"/>
    </row>
    <row r="3359" spans="20:23" x14ac:dyDescent="0.25">
      <c r="T3359" s="113"/>
      <c r="U3359" s="111"/>
      <c r="W3359" s="83"/>
    </row>
    <row r="3360" spans="20:23" x14ac:dyDescent="0.25">
      <c r="T3360" s="113"/>
      <c r="U3360" s="111"/>
      <c r="W3360" s="83"/>
    </row>
    <row r="3361" spans="20:23" x14ac:dyDescent="0.25">
      <c r="T3361" s="113"/>
      <c r="U3361" s="111"/>
      <c r="W3361" s="83"/>
    </row>
    <row r="3362" spans="20:23" x14ac:dyDescent="0.25">
      <c r="T3362" s="113"/>
      <c r="U3362" s="111"/>
      <c r="W3362" s="83"/>
    </row>
    <row r="3363" spans="20:23" x14ac:dyDescent="0.25">
      <c r="T3363" s="113"/>
      <c r="U3363" s="111"/>
      <c r="W3363" s="83"/>
    </row>
    <row r="3364" spans="20:23" x14ac:dyDescent="0.25">
      <c r="T3364" s="113"/>
      <c r="U3364" s="111"/>
      <c r="W3364" s="83"/>
    </row>
    <row r="3365" spans="20:23" x14ac:dyDescent="0.25">
      <c r="T3365" s="113"/>
      <c r="U3365" s="111"/>
      <c r="W3365" s="83"/>
    </row>
    <row r="3366" spans="20:23" x14ac:dyDescent="0.25">
      <c r="T3366" s="113"/>
      <c r="U3366" s="111"/>
      <c r="W3366" s="83"/>
    </row>
    <row r="3367" spans="20:23" x14ac:dyDescent="0.25">
      <c r="T3367" s="113"/>
      <c r="U3367" s="111"/>
      <c r="W3367" s="83"/>
    </row>
    <row r="3368" spans="20:23" x14ac:dyDescent="0.25">
      <c r="T3368" s="113"/>
      <c r="U3368" s="111"/>
      <c r="W3368" s="83"/>
    </row>
    <row r="3369" spans="20:23" x14ac:dyDescent="0.25">
      <c r="T3369" s="113"/>
      <c r="U3369" s="111"/>
      <c r="W3369" s="83"/>
    </row>
    <row r="3370" spans="20:23" x14ac:dyDescent="0.25">
      <c r="T3370" s="113"/>
      <c r="U3370" s="111"/>
      <c r="W3370" s="83"/>
    </row>
    <row r="3371" spans="20:23" x14ac:dyDescent="0.25">
      <c r="T3371" s="113"/>
      <c r="U3371" s="111"/>
      <c r="W3371" s="83"/>
    </row>
    <row r="3372" spans="20:23" x14ac:dyDescent="0.25">
      <c r="T3372" s="113"/>
      <c r="U3372" s="111"/>
      <c r="W3372" s="83"/>
    </row>
    <row r="3373" spans="20:23" x14ac:dyDescent="0.25">
      <c r="T3373" s="113"/>
      <c r="U3373" s="111"/>
      <c r="W3373" s="83"/>
    </row>
    <row r="3374" spans="20:23" x14ac:dyDescent="0.25">
      <c r="T3374" s="113"/>
      <c r="U3374" s="111"/>
      <c r="W3374" s="83"/>
    </row>
    <row r="3375" spans="20:23" x14ac:dyDescent="0.25">
      <c r="T3375" s="113"/>
      <c r="U3375" s="111"/>
      <c r="W3375" s="83"/>
    </row>
    <row r="3376" spans="20:23" x14ac:dyDescent="0.25">
      <c r="T3376" s="113"/>
      <c r="U3376" s="111"/>
      <c r="W3376" s="83"/>
    </row>
    <row r="3377" spans="20:23" x14ac:dyDescent="0.25">
      <c r="T3377" s="113"/>
      <c r="U3377" s="111"/>
      <c r="W3377" s="83"/>
    </row>
    <row r="3378" spans="20:23" x14ac:dyDescent="0.25">
      <c r="T3378" s="113"/>
      <c r="U3378" s="111"/>
      <c r="W3378" s="83"/>
    </row>
    <row r="3379" spans="20:23" x14ac:dyDescent="0.25">
      <c r="T3379" s="113"/>
      <c r="U3379" s="111"/>
      <c r="W3379" s="83"/>
    </row>
    <row r="3380" spans="20:23" x14ac:dyDescent="0.25">
      <c r="T3380" s="113"/>
      <c r="U3380" s="111"/>
      <c r="W3380" s="83"/>
    </row>
    <row r="3381" spans="20:23" x14ac:dyDescent="0.25">
      <c r="T3381" s="113"/>
      <c r="U3381" s="111"/>
      <c r="W3381" s="83"/>
    </row>
    <row r="3382" spans="20:23" x14ac:dyDescent="0.25">
      <c r="T3382" s="113"/>
      <c r="U3382" s="111"/>
      <c r="W3382" s="83"/>
    </row>
    <row r="3383" spans="20:23" x14ac:dyDescent="0.25">
      <c r="T3383" s="113"/>
      <c r="U3383" s="111"/>
      <c r="W3383" s="83"/>
    </row>
    <row r="3384" spans="20:23" x14ac:dyDescent="0.25">
      <c r="T3384" s="113"/>
      <c r="U3384" s="111"/>
      <c r="W3384" s="83"/>
    </row>
    <row r="3385" spans="20:23" x14ac:dyDescent="0.25">
      <c r="T3385" s="113"/>
      <c r="U3385" s="111"/>
      <c r="W3385" s="83"/>
    </row>
    <row r="3386" spans="20:23" x14ac:dyDescent="0.25">
      <c r="T3386" s="113"/>
      <c r="U3386" s="111"/>
      <c r="W3386" s="83"/>
    </row>
    <row r="3387" spans="20:23" x14ac:dyDescent="0.25">
      <c r="T3387" s="113"/>
      <c r="U3387" s="111"/>
      <c r="W3387" s="83"/>
    </row>
    <row r="3388" spans="20:23" x14ac:dyDescent="0.25">
      <c r="T3388" s="113"/>
      <c r="U3388" s="111"/>
      <c r="W3388" s="83"/>
    </row>
    <row r="3389" spans="20:23" x14ac:dyDescent="0.25">
      <c r="T3389" s="113"/>
      <c r="U3389" s="111"/>
      <c r="W3389" s="83"/>
    </row>
    <row r="3390" spans="20:23" x14ac:dyDescent="0.25">
      <c r="T3390" s="113"/>
      <c r="U3390" s="111"/>
      <c r="W3390" s="83"/>
    </row>
    <row r="3391" spans="20:23" x14ac:dyDescent="0.25">
      <c r="T3391" s="113"/>
      <c r="U3391" s="111"/>
      <c r="W3391" s="83"/>
    </row>
    <row r="3392" spans="20:23" x14ac:dyDescent="0.25">
      <c r="T3392" s="113"/>
      <c r="U3392" s="111"/>
      <c r="W3392" s="83"/>
    </row>
    <row r="3393" spans="20:23" x14ac:dyDescent="0.25">
      <c r="T3393" s="113"/>
      <c r="U3393" s="111"/>
      <c r="W3393" s="83"/>
    </row>
    <row r="3394" spans="20:23" x14ac:dyDescent="0.25">
      <c r="T3394" s="113"/>
      <c r="U3394" s="111"/>
      <c r="W3394" s="83"/>
    </row>
    <row r="3395" spans="20:23" x14ac:dyDescent="0.25">
      <c r="T3395" s="113"/>
      <c r="U3395" s="111"/>
      <c r="W3395" s="83"/>
    </row>
    <row r="3396" spans="20:23" x14ac:dyDescent="0.25">
      <c r="T3396" s="113"/>
      <c r="U3396" s="111"/>
      <c r="W3396" s="83"/>
    </row>
    <row r="3397" spans="20:23" x14ac:dyDescent="0.25">
      <c r="T3397" s="113"/>
      <c r="U3397" s="111"/>
      <c r="W3397" s="83"/>
    </row>
    <row r="3398" spans="20:23" x14ac:dyDescent="0.25">
      <c r="T3398" s="113"/>
      <c r="U3398" s="111"/>
      <c r="W3398" s="83"/>
    </row>
    <row r="3399" spans="20:23" x14ac:dyDescent="0.25">
      <c r="T3399" s="113"/>
      <c r="U3399" s="111"/>
      <c r="W3399" s="83"/>
    </row>
    <row r="3400" spans="20:23" x14ac:dyDescent="0.25">
      <c r="T3400" s="113"/>
      <c r="U3400" s="111"/>
      <c r="W3400" s="83"/>
    </row>
    <row r="3401" spans="20:23" x14ac:dyDescent="0.25">
      <c r="T3401" s="113"/>
      <c r="U3401" s="111"/>
      <c r="W3401" s="83"/>
    </row>
    <row r="3402" spans="20:23" x14ac:dyDescent="0.25">
      <c r="T3402" s="113"/>
      <c r="U3402" s="111"/>
      <c r="W3402" s="83"/>
    </row>
    <row r="3403" spans="20:23" x14ac:dyDescent="0.25">
      <c r="T3403" s="113"/>
      <c r="U3403" s="111"/>
      <c r="W3403" s="83"/>
    </row>
    <row r="3404" spans="20:23" x14ac:dyDescent="0.25">
      <c r="T3404" s="113"/>
      <c r="U3404" s="111"/>
      <c r="W3404" s="83"/>
    </row>
    <row r="3405" spans="20:23" x14ac:dyDescent="0.25">
      <c r="T3405" s="113"/>
      <c r="U3405" s="111"/>
      <c r="W3405" s="83"/>
    </row>
    <row r="3406" spans="20:23" x14ac:dyDescent="0.25">
      <c r="T3406" s="113"/>
      <c r="U3406" s="111"/>
      <c r="W3406" s="83"/>
    </row>
    <row r="3407" spans="20:23" x14ac:dyDescent="0.25">
      <c r="T3407" s="113"/>
      <c r="U3407" s="111"/>
      <c r="W3407" s="83"/>
    </row>
    <row r="3408" spans="20:23" x14ac:dyDescent="0.25">
      <c r="T3408" s="113"/>
      <c r="U3408" s="111"/>
      <c r="W3408" s="83"/>
    </row>
    <row r="3409" spans="20:23" x14ac:dyDescent="0.25">
      <c r="T3409" s="113"/>
      <c r="U3409" s="111"/>
      <c r="W3409" s="83"/>
    </row>
    <row r="3410" spans="20:23" x14ac:dyDescent="0.25">
      <c r="T3410" s="113"/>
      <c r="U3410" s="111"/>
      <c r="W3410" s="83"/>
    </row>
    <row r="3411" spans="20:23" x14ac:dyDescent="0.25">
      <c r="T3411" s="113"/>
      <c r="U3411" s="111"/>
      <c r="W3411" s="83"/>
    </row>
    <row r="3412" spans="20:23" x14ac:dyDescent="0.25">
      <c r="T3412" s="113"/>
      <c r="U3412" s="111"/>
      <c r="W3412" s="83"/>
    </row>
    <row r="3413" spans="20:23" x14ac:dyDescent="0.25">
      <c r="T3413" s="113"/>
      <c r="U3413" s="111"/>
      <c r="W3413" s="83"/>
    </row>
    <row r="3414" spans="20:23" x14ac:dyDescent="0.25">
      <c r="T3414" s="113"/>
      <c r="U3414" s="111"/>
      <c r="W3414" s="83"/>
    </row>
    <row r="3415" spans="20:23" x14ac:dyDescent="0.25">
      <c r="T3415" s="113"/>
      <c r="U3415" s="111"/>
      <c r="W3415" s="83"/>
    </row>
    <row r="3416" spans="20:23" x14ac:dyDescent="0.25">
      <c r="T3416" s="113"/>
      <c r="U3416" s="111"/>
      <c r="W3416" s="83"/>
    </row>
    <row r="3417" spans="20:23" x14ac:dyDescent="0.25">
      <c r="T3417" s="113"/>
      <c r="U3417" s="111"/>
      <c r="W3417" s="83"/>
    </row>
    <row r="3418" spans="20:23" x14ac:dyDescent="0.25">
      <c r="T3418" s="113"/>
      <c r="U3418" s="111"/>
      <c r="W3418" s="83"/>
    </row>
    <row r="3419" spans="20:23" x14ac:dyDescent="0.25">
      <c r="T3419" s="113"/>
      <c r="U3419" s="111"/>
      <c r="W3419" s="83"/>
    </row>
    <row r="3420" spans="20:23" x14ac:dyDescent="0.25">
      <c r="T3420" s="113"/>
      <c r="U3420" s="111"/>
      <c r="W3420" s="83"/>
    </row>
    <row r="3421" spans="20:23" x14ac:dyDescent="0.25">
      <c r="T3421" s="113"/>
      <c r="U3421" s="111"/>
      <c r="W3421" s="83"/>
    </row>
    <row r="3422" spans="20:23" x14ac:dyDescent="0.25">
      <c r="T3422" s="113"/>
      <c r="U3422" s="111"/>
      <c r="W3422" s="83"/>
    </row>
    <row r="3423" spans="20:23" x14ac:dyDescent="0.25">
      <c r="T3423" s="113"/>
      <c r="U3423" s="111"/>
      <c r="W3423" s="83"/>
    </row>
    <row r="3424" spans="20:23" x14ac:dyDescent="0.25">
      <c r="T3424" s="113"/>
      <c r="U3424" s="111"/>
      <c r="W3424" s="83"/>
    </row>
    <row r="3425" spans="20:23" x14ac:dyDescent="0.25">
      <c r="T3425" s="113"/>
      <c r="U3425" s="111"/>
      <c r="W3425" s="83"/>
    </row>
    <row r="3426" spans="20:23" x14ac:dyDescent="0.25">
      <c r="T3426" s="113"/>
      <c r="U3426" s="111"/>
      <c r="W3426" s="83"/>
    </row>
    <row r="3427" spans="20:23" x14ac:dyDescent="0.25">
      <c r="T3427" s="113"/>
      <c r="U3427" s="111"/>
      <c r="W3427" s="83"/>
    </row>
    <row r="3428" spans="20:23" x14ac:dyDescent="0.25">
      <c r="T3428" s="113"/>
      <c r="U3428" s="111"/>
      <c r="W3428" s="83"/>
    </row>
    <row r="3429" spans="20:23" x14ac:dyDescent="0.25">
      <c r="T3429" s="113"/>
      <c r="U3429" s="111"/>
      <c r="W3429" s="83"/>
    </row>
    <row r="3430" spans="20:23" x14ac:dyDescent="0.25">
      <c r="T3430" s="113"/>
      <c r="U3430" s="111"/>
      <c r="W3430" s="83"/>
    </row>
    <row r="3431" spans="20:23" x14ac:dyDescent="0.25">
      <c r="T3431" s="113"/>
      <c r="U3431" s="111"/>
      <c r="W3431" s="83"/>
    </row>
    <row r="3432" spans="20:23" x14ac:dyDescent="0.25">
      <c r="T3432" s="113"/>
      <c r="U3432" s="111"/>
      <c r="W3432" s="83"/>
    </row>
    <row r="3433" spans="20:23" x14ac:dyDescent="0.25">
      <c r="T3433" s="113"/>
      <c r="U3433" s="111"/>
      <c r="W3433" s="83"/>
    </row>
    <row r="3434" spans="20:23" x14ac:dyDescent="0.25">
      <c r="T3434" s="113"/>
      <c r="U3434" s="111"/>
      <c r="W3434" s="83"/>
    </row>
    <row r="3435" spans="20:23" x14ac:dyDescent="0.25">
      <c r="T3435" s="113"/>
      <c r="U3435" s="111"/>
      <c r="W3435" s="83"/>
    </row>
    <row r="3436" spans="20:23" x14ac:dyDescent="0.25">
      <c r="T3436" s="113"/>
      <c r="U3436" s="111"/>
      <c r="W3436" s="83"/>
    </row>
    <row r="3437" spans="20:23" x14ac:dyDescent="0.25">
      <c r="T3437" s="113"/>
      <c r="U3437" s="111"/>
      <c r="W3437" s="83"/>
    </row>
    <row r="3438" spans="20:23" x14ac:dyDescent="0.25">
      <c r="T3438" s="113"/>
      <c r="U3438" s="111"/>
      <c r="W3438" s="83"/>
    </row>
    <row r="3439" spans="20:23" x14ac:dyDescent="0.25">
      <c r="T3439" s="113"/>
      <c r="U3439" s="111"/>
      <c r="W3439" s="83"/>
    </row>
    <row r="3440" spans="20:23" x14ac:dyDescent="0.25">
      <c r="T3440" s="113"/>
      <c r="U3440" s="111"/>
      <c r="W3440" s="83"/>
    </row>
    <row r="3441" spans="20:23" x14ac:dyDescent="0.25">
      <c r="T3441" s="113"/>
      <c r="U3441" s="111"/>
      <c r="W3441" s="83"/>
    </row>
    <row r="3442" spans="20:23" x14ac:dyDescent="0.25">
      <c r="T3442" s="113"/>
      <c r="U3442" s="111"/>
      <c r="W3442" s="83"/>
    </row>
    <row r="3443" spans="20:23" x14ac:dyDescent="0.25">
      <c r="T3443" s="113"/>
      <c r="U3443" s="111"/>
      <c r="W3443" s="83"/>
    </row>
    <row r="3444" spans="20:23" x14ac:dyDescent="0.25">
      <c r="T3444" s="113"/>
      <c r="U3444" s="111"/>
      <c r="W3444" s="83"/>
    </row>
    <row r="3445" spans="20:23" x14ac:dyDescent="0.25">
      <c r="T3445" s="113"/>
      <c r="U3445" s="111"/>
      <c r="W3445" s="83"/>
    </row>
    <row r="3446" spans="20:23" x14ac:dyDescent="0.25">
      <c r="T3446" s="113"/>
      <c r="U3446" s="111"/>
      <c r="W3446" s="83"/>
    </row>
    <row r="3447" spans="20:23" x14ac:dyDescent="0.25">
      <c r="T3447" s="113"/>
      <c r="U3447" s="111"/>
      <c r="W3447" s="83"/>
    </row>
    <row r="3448" spans="20:23" x14ac:dyDescent="0.25">
      <c r="T3448" s="113"/>
      <c r="U3448" s="111"/>
      <c r="W3448" s="83"/>
    </row>
    <row r="3449" spans="20:23" x14ac:dyDescent="0.25">
      <c r="T3449" s="113"/>
      <c r="U3449" s="111"/>
      <c r="W3449" s="83"/>
    </row>
    <row r="3450" spans="20:23" x14ac:dyDescent="0.25">
      <c r="T3450" s="113"/>
      <c r="U3450" s="111"/>
      <c r="W3450" s="83"/>
    </row>
    <row r="3451" spans="20:23" x14ac:dyDescent="0.25">
      <c r="T3451" s="113"/>
      <c r="U3451" s="111"/>
      <c r="W3451" s="83"/>
    </row>
    <row r="3452" spans="20:23" x14ac:dyDescent="0.25">
      <c r="T3452" s="113"/>
      <c r="U3452" s="111"/>
      <c r="W3452" s="83"/>
    </row>
    <row r="3453" spans="20:23" x14ac:dyDescent="0.25">
      <c r="T3453" s="113"/>
      <c r="U3453" s="111"/>
      <c r="W3453" s="83"/>
    </row>
    <row r="3454" spans="20:23" x14ac:dyDescent="0.25">
      <c r="T3454" s="113"/>
      <c r="U3454" s="111"/>
      <c r="W3454" s="83"/>
    </row>
    <row r="3455" spans="20:23" x14ac:dyDescent="0.25">
      <c r="T3455" s="113"/>
      <c r="U3455" s="111"/>
      <c r="W3455" s="83"/>
    </row>
    <row r="3456" spans="20:23" x14ac:dyDescent="0.25">
      <c r="T3456" s="113"/>
      <c r="U3456" s="111"/>
      <c r="W3456" s="83"/>
    </row>
    <row r="3457" spans="20:23" x14ac:dyDescent="0.25">
      <c r="T3457" s="113"/>
      <c r="U3457" s="111"/>
      <c r="W3457" s="83"/>
    </row>
    <row r="3458" spans="20:23" x14ac:dyDescent="0.25">
      <c r="T3458" s="113"/>
      <c r="U3458" s="111"/>
      <c r="W3458" s="83"/>
    </row>
    <row r="3459" spans="20:23" x14ac:dyDescent="0.25">
      <c r="T3459" s="113"/>
      <c r="U3459" s="111"/>
      <c r="W3459" s="83"/>
    </row>
    <row r="3460" spans="20:23" x14ac:dyDescent="0.25">
      <c r="T3460" s="113"/>
      <c r="U3460" s="111"/>
      <c r="W3460" s="83"/>
    </row>
    <row r="3461" spans="20:23" x14ac:dyDescent="0.25">
      <c r="T3461" s="113"/>
      <c r="U3461" s="111"/>
      <c r="W3461" s="83"/>
    </row>
    <row r="3462" spans="20:23" x14ac:dyDescent="0.25">
      <c r="T3462" s="113"/>
      <c r="U3462" s="111"/>
      <c r="W3462" s="83"/>
    </row>
    <row r="3463" spans="20:23" x14ac:dyDescent="0.25">
      <c r="T3463" s="113"/>
      <c r="U3463" s="111"/>
      <c r="W3463" s="83"/>
    </row>
    <row r="3464" spans="20:23" x14ac:dyDescent="0.25">
      <c r="T3464" s="113"/>
      <c r="U3464" s="111"/>
      <c r="W3464" s="83"/>
    </row>
    <row r="3465" spans="20:23" x14ac:dyDescent="0.25">
      <c r="T3465" s="113"/>
      <c r="U3465" s="111"/>
      <c r="W3465" s="83"/>
    </row>
    <row r="3466" spans="20:23" x14ac:dyDescent="0.25">
      <c r="T3466" s="113"/>
      <c r="U3466" s="111"/>
      <c r="W3466" s="83"/>
    </row>
    <row r="3467" spans="20:23" x14ac:dyDescent="0.25">
      <c r="T3467" s="113"/>
      <c r="U3467" s="111"/>
      <c r="W3467" s="83"/>
    </row>
    <row r="3468" spans="20:23" x14ac:dyDescent="0.25">
      <c r="T3468" s="113"/>
      <c r="U3468" s="111"/>
      <c r="W3468" s="83"/>
    </row>
    <row r="3469" spans="20:23" x14ac:dyDescent="0.25">
      <c r="T3469" s="113"/>
      <c r="U3469" s="111"/>
      <c r="W3469" s="83"/>
    </row>
    <row r="3470" spans="20:23" x14ac:dyDescent="0.25">
      <c r="T3470" s="113"/>
      <c r="U3470" s="111"/>
      <c r="W3470" s="83"/>
    </row>
    <row r="3471" spans="20:23" x14ac:dyDescent="0.25">
      <c r="T3471" s="113"/>
      <c r="U3471" s="111"/>
      <c r="W3471" s="83"/>
    </row>
    <row r="3472" spans="20:23" x14ac:dyDescent="0.25">
      <c r="T3472" s="113"/>
      <c r="U3472" s="111"/>
      <c r="W3472" s="83"/>
    </row>
    <row r="3473" spans="20:23" x14ac:dyDescent="0.25">
      <c r="T3473" s="113"/>
      <c r="U3473" s="111"/>
      <c r="W3473" s="83"/>
    </row>
    <row r="3474" spans="20:23" x14ac:dyDescent="0.25">
      <c r="T3474" s="113"/>
      <c r="U3474" s="111"/>
      <c r="W3474" s="83"/>
    </row>
    <row r="3475" spans="20:23" x14ac:dyDescent="0.25">
      <c r="T3475" s="113"/>
      <c r="U3475" s="111"/>
      <c r="W3475" s="83"/>
    </row>
    <row r="3476" spans="20:23" x14ac:dyDescent="0.25">
      <c r="T3476" s="113"/>
      <c r="U3476" s="111"/>
      <c r="W3476" s="83"/>
    </row>
    <row r="3477" spans="20:23" x14ac:dyDescent="0.25">
      <c r="T3477" s="113"/>
      <c r="U3477" s="111"/>
      <c r="W3477" s="83"/>
    </row>
    <row r="3478" spans="20:23" x14ac:dyDescent="0.25">
      <c r="T3478" s="113"/>
      <c r="U3478" s="111"/>
      <c r="W3478" s="83"/>
    </row>
    <row r="3479" spans="20:23" x14ac:dyDescent="0.25">
      <c r="T3479" s="113"/>
      <c r="U3479" s="111"/>
      <c r="W3479" s="83"/>
    </row>
    <row r="3480" spans="20:23" x14ac:dyDescent="0.25">
      <c r="T3480" s="113"/>
      <c r="U3480" s="111"/>
      <c r="W3480" s="83"/>
    </row>
    <row r="3481" spans="20:23" x14ac:dyDescent="0.25">
      <c r="T3481" s="113"/>
      <c r="U3481" s="111"/>
      <c r="W3481" s="83"/>
    </row>
    <row r="3482" spans="20:23" x14ac:dyDescent="0.25">
      <c r="T3482" s="113"/>
      <c r="U3482" s="111"/>
      <c r="W3482" s="83"/>
    </row>
    <row r="3483" spans="20:23" x14ac:dyDescent="0.25">
      <c r="T3483" s="113"/>
      <c r="U3483" s="111"/>
      <c r="W3483" s="83"/>
    </row>
    <row r="3484" spans="20:23" x14ac:dyDescent="0.25">
      <c r="T3484" s="113"/>
      <c r="U3484" s="111"/>
      <c r="W3484" s="83"/>
    </row>
    <row r="3485" spans="20:23" x14ac:dyDescent="0.25">
      <c r="T3485" s="113"/>
      <c r="U3485" s="111"/>
      <c r="W3485" s="83"/>
    </row>
    <row r="3486" spans="20:23" x14ac:dyDescent="0.25">
      <c r="T3486" s="113"/>
      <c r="U3486" s="111"/>
      <c r="W3486" s="83"/>
    </row>
    <row r="3487" spans="20:23" x14ac:dyDescent="0.25">
      <c r="T3487" s="113"/>
      <c r="U3487" s="111"/>
      <c r="W3487" s="83"/>
    </row>
    <row r="3488" spans="20:23" x14ac:dyDescent="0.25">
      <c r="T3488" s="113"/>
      <c r="U3488" s="111"/>
      <c r="W3488" s="83"/>
    </row>
    <row r="3489" spans="20:23" x14ac:dyDescent="0.25">
      <c r="T3489" s="113"/>
      <c r="U3489" s="111"/>
      <c r="W3489" s="83"/>
    </row>
    <row r="3490" spans="20:23" x14ac:dyDescent="0.25">
      <c r="T3490" s="113"/>
      <c r="U3490" s="111"/>
      <c r="W3490" s="83"/>
    </row>
    <row r="3491" spans="20:23" x14ac:dyDescent="0.25">
      <c r="T3491" s="113"/>
      <c r="U3491" s="111"/>
      <c r="W3491" s="83"/>
    </row>
    <row r="3492" spans="20:23" x14ac:dyDescent="0.25">
      <c r="T3492" s="113"/>
      <c r="U3492" s="111"/>
      <c r="W3492" s="83"/>
    </row>
    <row r="3493" spans="20:23" x14ac:dyDescent="0.25">
      <c r="T3493" s="113"/>
      <c r="U3493" s="111"/>
      <c r="W3493" s="83"/>
    </row>
    <row r="3494" spans="20:23" x14ac:dyDescent="0.25">
      <c r="T3494" s="113"/>
      <c r="U3494" s="111"/>
      <c r="W3494" s="83"/>
    </row>
    <row r="3495" spans="20:23" x14ac:dyDescent="0.25">
      <c r="T3495" s="113"/>
      <c r="U3495" s="111"/>
      <c r="W3495" s="83"/>
    </row>
    <row r="3496" spans="20:23" x14ac:dyDescent="0.25">
      <c r="T3496" s="113"/>
      <c r="U3496" s="111"/>
      <c r="W3496" s="83"/>
    </row>
    <row r="3497" spans="20:23" x14ac:dyDescent="0.25">
      <c r="T3497" s="113"/>
      <c r="U3497" s="111"/>
      <c r="W3497" s="83"/>
    </row>
    <row r="3498" spans="20:23" x14ac:dyDescent="0.25">
      <c r="T3498" s="113"/>
      <c r="U3498" s="111"/>
      <c r="W3498" s="83"/>
    </row>
    <row r="3499" spans="20:23" x14ac:dyDescent="0.25">
      <c r="T3499" s="113"/>
      <c r="U3499" s="111"/>
      <c r="W3499" s="83"/>
    </row>
    <row r="3500" spans="20:23" x14ac:dyDescent="0.25">
      <c r="T3500" s="113"/>
      <c r="U3500" s="111"/>
      <c r="W3500" s="83"/>
    </row>
    <row r="3501" spans="20:23" x14ac:dyDescent="0.25">
      <c r="T3501" s="113"/>
      <c r="U3501" s="111"/>
      <c r="W3501" s="83"/>
    </row>
    <row r="3502" spans="20:23" x14ac:dyDescent="0.25">
      <c r="T3502" s="113"/>
      <c r="U3502" s="111"/>
      <c r="W3502" s="83"/>
    </row>
    <row r="3503" spans="20:23" x14ac:dyDescent="0.25">
      <c r="T3503" s="113"/>
      <c r="U3503" s="111"/>
      <c r="W3503" s="83"/>
    </row>
    <row r="3504" spans="20:23" x14ac:dyDescent="0.25">
      <c r="T3504" s="113"/>
      <c r="U3504" s="111"/>
      <c r="W3504" s="83"/>
    </row>
    <row r="3505" spans="20:23" x14ac:dyDescent="0.25">
      <c r="T3505" s="113"/>
      <c r="U3505" s="111"/>
      <c r="W3505" s="83"/>
    </row>
    <row r="3506" spans="20:23" x14ac:dyDescent="0.25">
      <c r="T3506" s="113"/>
      <c r="U3506" s="111"/>
      <c r="W3506" s="83"/>
    </row>
    <row r="3507" spans="20:23" x14ac:dyDescent="0.25">
      <c r="T3507" s="113"/>
      <c r="U3507" s="111"/>
      <c r="W3507" s="83"/>
    </row>
    <row r="3508" spans="20:23" x14ac:dyDescent="0.25">
      <c r="T3508" s="113"/>
      <c r="U3508" s="111"/>
      <c r="W3508" s="83"/>
    </row>
    <row r="3509" spans="20:23" x14ac:dyDescent="0.25">
      <c r="T3509" s="113"/>
      <c r="U3509" s="111"/>
      <c r="W3509" s="83"/>
    </row>
    <row r="3510" spans="20:23" x14ac:dyDescent="0.25">
      <c r="T3510" s="113"/>
      <c r="U3510" s="111"/>
      <c r="W3510" s="83"/>
    </row>
    <row r="3511" spans="20:23" x14ac:dyDescent="0.25">
      <c r="T3511" s="113"/>
      <c r="U3511" s="111"/>
      <c r="W3511" s="83"/>
    </row>
    <row r="3512" spans="20:23" x14ac:dyDescent="0.25">
      <c r="T3512" s="113"/>
      <c r="U3512" s="111"/>
      <c r="W3512" s="83"/>
    </row>
    <row r="3513" spans="20:23" x14ac:dyDescent="0.25">
      <c r="T3513" s="113"/>
      <c r="U3513" s="111"/>
      <c r="W3513" s="83"/>
    </row>
    <row r="3514" spans="20:23" x14ac:dyDescent="0.25">
      <c r="T3514" s="113"/>
      <c r="U3514" s="111"/>
      <c r="W3514" s="83"/>
    </row>
    <row r="3515" spans="20:23" x14ac:dyDescent="0.25">
      <c r="T3515" s="113"/>
      <c r="U3515" s="111"/>
      <c r="W3515" s="83"/>
    </row>
    <row r="3516" spans="20:23" x14ac:dyDescent="0.25">
      <c r="T3516" s="113"/>
      <c r="U3516" s="111"/>
      <c r="W3516" s="83"/>
    </row>
    <row r="3517" spans="20:23" x14ac:dyDescent="0.25">
      <c r="T3517" s="113"/>
      <c r="U3517" s="111"/>
      <c r="W3517" s="83"/>
    </row>
    <row r="3518" spans="20:23" x14ac:dyDescent="0.25">
      <c r="T3518" s="113"/>
      <c r="U3518" s="111"/>
      <c r="W3518" s="83"/>
    </row>
    <row r="3519" spans="20:23" x14ac:dyDescent="0.25">
      <c r="T3519" s="113"/>
      <c r="U3519" s="111"/>
      <c r="W3519" s="83"/>
    </row>
    <row r="3520" spans="20:23" x14ac:dyDescent="0.25">
      <c r="T3520" s="113"/>
      <c r="U3520" s="111"/>
      <c r="W3520" s="83"/>
    </row>
    <row r="3521" spans="20:23" x14ac:dyDescent="0.25">
      <c r="T3521" s="113"/>
      <c r="U3521" s="111"/>
      <c r="W3521" s="83"/>
    </row>
    <row r="3522" spans="20:23" x14ac:dyDescent="0.25">
      <c r="T3522" s="113"/>
      <c r="U3522" s="111"/>
      <c r="W3522" s="83"/>
    </row>
    <row r="3523" spans="20:23" x14ac:dyDescent="0.25">
      <c r="T3523" s="113"/>
      <c r="U3523" s="111"/>
      <c r="W3523" s="83"/>
    </row>
    <row r="3524" spans="20:23" x14ac:dyDescent="0.25">
      <c r="T3524" s="113"/>
      <c r="U3524" s="111"/>
      <c r="W3524" s="83"/>
    </row>
    <row r="3525" spans="20:23" x14ac:dyDescent="0.25">
      <c r="T3525" s="113"/>
      <c r="U3525" s="111"/>
      <c r="W3525" s="83"/>
    </row>
    <row r="3526" spans="20:23" x14ac:dyDescent="0.25">
      <c r="T3526" s="113"/>
      <c r="U3526" s="111"/>
      <c r="W3526" s="83"/>
    </row>
    <row r="3527" spans="20:23" x14ac:dyDescent="0.25">
      <c r="T3527" s="113"/>
      <c r="U3527" s="111"/>
      <c r="W3527" s="83"/>
    </row>
    <row r="3528" spans="20:23" x14ac:dyDescent="0.25">
      <c r="T3528" s="113"/>
      <c r="U3528" s="111"/>
      <c r="W3528" s="83"/>
    </row>
    <row r="3529" spans="20:23" x14ac:dyDescent="0.25">
      <c r="T3529" s="113"/>
      <c r="U3529" s="111"/>
      <c r="W3529" s="83"/>
    </row>
    <row r="3530" spans="20:23" x14ac:dyDescent="0.25">
      <c r="T3530" s="113"/>
      <c r="U3530" s="111"/>
      <c r="W3530" s="83"/>
    </row>
    <row r="3531" spans="20:23" x14ac:dyDescent="0.25">
      <c r="T3531" s="113"/>
      <c r="U3531" s="111"/>
      <c r="W3531" s="83"/>
    </row>
    <row r="3532" spans="20:23" x14ac:dyDescent="0.25">
      <c r="T3532" s="113"/>
      <c r="U3532" s="111"/>
      <c r="W3532" s="83"/>
    </row>
    <row r="3533" spans="20:23" x14ac:dyDescent="0.25">
      <c r="T3533" s="113"/>
      <c r="U3533" s="111"/>
      <c r="W3533" s="83"/>
    </row>
    <row r="3534" spans="20:23" x14ac:dyDescent="0.25">
      <c r="T3534" s="113"/>
      <c r="U3534" s="111"/>
      <c r="W3534" s="83"/>
    </row>
    <row r="3535" spans="20:23" x14ac:dyDescent="0.25">
      <c r="T3535" s="113"/>
      <c r="U3535" s="111"/>
      <c r="W3535" s="83"/>
    </row>
    <row r="3536" spans="20:23" x14ac:dyDescent="0.25">
      <c r="T3536" s="113"/>
      <c r="U3536" s="111"/>
      <c r="W3536" s="83"/>
    </row>
    <row r="3537" spans="20:23" x14ac:dyDescent="0.25">
      <c r="T3537" s="113"/>
      <c r="U3537" s="111"/>
      <c r="W3537" s="83"/>
    </row>
    <row r="3538" spans="20:23" x14ac:dyDescent="0.25">
      <c r="T3538" s="113"/>
      <c r="U3538" s="111"/>
      <c r="W3538" s="83"/>
    </row>
    <row r="3539" spans="20:23" x14ac:dyDescent="0.25">
      <c r="T3539" s="113"/>
      <c r="U3539" s="111"/>
      <c r="W3539" s="83"/>
    </row>
    <row r="3540" spans="20:23" x14ac:dyDescent="0.25">
      <c r="T3540" s="113"/>
      <c r="U3540" s="111"/>
      <c r="W3540" s="83"/>
    </row>
    <row r="3541" spans="20:23" x14ac:dyDescent="0.25">
      <c r="T3541" s="113"/>
      <c r="U3541" s="111"/>
      <c r="W3541" s="83"/>
    </row>
    <row r="3542" spans="20:23" x14ac:dyDescent="0.25">
      <c r="T3542" s="113"/>
      <c r="U3542" s="111"/>
      <c r="W3542" s="83"/>
    </row>
    <row r="3543" spans="20:23" x14ac:dyDescent="0.25">
      <c r="T3543" s="113"/>
      <c r="U3543" s="111"/>
      <c r="W3543" s="83"/>
    </row>
    <row r="3544" spans="20:23" x14ac:dyDescent="0.25">
      <c r="T3544" s="113"/>
      <c r="U3544" s="111"/>
      <c r="W3544" s="83"/>
    </row>
    <row r="3545" spans="20:23" x14ac:dyDescent="0.25">
      <c r="T3545" s="113"/>
      <c r="U3545" s="111"/>
      <c r="W3545" s="83"/>
    </row>
    <row r="3546" spans="20:23" x14ac:dyDescent="0.25">
      <c r="T3546" s="113"/>
      <c r="U3546" s="111"/>
      <c r="W3546" s="83"/>
    </row>
    <row r="3547" spans="20:23" x14ac:dyDescent="0.25">
      <c r="T3547" s="113"/>
      <c r="U3547" s="111"/>
      <c r="W3547" s="83"/>
    </row>
    <row r="3548" spans="20:23" x14ac:dyDescent="0.25">
      <c r="T3548" s="113"/>
      <c r="U3548" s="111"/>
      <c r="W3548" s="83"/>
    </row>
    <row r="3549" spans="20:23" x14ac:dyDescent="0.25">
      <c r="T3549" s="113"/>
      <c r="U3549" s="111"/>
      <c r="W3549" s="83"/>
    </row>
    <row r="3550" spans="20:23" x14ac:dyDescent="0.25">
      <c r="T3550" s="113"/>
      <c r="U3550" s="111"/>
      <c r="W3550" s="83"/>
    </row>
    <row r="3551" spans="20:23" x14ac:dyDescent="0.25">
      <c r="T3551" s="113"/>
      <c r="U3551" s="111"/>
      <c r="W3551" s="83"/>
    </row>
    <row r="3552" spans="20:23" x14ac:dyDescent="0.25">
      <c r="T3552" s="113"/>
      <c r="U3552" s="111"/>
      <c r="W3552" s="83"/>
    </row>
    <row r="3553" spans="20:23" x14ac:dyDescent="0.25">
      <c r="T3553" s="113"/>
      <c r="U3553" s="111"/>
      <c r="W3553" s="83"/>
    </row>
    <row r="3554" spans="20:23" x14ac:dyDescent="0.25">
      <c r="T3554" s="113"/>
      <c r="U3554" s="111"/>
      <c r="W3554" s="83"/>
    </row>
    <row r="3555" spans="20:23" x14ac:dyDescent="0.25">
      <c r="T3555" s="113"/>
      <c r="U3555" s="111"/>
      <c r="W3555" s="83"/>
    </row>
    <row r="3556" spans="20:23" x14ac:dyDescent="0.25">
      <c r="T3556" s="113"/>
      <c r="U3556" s="111"/>
      <c r="W3556" s="83"/>
    </row>
    <row r="3557" spans="20:23" x14ac:dyDescent="0.25">
      <c r="T3557" s="113"/>
      <c r="U3557" s="111"/>
      <c r="W3557" s="83"/>
    </row>
    <row r="3558" spans="20:23" x14ac:dyDescent="0.25">
      <c r="T3558" s="113"/>
      <c r="U3558" s="111"/>
      <c r="W3558" s="83"/>
    </row>
    <row r="3559" spans="20:23" x14ac:dyDescent="0.25">
      <c r="T3559" s="113"/>
      <c r="U3559" s="111"/>
      <c r="W3559" s="83"/>
    </row>
    <row r="3560" spans="20:23" x14ac:dyDescent="0.25">
      <c r="T3560" s="113"/>
      <c r="U3560" s="111"/>
      <c r="W3560" s="83"/>
    </row>
    <row r="3561" spans="20:23" x14ac:dyDescent="0.25">
      <c r="T3561" s="113"/>
      <c r="U3561" s="111"/>
      <c r="W3561" s="83"/>
    </row>
    <row r="3562" spans="20:23" x14ac:dyDescent="0.25">
      <c r="T3562" s="113"/>
      <c r="U3562" s="111"/>
      <c r="W3562" s="83"/>
    </row>
    <row r="3563" spans="20:23" x14ac:dyDescent="0.25">
      <c r="T3563" s="113"/>
      <c r="U3563" s="111"/>
      <c r="W3563" s="83"/>
    </row>
    <row r="3564" spans="20:23" x14ac:dyDescent="0.25">
      <c r="T3564" s="113"/>
      <c r="U3564" s="111"/>
      <c r="W3564" s="83"/>
    </row>
    <row r="3565" spans="20:23" x14ac:dyDescent="0.25">
      <c r="T3565" s="113"/>
      <c r="U3565" s="111"/>
      <c r="W3565" s="83"/>
    </row>
    <row r="3566" spans="20:23" x14ac:dyDescent="0.25">
      <c r="T3566" s="113"/>
      <c r="U3566" s="111"/>
      <c r="W3566" s="83"/>
    </row>
    <row r="3567" spans="20:23" x14ac:dyDescent="0.25">
      <c r="T3567" s="113"/>
      <c r="U3567" s="111"/>
      <c r="W3567" s="83"/>
    </row>
    <row r="3568" spans="20:23" x14ac:dyDescent="0.25">
      <c r="T3568" s="113"/>
      <c r="U3568" s="111"/>
      <c r="W3568" s="83"/>
    </row>
    <row r="3569" spans="20:23" x14ac:dyDescent="0.25">
      <c r="T3569" s="113"/>
      <c r="U3569" s="111"/>
      <c r="W3569" s="83"/>
    </row>
    <row r="3570" spans="20:23" x14ac:dyDescent="0.25">
      <c r="T3570" s="113"/>
      <c r="U3570" s="111"/>
      <c r="W3570" s="83"/>
    </row>
    <row r="3571" spans="20:23" x14ac:dyDescent="0.25">
      <c r="T3571" s="113"/>
      <c r="U3571" s="111"/>
      <c r="W3571" s="83"/>
    </row>
    <row r="3572" spans="20:23" x14ac:dyDescent="0.25">
      <c r="T3572" s="113"/>
      <c r="U3572" s="111"/>
      <c r="W3572" s="83"/>
    </row>
    <row r="3573" spans="20:23" x14ac:dyDescent="0.25">
      <c r="T3573" s="113"/>
      <c r="U3573" s="111"/>
      <c r="W3573" s="83"/>
    </row>
    <row r="3574" spans="20:23" x14ac:dyDescent="0.25">
      <c r="T3574" s="113"/>
      <c r="U3574" s="111"/>
      <c r="W3574" s="83"/>
    </row>
    <row r="3575" spans="20:23" x14ac:dyDescent="0.25">
      <c r="T3575" s="113"/>
      <c r="U3575" s="111"/>
      <c r="W3575" s="83"/>
    </row>
    <row r="3576" spans="20:23" x14ac:dyDescent="0.25">
      <c r="T3576" s="113"/>
      <c r="U3576" s="111"/>
      <c r="W3576" s="83"/>
    </row>
    <row r="3577" spans="20:23" x14ac:dyDescent="0.25">
      <c r="T3577" s="113"/>
      <c r="U3577" s="111"/>
      <c r="W3577" s="83"/>
    </row>
    <row r="3578" spans="20:23" x14ac:dyDescent="0.25">
      <c r="T3578" s="113"/>
      <c r="U3578" s="111"/>
      <c r="W3578" s="83"/>
    </row>
    <row r="3579" spans="20:23" x14ac:dyDescent="0.25">
      <c r="T3579" s="113"/>
      <c r="U3579" s="111"/>
      <c r="W3579" s="83"/>
    </row>
    <row r="3580" spans="20:23" x14ac:dyDescent="0.25">
      <c r="T3580" s="113"/>
      <c r="U3580" s="111"/>
      <c r="W3580" s="83"/>
    </row>
    <row r="3581" spans="20:23" x14ac:dyDescent="0.25">
      <c r="T3581" s="113"/>
      <c r="U3581" s="111"/>
      <c r="W3581" s="83"/>
    </row>
    <row r="3582" spans="20:23" x14ac:dyDescent="0.25">
      <c r="T3582" s="113"/>
      <c r="U3582" s="111"/>
      <c r="W3582" s="83"/>
    </row>
    <row r="3583" spans="20:23" x14ac:dyDescent="0.25">
      <c r="T3583" s="113"/>
      <c r="U3583" s="111"/>
      <c r="W3583" s="83"/>
    </row>
    <row r="3584" spans="20:23" x14ac:dyDescent="0.25">
      <c r="T3584" s="113"/>
      <c r="U3584" s="111"/>
      <c r="W3584" s="83"/>
    </row>
    <row r="3585" spans="20:23" x14ac:dyDescent="0.25">
      <c r="T3585" s="113"/>
      <c r="U3585" s="111"/>
      <c r="W3585" s="83"/>
    </row>
    <row r="3586" spans="20:23" x14ac:dyDescent="0.25">
      <c r="T3586" s="113"/>
      <c r="U3586" s="111"/>
      <c r="W3586" s="83"/>
    </row>
    <row r="3587" spans="20:23" x14ac:dyDescent="0.25">
      <c r="T3587" s="113"/>
      <c r="U3587" s="111"/>
      <c r="W3587" s="83"/>
    </row>
    <row r="3588" spans="20:23" x14ac:dyDescent="0.25">
      <c r="T3588" s="113"/>
      <c r="U3588" s="111"/>
      <c r="W3588" s="83"/>
    </row>
    <row r="3589" spans="20:23" x14ac:dyDescent="0.25">
      <c r="T3589" s="113"/>
      <c r="U3589" s="111"/>
      <c r="W3589" s="83"/>
    </row>
    <row r="3590" spans="20:23" x14ac:dyDescent="0.25">
      <c r="T3590" s="113"/>
      <c r="U3590" s="111"/>
      <c r="W3590" s="83"/>
    </row>
    <row r="3591" spans="20:23" x14ac:dyDescent="0.25">
      <c r="T3591" s="113"/>
      <c r="U3591" s="111"/>
      <c r="W3591" s="83"/>
    </row>
    <row r="3592" spans="20:23" x14ac:dyDescent="0.25">
      <c r="T3592" s="113"/>
      <c r="U3592" s="111"/>
      <c r="W3592" s="83"/>
    </row>
    <row r="3593" spans="20:23" x14ac:dyDescent="0.25">
      <c r="T3593" s="113"/>
      <c r="U3593" s="111"/>
      <c r="W3593" s="83"/>
    </row>
    <row r="3594" spans="20:23" x14ac:dyDescent="0.25">
      <c r="T3594" s="113"/>
      <c r="U3594" s="111"/>
      <c r="W3594" s="83"/>
    </row>
    <row r="3595" spans="20:23" x14ac:dyDescent="0.25">
      <c r="T3595" s="113"/>
      <c r="U3595" s="111"/>
      <c r="W3595" s="83"/>
    </row>
    <row r="3596" spans="20:23" x14ac:dyDescent="0.25">
      <c r="T3596" s="113"/>
      <c r="U3596" s="111"/>
      <c r="W3596" s="83"/>
    </row>
    <row r="3597" spans="20:23" x14ac:dyDescent="0.25">
      <c r="T3597" s="113"/>
      <c r="U3597" s="111"/>
      <c r="W3597" s="83"/>
    </row>
    <row r="3598" spans="20:23" x14ac:dyDescent="0.25">
      <c r="T3598" s="113"/>
      <c r="U3598" s="111"/>
      <c r="W3598" s="83"/>
    </row>
    <row r="3599" spans="20:23" x14ac:dyDescent="0.25">
      <c r="T3599" s="113"/>
      <c r="U3599" s="111"/>
      <c r="W3599" s="83"/>
    </row>
    <row r="3600" spans="20:23" x14ac:dyDescent="0.25">
      <c r="T3600" s="113"/>
      <c r="U3600" s="111"/>
      <c r="W3600" s="83"/>
    </row>
    <row r="3601" spans="20:23" x14ac:dyDescent="0.25">
      <c r="T3601" s="113"/>
      <c r="U3601" s="111"/>
      <c r="W3601" s="83"/>
    </row>
    <row r="3602" spans="20:23" x14ac:dyDescent="0.25">
      <c r="T3602" s="113"/>
      <c r="U3602" s="111"/>
      <c r="W3602" s="83"/>
    </row>
    <row r="3603" spans="20:23" x14ac:dyDescent="0.25">
      <c r="T3603" s="113"/>
      <c r="U3603" s="111"/>
      <c r="W3603" s="83"/>
    </row>
    <row r="3604" spans="20:23" x14ac:dyDescent="0.25">
      <c r="T3604" s="113"/>
      <c r="U3604" s="111"/>
      <c r="W3604" s="83"/>
    </row>
    <row r="3605" spans="20:23" x14ac:dyDescent="0.25">
      <c r="T3605" s="113"/>
      <c r="U3605" s="111"/>
      <c r="W3605" s="83"/>
    </row>
    <row r="3606" spans="20:23" x14ac:dyDescent="0.25">
      <c r="T3606" s="113"/>
      <c r="U3606" s="111"/>
      <c r="W3606" s="83"/>
    </row>
    <row r="3607" spans="20:23" x14ac:dyDescent="0.25">
      <c r="T3607" s="113"/>
      <c r="U3607" s="111"/>
      <c r="W3607" s="83"/>
    </row>
    <row r="3608" spans="20:23" x14ac:dyDescent="0.25">
      <c r="T3608" s="113"/>
      <c r="U3608" s="111"/>
      <c r="W3608" s="83"/>
    </row>
    <row r="3609" spans="20:23" x14ac:dyDescent="0.25">
      <c r="T3609" s="113"/>
      <c r="U3609" s="111"/>
      <c r="W3609" s="83"/>
    </row>
    <row r="3610" spans="20:23" x14ac:dyDescent="0.25">
      <c r="T3610" s="113"/>
      <c r="U3610" s="111"/>
      <c r="W3610" s="83"/>
    </row>
    <row r="3611" spans="20:23" x14ac:dyDescent="0.25">
      <c r="T3611" s="113"/>
      <c r="U3611" s="111"/>
      <c r="W3611" s="83"/>
    </row>
    <row r="3612" spans="20:23" x14ac:dyDescent="0.25">
      <c r="T3612" s="113"/>
      <c r="U3612" s="111"/>
      <c r="W3612" s="83"/>
    </row>
    <row r="3613" spans="20:23" x14ac:dyDescent="0.25">
      <c r="T3613" s="113"/>
      <c r="U3613" s="111"/>
      <c r="W3613" s="83"/>
    </row>
    <row r="3614" spans="20:23" x14ac:dyDescent="0.25">
      <c r="T3614" s="113"/>
      <c r="U3614" s="111"/>
      <c r="W3614" s="83"/>
    </row>
    <row r="3615" spans="20:23" x14ac:dyDescent="0.25">
      <c r="T3615" s="113"/>
      <c r="U3615" s="111"/>
      <c r="W3615" s="83"/>
    </row>
    <row r="3616" spans="20:23" x14ac:dyDescent="0.25">
      <c r="T3616" s="113"/>
      <c r="U3616" s="111"/>
      <c r="W3616" s="83"/>
    </row>
    <row r="3617" spans="20:23" x14ac:dyDescent="0.25">
      <c r="T3617" s="113"/>
      <c r="U3617" s="111"/>
      <c r="W3617" s="83"/>
    </row>
    <row r="3618" spans="20:23" x14ac:dyDescent="0.25">
      <c r="T3618" s="113"/>
      <c r="U3618" s="111"/>
      <c r="W3618" s="83"/>
    </row>
    <row r="3619" spans="20:23" x14ac:dyDescent="0.25">
      <c r="T3619" s="113"/>
      <c r="U3619" s="111"/>
      <c r="W3619" s="83"/>
    </row>
    <row r="3620" spans="20:23" x14ac:dyDescent="0.25">
      <c r="T3620" s="113"/>
      <c r="U3620" s="111"/>
      <c r="W3620" s="83"/>
    </row>
    <row r="3621" spans="20:23" x14ac:dyDescent="0.25">
      <c r="T3621" s="113"/>
      <c r="U3621" s="111"/>
      <c r="W3621" s="83"/>
    </row>
    <row r="3622" spans="20:23" x14ac:dyDescent="0.25">
      <c r="T3622" s="113"/>
      <c r="U3622" s="111"/>
      <c r="W3622" s="83"/>
    </row>
    <row r="3623" spans="20:23" x14ac:dyDescent="0.25">
      <c r="T3623" s="113"/>
      <c r="U3623" s="111"/>
      <c r="W3623" s="83"/>
    </row>
    <row r="3624" spans="20:23" x14ac:dyDescent="0.25">
      <c r="T3624" s="113"/>
      <c r="U3624" s="111"/>
      <c r="W3624" s="83"/>
    </row>
    <row r="3625" spans="20:23" x14ac:dyDescent="0.25">
      <c r="T3625" s="113"/>
      <c r="U3625" s="111"/>
      <c r="W3625" s="83"/>
    </row>
    <row r="3626" spans="20:23" x14ac:dyDescent="0.25">
      <c r="T3626" s="113"/>
      <c r="U3626" s="111"/>
      <c r="W3626" s="83"/>
    </row>
    <row r="3627" spans="20:23" x14ac:dyDescent="0.25">
      <c r="T3627" s="113"/>
      <c r="U3627" s="111"/>
      <c r="W3627" s="83"/>
    </row>
    <row r="3628" spans="20:23" x14ac:dyDescent="0.25">
      <c r="T3628" s="113"/>
      <c r="U3628" s="111"/>
      <c r="W3628" s="83"/>
    </row>
    <row r="3629" spans="20:23" x14ac:dyDescent="0.25">
      <c r="T3629" s="113"/>
      <c r="U3629" s="111"/>
      <c r="W3629" s="83"/>
    </row>
    <row r="3630" spans="20:23" x14ac:dyDescent="0.25">
      <c r="T3630" s="113"/>
      <c r="U3630" s="111"/>
      <c r="W3630" s="83"/>
    </row>
    <row r="3631" spans="20:23" x14ac:dyDescent="0.25">
      <c r="T3631" s="113"/>
      <c r="U3631" s="111"/>
      <c r="W3631" s="83"/>
    </row>
    <row r="3632" spans="20:23" x14ac:dyDescent="0.25">
      <c r="T3632" s="113"/>
      <c r="U3632" s="111"/>
      <c r="W3632" s="83"/>
    </row>
    <row r="3633" spans="20:23" x14ac:dyDescent="0.25">
      <c r="T3633" s="113"/>
      <c r="U3633" s="111"/>
      <c r="W3633" s="83"/>
    </row>
    <row r="3634" spans="20:23" x14ac:dyDescent="0.25">
      <c r="T3634" s="113"/>
      <c r="U3634" s="111"/>
      <c r="W3634" s="83"/>
    </row>
    <row r="3635" spans="20:23" x14ac:dyDescent="0.25">
      <c r="T3635" s="113"/>
      <c r="U3635" s="111"/>
      <c r="W3635" s="83"/>
    </row>
    <row r="3636" spans="20:23" x14ac:dyDescent="0.25">
      <c r="T3636" s="113"/>
      <c r="U3636" s="111"/>
      <c r="W3636" s="83"/>
    </row>
    <row r="3637" spans="20:23" x14ac:dyDescent="0.25">
      <c r="T3637" s="113"/>
      <c r="U3637" s="111"/>
      <c r="W3637" s="83"/>
    </row>
    <row r="3638" spans="20:23" x14ac:dyDescent="0.25">
      <c r="T3638" s="113"/>
      <c r="U3638" s="111"/>
      <c r="W3638" s="83"/>
    </row>
    <row r="3639" spans="20:23" x14ac:dyDescent="0.25">
      <c r="T3639" s="113"/>
      <c r="U3639" s="111"/>
      <c r="W3639" s="83"/>
    </row>
    <row r="3640" spans="20:23" x14ac:dyDescent="0.25">
      <c r="T3640" s="113"/>
      <c r="U3640" s="111"/>
      <c r="W3640" s="83"/>
    </row>
    <row r="3641" spans="20:23" x14ac:dyDescent="0.25">
      <c r="T3641" s="113"/>
      <c r="U3641" s="111"/>
      <c r="W3641" s="83"/>
    </row>
    <row r="3642" spans="20:23" x14ac:dyDescent="0.25">
      <c r="T3642" s="113"/>
      <c r="U3642" s="111"/>
      <c r="W3642" s="83"/>
    </row>
    <row r="3643" spans="20:23" x14ac:dyDescent="0.25">
      <c r="T3643" s="113"/>
      <c r="U3643" s="111"/>
      <c r="W3643" s="83"/>
    </row>
    <row r="3644" spans="20:23" x14ac:dyDescent="0.25">
      <c r="T3644" s="113"/>
      <c r="U3644" s="111"/>
      <c r="W3644" s="83"/>
    </row>
    <row r="3645" spans="20:23" x14ac:dyDescent="0.25">
      <c r="T3645" s="113"/>
      <c r="U3645" s="111"/>
      <c r="W3645" s="83"/>
    </row>
    <row r="3646" spans="20:23" x14ac:dyDescent="0.25">
      <c r="T3646" s="113"/>
      <c r="U3646" s="111"/>
      <c r="W3646" s="83"/>
    </row>
    <row r="3647" spans="20:23" x14ac:dyDescent="0.25">
      <c r="T3647" s="113"/>
      <c r="U3647" s="111"/>
      <c r="W3647" s="83"/>
    </row>
    <row r="3648" spans="20:23" x14ac:dyDescent="0.25">
      <c r="T3648" s="113"/>
      <c r="U3648" s="111"/>
      <c r="W3648" s="83"/>
    </row>
    <row r="3649" spans="20:23" x14ac:dyDescent="0.25">
      <c r="T3649" s="113"/>
      <c r="U3649" s="111"/>
      <c r="W3649" s="83"/>
    </row>
    <row r="3650" spans="20:23" x14ac:dyDescent="0.25">
      <c r="T3650" s="113"/>
      <c r="U3650" s="111"/>
      <c r="W3650" s="83"/>
    </row>
    <row r="3651" spans="20:23" x14ac:dyDescent="0.25">
      <c r="T3651" s="113"/>
      <c r="U3651" s="111"/>
      <c r="W3651" s="83"/>
    </row>
    <row r="3652" spans="20:23" x14ac:dyDescent="0.25">
      <c r="T3652" s="113"/>
      <c r="U3652" s="111"/>
      <c r="W3652" s="83"/>
    </row>
    <row r="3653" spans="20:23" x14ac:dyDescent="0.25">
      <c r="T3653" s="113"/>
      <c r="U3653" s="111"/>
      <c r="W3653" s="83"/>
    </row>
    <row r="3654" spans="20:23" x14ac:dyDescent="0.25">
      <c r="T3654" s="113"/>
      <c r="U3654" s="111"/>
      <c r="W3654" s="83"/>
    </row>
    <row r="3655" spans="20:23" x14ac:dyDescent="0.25">
      <c r="T3655" s="113"/>
      <c r="U3655" s="111"/>
      <c r="W3655" s="83"/>
    </row>
    <row r="3656" spans="20:23" x14ac:dyDescent="0.25">
      <c r="T3656" s="113"/>
      <c r="U3656" s="111"/>
      <c r="W3656" s="83"/>
    </row>
    <row r="3657" spans="20:23" x14ac:dyDescent="0.25">
      <c r="T3657" s="113"/>
      <c r="U3657" s="111"/>
      <c r="W3657" s="83"/>
    </row>
    <row r="3658" spans="20:23" x14ac:dyDescent="0.25">
      <c r="T3658" s="113"/>
      <c r="U3658" s="111"/>
      <c r="W3658" s="83"/>
    </row>
    <row r="3659" spans="20:23" x14ac:dyDescent="0.25">
      <c r="T3659" s="113"/>
      <c r="U3659" s="111"/>
      <c r="W3659" s="83"/>
    </row>
    <row r="3660" spans="20:23" x14ac:dyDescent="0.25">
      <c r="T3660" s="113"/>
      <c r="U3660" s="111"/>
      <c r="W3660" s="83"/>
    </row>
    <row r="3661" spans="20:23" x14ac:dyDescent="0.25">
      <c r="T3661" s="113"/>
      <c r="U3661" s="111"/>
      <c r="W3661" s="83"/>
    </row>
    <row r="3662" spans="20:23" x14ac:dyDescent="0.25">
      <c r="T3662" s="113"/>
      <c r="U3662" s="111"/>
      <c r="W3662" s="83"/>
    </row>
    <row r="3663" spans="20:23" x14ac:dyDescent="0.25">
      <c r="T3663" s="113"/>
      <c r="U3663" s="111"/>
      <c r="W3663" s="83"/>
    </row>
    <row r="3664" spans="20:23" x14ac:dyDescent="0.25">
      <c r="T3664" s="113"/>
      <c r="U3664" s="111"/>
      <c r="W3664" s="83"/>
    </row>
    <row r="3665" spans="20:23" x14ac:dyDescent="0.25">
      <c r="T3665" s="113"/>
      <c r="U3665" s="111"/>
      <c r="W3665" s="83"/>
    </row>
    <row r="3666" spans="20:23" x14ac:dyDescent="0.25">
      <c r="T3666" s="113"/>
      <c r="U3666" s="111"/>
      <c r="W3666" s="83"/>
    </row>
    <row r="3667" spans="20:23" x14ac:dyDescent="0.25">
      <c r="T3667" s="113"/>
      <c r="U3667" s="111"/>
      <c r="W3667" s="83"/>
    </row>
    <row r="3668" spans="20:23" x14ac:dyDescent="0.25">
      <c r="T3668" s="113"/>
      <c r="U3668" s="111"/>
      <c r="W3668" s="83"/>
    </row>
    <row r="3669" spans="20:23" x14ac:dyDescent="0.25">
      <c r="T3669" s="113"/>
      <c r="U3669" s="111"/>
      <c r="W3669" s="83"/>
    </row>
    <row r="3670" spans="20:23" x14ac:dyDescent="0.25">
      <c r="T3670" s="113"/>
      <c r="U3670" s="111"/>
      <c r="W3670" s="83"/>
    </row>
    <row r="3671" spans="20:23" x14ac:dyDescent="0.25">
      <c r="T3671" s="113"/>
      <c r="U3671" s="111"/>
      <c r="W3671" s="83"/>
    </row>
    <row r="3672" spans="20:23" x14ac:dyDescent="0.25">
      <c r="T3672" s="113"/>
      <c r="U3672" s="111"/>
      <c r="W3672" s="83"/>
    </row>
    <row r="3673" spans="20:23" x14ac:dyDescent="0.25">
      <c r="T3673" s="113"/>
      <c r="U3673" s="111"/>
      <c r="W3673" s="83"/>
    </row>
    <row r="3674" spans="20:23" x14ac:dyDescent="0.25">
      <c r="T3674" s="113"/>
      <c r="U3674" s="111"/>
      <c r="W3674" s="83"/>
    </row>
    <row r="3675" spans="20:23" x14ac:dyDescent="0.25">
      <c r="T3675" s="113"/>
      <c r="U3675" s="111"/>
      <c r="W3675" s="83"/>
    </row>
    <row r="3676" spans="20:23" x14ac:dyDescent="0.25">
      <c r="T3676" s="113"/>
      <c r="U3676" s="111"/>
      <c r="W3676" s="83"/>
    </row>
    <row r="3677" spans="20:23" x14ac:dyDescent="0.25">
      <c r="T3677" s="113"/>
      <c r="U3677" s="111"/>
      <c r="W3677" s="83"/>
    </row>
    <row r="3678" spans="20:23" x14ac:dyDescent="0.25">
      <c r="T3678" s="113"/>
      <c r="U3678" s="111"/>
      <c r="W3678" s="83"/>
    </row>
    <row r="3679" spans="20:23" x14ac:dyDescent="0.25">
      <c r="T3679" s="113"/>
      <c r="U3679" s="111"/>
      <c r="W3679" s="83"/>
    </row>
    <row r="3680" spans="20:23" x14ac:dyDescent="0.25">
      <c r="T3680" s="113"/>
      <c r="U3680" s="111"/>
      <c r="W3680" s="83"/>
    </row>
    <row r="3681" spans="20:23" x14ac:dyDescent="0.25">
      <c r="T3681" s="113"/>
      <c r="U3681" s="111"/>
      <c r="W3681" s="83"/>
    </row>
    <row r="3682" spans="20:23" x14ac:dyDescent="0.25">
      <c r="T3682" s="113"/>
      <c r="U3682" s="111"/>
      <c r="W3682" s="83"/>
    </row>
    <row r="3683" spans="20:23" x14ac:dyDescent="0.25">
      <c r="T3683" s="113"/>
      <c r="U3683" s="111"/>
      <c r="W3683" s="83"/>
    </row>
    <row r="3684" spans="20:23" x14ac:dyDescent="0.25">
      <c r="T3684" s="113"/>
      <c r="U3684" s="111"/>
      <c r="W3684" s="83"/>
    </row>
    <row r="3685" spans="20:23" x14ac:dyDescent="0.25">
      <c r="T3685" s="113"/>
      <c r="U3685" s="111"/>
      <c r="W3685" s="83"/>
    </row>
    <row r="3686" spans="20:23" x14ac:dyDescent="0.25">
      <c r="T3686" s="113"/>
      <c r="U3686" s="111"/>
      <c r="W3686" s="83"/>
    </row>
    <row r="3687" spans="20:23" x14ac:dyDescent="0.25">
      <c r="T3687" s="113"/>
      <c r="U3687" s="111"/>
      <c r="W3687" s="83"/>
    </row>
    <row r="3688" spans="20:23" x14ac:dyDescent="0.25">
      <c r="T3688" s="113"/>
      <c r="U3688" s="111"/>
      <c r="W3688" s="83"/>
    </row>
    <row r="3689" spans="20:23" x14ac:dyDescent="0.25">
      <c r="T3689" s="113"/>
      <c r="U3689" s="111"/>
      <c r="W3689" s="83"/>
    </row>
    <row r="3690" spans="20:23" x14ac:dyDescent="0.25">
      <c r="T3690" s="113"/>
      <c r="U3690" s="111"/>
      <c r="W3690" s="83"/>
    </row>
    <row r="3691" spans="20:23" x14ac:dyDescent="0.25">
      <c r="T3691" s="113"/>
      <c r="U3691" s="111"/>
      <c r="W3691" s="83"/>
    </row>
    <row r="3692" spans="20:23" x14ac:dyDescent="0.25">
      <c r="T3692" s="113"/>
      <c r="U3692" s="111"/>
      <c r="W3692" s="83"/>
    </row>
    <row r="3693" spans="20:23" x14ac:dyDescent="0.25">
      <c r="T3693" s="113"/>
      <c r="U3693" s="111"/>
      <c r="W3693" s="83"/>
    </row>
    <row r="3694" spans="20:23" x14ac:dyDescent="0.25">
      <c r="T3694" s="113"/>
      <c r="U3694" s="111"/>
      <c r="W3694" s="83"/>
    </row>
    <row r="3695" spans="20:23" x14ac:dyDescent="0.25">
      <c r="T3695" s="113"/>
      <c r="U3695" s="111"/>
      <c r="W3695" s="83"/>
    </row>
    <row r="3696" spans="20:23" x14ac:dyDescent="0.25">
      <c r="T3696" s="113"/>
      <c r="U3696" s="111"/>
      <c r="W3696" s="83"/>
    </row>
    <row r="3697" spans="20:23" x14ac:dyDescent="0.25">
      <c r="T3697" s="113"/>
      <c r="U3697" s="111"/>
      <c r="W3697" s="83"/>
    </row>
    <row r="3698" spans="20:23" x14ac:dyDescent="0.25">
      <c r="T3698" s="113"/>
      <c r="U3698" s="111"/>
      <c r="W3698" s="83"/>
    </row>
    <row r="3699" spans="20:23" x14ac:dyDescent="0.25">
      <c r="T3699" s="113"/>
      <c r="U3699" s="111"/>
      <c r="W3699" s="83"/>
    </row>
    <row r="3700" spans="20:23" x14ac:dyDescent="0.25">
      <c r="T3700" s="113"/>
      <c r="U3700" s="111"/>
      <c r="W3700" s="83"/>
    </row>
    <row r="3701" spans="20:23" x14ac:dyDescent="0.25">
      <c r="T3701" s="113"/>
      <c r="U3701" s="111"/>
      <c r="W3701" s="83"/>
    </row>
    <row r="3702" spans="20:23" x14ac:dyDescent="0.25">
      <c r="T3702" s="113"/>
      <c r="U3702" s="111"/>
      <c r="W3702" s="83"/>
    </row>
    <row r="3703" spans="20:23" x14ac:dyDescent="0.25">
      <c r="T3703" s="113"/>
      <c r="U3703" s="111"/>
      <c r="W3703" s="83"/>
    </row>
    <row r="3704" spans="20:23" x14ac:dyDescent="0.25">
      <c r="T3704" s="113"/>
      <c r="U3704" s="111"/>
      <c r="W3704" s="83"/>
    </row>
    <row r="3705" spans="20:23" x14ac:dyDescent="0.25">
      <c r="T3705" s="113"/>
      <c r="U3705" s="111"/>
      <c r="W3705" s="83"/>
    </row>
    <row r="3706" spans="20:23" x14ac:dyDescent="0.25">
      <c r="T3706" s="113"/>
      <c r="U3706" s="111"/>
      <c r="W3706" s="83"/>
    </row>
    <row r="3707" spans="20:23" x14ac:dyDescent="0.25">
      <c r="T3707" s="113"/>
      <c r="U3707" s="111"/>
      <c r="W3707" s="83"/>
    </row>
    <row r="3708" spans="20:23" x14ac:dyDescent="0.25">
      <c r="T3708" s="113"/>
      <c r="U3708" s="111"/>
      <c r="W3708" s="83"/>
    </row>
    <row r="3709" spans="20:23" x14ac:dyDescent="0.25">
      <c r="T3709" s="113"/>
      <c r="U3709" s="111"/>
      <c r="W3709" s="83"/>
    </row>
    <row r="3710" spans="20:23" x14ac:dyDescent="0.25">
      <c r="T3710" s="113"/>
      <c r="U3710" s="111"/>
      <c r="W3710" s="83"/>
    </row>
    <row r="3711" spans="20:23" x14ac:dyDescent="0.25">
      <c r="T3711" s="113"/>
      <c r="U3711" s="111"/>
      <c r="W3711" s="83"/>
    </row>
    <row r="3712" spans="20:23" x14ac:dyDescent="0.25">
      <c r="T3712" s="113"/>
      <c r="U3712" s="111"/>
      <c r="W3712" s="83"/>
    </row>
    <row r="3713" spans="20:23" x14ac:dyDescent="0.25">
      <c r="T3713" s="113"/>
      <c r="U3713" s="111"/>
      <c r="W3713" s="83"/>
    </row>
    <row r="3714" spans="20:23" x14ac:dyDescent="0.25">
      <c r="T3714" s="113"/>
      <c r="U3714" s="111"/>
      <c r="W3714" s="83"/>
    </row>
    <row r="3715" spans="20:23" x14ac:dyDescent="0.25">
      <c r="T3715" s="113"/>
      <c r="U3715" s="111"/>
      <c r="W3715" s="83"/>
    </row>
    <row r="3716" spans="20:23" x14ac:dyDescent="0.25">
      <c r="T3716" s="113"/>
      <c r="U3716" s="111"/>
      <c r="W3716" s="83"/>
    </row>
    <row r="3717" spans="20:23" x14ac:dyDescent="0.25">
      <c r="T3717" s="113"/>
      <c r="U3717" s="111"/>
      <c r="W3717" s="83"/>
    </row>
    <row r="3718" spans="20:23" x14ac:dyDescent="0.25">
      <c r="T3718" s="113"/>
      <c r="U3718" s="111"/>
      <c r="W3718" s="83"/>
    </row>
    <row r="3719" spans="20:23" x14ac:dyDescent="0.25">
      <c r="T3719" s="113"/>
      <c r="U3719" s="111"/>
      <c r="W3719" s="83"/>
    </row>
    <row r="3720" spans="20:23" x14ac:dyDescent="0.25">
      <c r="T3720" s="113"/>
      <c r="U3720" s="111"/>
      <c r="W3720" s="83"/>
    </row>
    <row r="3721" spans="20:23" x14ac:dyDescent="0.25">
      <c r="T3721" s="113"/>
      <c r="U3721" s="111"/>
      <c r="W3721" s="83"/>
    </row>
    <row r="3722" spans="20:23" x14ac:dyDescent="0.25">
      <c r="T3722" s="113"/>
      <c r="U3722" s="111"/>
      <c r="W3722" s="83"/>
    </row>
    <row r="3723" spans="20:23" x14ac:dyDescent="0.25">
      <c r="T3723" s="113"/>
      <c r="U3723" s="111"/>
      <c r="W3723" s="83"/>
    </row>
    <row r="3724" spans="20:23" x14ac:dyDescent="0.25">
      <c r="T3724" s="113"/>
      <c r="U3724" s="111"/>
      <c r="W3724" s="83"/>
    </row>
    <row r="3725" spans="20:23" x14ac:dyDescent="0.25">
      <c r="T3725" s="113"/>
      <c r="U3725" s="111"/>
      <c r="W3725" s="83"/>
    </row>
    <row r="3726" spans="20:23" x14ac:dyDescent="0.25">
      <c r="T3726" s="113"/>
      <c r="U3726" s="111"/>
      <c r="W3726" s="83"/>
    </row>
    <row r="3727" spans="20:23" x14ac:dyDescent="0.25">
      <c r="T3727" s="113"/>
      <c r="U3727" s="111"/>
      <c r="W3727" s="83"/>
    </row>
    <row r="3728" spans="20:23" x14ac:dyDescent="0.25">
      <c r="T3728" s="113"/>
      <c r="U3728" s="111"/>
      <c r="W3728" s="83"/>
    </row>
    <row r="3729" spans="20:23" x14ac:dyDescent="0.25">
      <c r="T3729" s="113"/>
      <c r="U3729" s="111"/>
      <c r="W3729" s="83"/>
    </row>
    <row r="3730" spans="20:23" x14ac:dyDescent="0.25">
      <c r="T3730" s="113"/>
      <c r="U3730" s="111"/>
      <c r="W3730" s="83"/>
    </row>
    <row r="3731" spans="20:23" x14ac:dyDescent="0.25">
      <c r="T3731" s="113"/>
      <c r="U3731" s="111"/>
      <c r="W3731" s="83"/>
    </row>
    <row r="3732" spans="20:23" x14ac:dyDescent="0.25">
      <c r="T3732" s="113"/>
      <c r="U3732" s="111"/>
      <c r="W3732" s="83"/>
    </row>
    <row r="3733" spans="20:23" x14ac:dyDescent="0.25">
      <c r="T3733" s="113"/>
      <c r="U3733" s="111"/>
      <c r="W3733" s="83"/>
    </row>
    <row r="3734" spans="20:23" x14ac:dyDescent="0.25">
      <c r="T3734" s="113"/>
      <c r="U3734" s="111"/>
      <c r="W3734" s="83"/>
    </row>
    <row r="3735" spans="20:23" x14ac:dyDescent="0.25">
      <c r="T3735" s="113"/>
      <c r="U3735" s="111"/>
      <c r="W3735" s="83"/>
    </row>
    <row r="3736" spans="20:23" x14ac:dyDescent="0.25">
      <c r="T3736" s="113"/>
      <c r="U3736" s="111"/>
      <c r="W3736" s="83"/>
    </row>
    <row r="3737" spans="20:23" x14ac:dyDescent="0.25">
      <c r="T3737" s="113"/>
      <c r="U3737" s="111"/>
      <c r="W3737" s="83"/>
    </row>
    <row r="3738" spans="20:23" x14ac:dyDescent="0.25">
      <c r="T3738" s="113"/>
      <c r="U3738" s="111"/>
      <c r="W3738" s="83"/>
    </row>
    <row r="3739" spans="20:23" x14ac:dyDescent="0.25">
      <c r="T3739" s="113"/>
      <c r="U3739" s="111"/>
      <c r="W3739" s="83"/>
    </row>
    <row r="3740" spans="20:23" x14ac:dyDescent="0.25">
      <c r="T3740" s="113"/>
      <c r="U3740" s="111"/>
      <c r="W3740" s="83"/>
    </row>
    <row r="3741" spans="20:23" x14ac:dyDescent="0.25">
      <c r="T3741" s="113"/>
      <c r="U3741" s="111"/>
      <c r="W3741" s="83"/>
    </row>
    <row r="3742" spans="20:23" x14ac:dyDescent="0.25">
      <c r="T3742" s="113"/>
      <c r="U3742" s="111"/>
      <c r="W3742" s="83"/>
    </row>
    <row r="3743" spans="20:23" x14ac:dyDescent="0.25">
      <c r="T3743" s="113"/>
      <c r="U3743" s="111"/>
      <c r="W3743" s="83"/>
    </row>
    <row r="3744" spans="20:23" x14ac:dyDescent="0.25">
      <c r="T3744" s="113"/>
      <c r="U3744" s="111"/>
      <c r="W3744" s="83"/>
    </row>
    <row r="3745" spans="20:23" x14ac:dyDescent="0.25">
      <c r="T3745" s="113"/>
      <c r="U3745" s="111"/>
      <c r="W3745" s="83"/>
    </row>
    <row r="3746" spans="20:23" x14ac:dyDescent="0.25">
      <c r="T3746" s="113"/>
      <c r="U3746" s="111"/>
      <c r="W3746" s="83"/>
    </row>
    <row r="3747" spans="20:23" x14ac:dyDescent="0.25">
      <c r="T3747" s="113"/>
      <c r="U3747" s="111"/>
      <c r="W3747" s="83"/>
    </row>
    <row r="3748" spans="20:23" x14ac:dyDescent="0.25">
      <c r="T3748" s="113"/>
      <c r="U3748" s="111"/>
      <c r="W3748" s="83"/>
    </row>
    <row r="3749" spans="20:23" x14ac:dyDescent="0.25">
      <c r="T3749" s="113"/>
      <c r="U3749" s="111"/>
      <c r="W3749" s="83"/>
    </row>
    <row r="3750" spans="20:23" x14ac:dyDescent="0.25">
      <c r="T3750" s="113"/>
      <c r="U3750" s="111"/>
      <c r="W3750" s="83"/>
    </row>
    <row r="3751" spans="20:23" x14ac:dyDescent="0.25">
      <c r="T3751" s="113"/>
      <c r="U3751" s="111"/>
      <c r="W3751" s="83"/>
    </row>
    <row r="3752" spans="20:23" x14ac:dyDescent="0.25">
      <c r="T3752" s="113"/>
      <c r="U3752" s="111"/>
      <c r="W3752" s="83"/>
    </row>
    <row r="3753" spans="20:23" x14ac:dyDescent="0.25">
      <c r="T3753" s="113"/>
      <c r="U3753" s="111"/>
      <c r="W3753" s="83"/>
    </row>
    <row r="3754" spans="20:23" x14ac:dyDescent="0.25">
      <c r="T3754" s="113"/>
      <c r="U3754" s="111"/>
      <c r="W3754" s="83"/>
    </row>
    <row r="3755" spans="20:23" x14ac:dyDescent="0.25">
      <c r="T3755" s="113"/>
      <c r="U3755" s="111"/>
      <c r="W3755" s="83"/>
    </row>
    <row r="3756" spans="20:23" x14ac:dyDescent="0.25">
      <c r="T3756" s="113"/>
      <c r="U3756" s="111"/>
      <c r="W3756" s="83"/>
    </row>
    <row r="3757" spans="20:23" x14ac:dyDescent="0.25">
      <c r="T3757" s="113"/>
      <c r="U3757" s="111"/>
      <c r="W3757" s="83"/>
    </row>
    <row r="3758" spans="20:23" x14ac:dyDescent="0.25">
      <c r="T3758" s="113"/>
      <c r="U3758" s="111"/>
      <c r="W3758" s="83"/>
    </row>
    <row r="3759" spans="20:23" x14ac:dyDescent="0.25">
      <c r="T3759" s="113"/>
      <c r="U3759" s="111"/>
      <c r="W3759" s="83"/>
    </row>
    <row r="3760" spans="20:23" x14ac:dyDescent="0.25">
      <c r="T3760" s="113"/>
      <c r="U3760" s="111"/>
      <c r="W3760" s="83"/>
    </row>
    <row r="3761" spans="20:23" x14ac:dyDescent="0.25">
      <c r="T3761" s="113"/>
      <c r="U3761" s="111"/>
      <c r="W3761" s="83"/>
    </row>
    <row r="3762" spans="20:23" x14ac:dyDescent="0.25">
      <c r="T3762" s="113"/>
      <c r="U3762" s="111"/>
      <c r="W3762" s="83"/>
    </row>
    <row r="3763" spans="20:23" x14ac:dyDescent="0.25">
      <c r="T3763" s="113"/>
      <c r="U3763" s="111"/>
      <c r="W3763" s="83"/>
    </row>
    <row r="3764" spans="20:23" x14ac:dyDescent="0.25">
      <c r="T3764" s="113"/>
      <c r="U3764" s="111"/>
      <c r="W3764" s="83"/>
    </row>
    <row r="3765" spans="20:23" x14ac:dyDescent="0.25">
      <c r="T3765" s="113"/>
      <c r="U3765" s="111"/>
      <c r="W3765" s="83"/>
    </row>
    <row r="3766" spans="20:23" x14ac:dyDescent="0.25">
      <c r="T3766" s="113"/>
      <c r="U3766" s="111"/>
      <c r="W3766" s="83"/>
    </row>
    <row r="3767" spans="20:23" x14ac:dyDescent="0.25">
      <c r="T3767" s="113"/>
      <c r="U3767" s="111"/>
      <c r="W3767" s="83"/>
    </row>
    <row r="3768" spans="20:23" x14ac:dyDescent="0.25">
      <c r="T3768" s="113"/>
      <c r="U3768" s="111"/>
      <c r="W3768" s="83"/>
    </row>
    <row r="3769" spans="20:23" x14ac:dyDescent="0.25">
      <c r="T3769" s="113"/>
      <c r="U3769" s="111"/>
      <c r="W3769" s="83"/>
    </row>
    <row r="3770" spans="20:23" x14ac:dyDescent="0.25">
      <c r="T3770" s="113"/>
      <c r="U3770" s="111"/>
      <c r="W3770" s="83"/>
    </row>
    <row r="3771" spans="20:23" x14ac:dyDescent="0.25">
      <c r="T3771" s="113"/>
      <c r="U3771" s="111"/>
      <c r="W3771" s="83"/>
    </row>
    <row r="3772" spans="20:23" x14ac:dyDescent="0.25">
      <c r="T3772" s="113"/>
      <c r="U3772" s="111"/>
      <c r="W3772" s="83"/>
    </row>
    <row r="3773" spans="20:23" x14ac:dyDescent="0.25">
      <c r="T3773" s="113"/>
      <c r="U3773" s="111"/>
      <c r="W3773" s="83"/>
    </row>
    <row r="3774" spans="20:23" x14ac:dyDescent="0.25">
      <c r="T3774" s="113"/>
      <c r="U3774" s="111"/>
      <c r="W3774" s="83"/>
    </row>
    <row r="3775" spans="20:23" x14ac:dyDescent="0.25">
      <c r="T3775" s="113"/>
      <c r="U3775" s="111"/>
      <c r="W3775" s="83"/>
    </row>
    <row r="3776" spans="20:23" x14ac:dyDescent="0.25">
      <c r="T3776" s="113"/>
      <c r="U3776" s="111"/>
      <c r="W3776" s="83"/>
    </row>
    <row r="3777" spans="20:23" x14ac:dyDescent="0.25">
      <c r="T3777" s="113"/>
      <c r="U3777" s="111"/>
      <c r="W3777" s="83"/>
    </row>
    <row r="3778" spans="20:23" x14ac:dyDescent="0.25">
      <c r="T3778" s="113"/>
      <c r="U3778" s="111"/>
      <c r="W3778" s="83"/>
    </row>
    <row r="3779" spans="20:23" x14ac:dyDescent="0.25">
      <c r="T3779" s="113"/>
      <c r="U3779" s="111"/>
      <c r="W3779" s="83"/>
    </row>
    <row r="3780" spans="20:23" x14ac:dyDescent="0.25">
      <c r="T3780" s="113"/>
      <c r="U3780" s="111"/>
      <c r="W3780" s="83"/>
    </row>
    <row r="3781" spans="20:23" x14ac:dyDescent="0.25">
      <c r="T3781" s="113"/>
      <c r="U3781" s="111"/>
      <c r="W3781" s="83"/>
    </row>
    <row r="3782" spans="20:23" x14ac:dyDescent="0.25">
      <c r="T3782" s="113"/>
      <c r="U3782" s="111"/>
      <c r="W3782" s="83"/>
    </row>
    <row r="3783" spans="20:23" x14ac:dyDescent="0.25">
      <c r="T3783" s="113"/>
      <c r="U3783" s="111"/>
      <c r="W3783" s="83"/>
    </row>
    <row r="3784" spans="20:23" x14ac:dyDescent="0.25">
      <c r="T3784" s="113"/>
      <c r="U3784" s="111"/>
      <c r="W3784" s="83"/>
    </row>
    <row r="3785" spans="20:23" x14ac:dyDescent="0.25">
      <c r="T3785" s="113"/>
      <c r="U3785" s="111"/>
      <c r="W3785" s="83"/>
    </row>
    <row r="3786" spans="20:23" x14ac:dyDescent="0.25">
      <c r="T3786" s="113"/>
      <c r="U3786" s="111"/>
      <c r="W3786" s="83"/>
    </row>
    <row r="3787" spans="20:23" x14ac:dyDescent="0.25">
      <c r="T3787" s="113"/>
      <c r="U3787" s="111"/>
      <c r="W3787" s="83"/>
    </row>
    <row r="3788" spans="20:23" x14ac:dyDescent="0.25">
      <c r="T3788" s="113"/>
      <c r="U3788" s="111"/>
      <c r="W3788" s="83"/>
    </row>
    <row r="3789" spans="20:23" x14ac:dyDescent="0.25">
      <c r="T3789" s="113"/>
      <c r="U3789" s="111"/>
      <c r="W3789" s="83"/>
    </row>
    <row r="3790" spans="20:23" x14ac:dyDescent="0.25">
      <c r="T3790" s="113"/>
      <c r="U3790" s="111"/>
      <c r="W3790" s="83"/>
    </row>
    <row r="3791" spans="20:23" x14ac:dyDescent="0.25">
      <c r="T3791" s="113"/>
      <c r="U3791" s="111"/>
      <c r="W3791" s="83"/>
    </row>
    <row r="3792" spans="20:23" x14ac:dyDescent="0.25">
      <c r="T3792" s="113"/>
      <c r="U3792" s="111"/>
      <c r="W3792" s="83"/>
    </row>
    <row r="3793" spans="20:23" x14ac:dyDescent="0.25">
      <c r="T3793" s="113"/>
      <c r="U3793" s="111"/>
      <c r="W3793" s="83"/>
    </row>
    <row r="3794" spans="20:23" x14ac:dyDescent="0.25">
      <c r="T3794" s="113"/>
      <c r="U3794" s="111"/>
      <c r="W3794" s="83"/>
    </row>
    <row r="3795" spans="20:23" x14ac:dyDescent="0.25">
      <c r="T3795" s="113"/>
      <c r="U3795" s="111"/>
      <c r="W3795" s="83"/>
    </row>
    <row r="3796" spans="20:23" x14ac:dyDescent="0.25">
      <c r="T3796" s="113"/>
      <c r="U3796" s="111"/>
      <c r="W3796" s="83"/>
    </row>
    <row r="3797" spans="20:23" x14ac:dyDescent="0.25">
      <c r="T3797" s="113"/>
      <c r="U3797" s="111"/>
      <c r="W3797" s="83"/>
    </row>
    <row r="3798" spans="20:23" x14ac:dyDescent="0.25">
      <c r="T3798" s="113"/>
      <c r="U3798" s="111"/>
      <c r="W3798" s="83"/>
    </row>
    <row r="3799" spans="20:23" x14ac:dyDescent="0.25">
      <c r="T3799" s="113"/>
      <c r="U3799" s="111"/>
      <c r="W3799" s="83"/>
    </row>
    <row r="3800" spans="20:23" x14ac:dyDescent="0.25">
      <c r="T3800" s="113"/>
      <c r="U3800" s="111"/>
      <c r="W3800" s="83"/>
    </row>
    <row r="3801" spans="20:23" x14ac:dyDescent="0.25">
      <c r="T3801" s="113"/>
      <c r="U3801" s="111"/>
      <c r="W3801" s="83"/>
    </row>
    <row r="3802" spans="20:23" x14ac:dyDescent="0.25">
      <c r="T3802" s="113"/>
      <c r="U3802" s="111"/>
      <c r="W3802" s="83"/>
    </row>
    <row r="3803" spans="20:23" x14ac:dyDescent="0.25">
      <c r="T3803" s="113"/>
      <c r="U3803" s="111"/>
      <c r="W3803" s="83"/>
    </row>
    <row r="3804" spans="20:23" x14ac:dyDescent="0.25">
      <c r="T3804" s="113"/>
      <c r="U3804" s="111"/>
      <c r="W3804" s="83"/>
    </row>
    <row r="3805" spans="20:23" x14ac:dyDescent="0.25">
      <c r="T3805" s="113"/>
      <c r="U3805" s="111"/>
      <c r="W3805" s="83"/>
    </row>
    <row r="3806" spans="20:23" x14ac:dyDescent="0.25">
      <c r="T3806" s="113"/>
      <c r="U3806" s="111"/>
      <c r="W3806" s="83"/>
    </row>
    <row r="3807" spans="20:23" x14ac:dyDescent="0.25">
      <c r="T3807" s="113"/>
      <c r="U3807" s="111"/>
      <c r="W3807" s="83"/>
    </row>
    <row r="3808" spans="20:23" x14ac:dyDescent="0.25">
      <c r="T3808" s="113"/>
      <c r="U3808" s="111"/>
      <c r="W3808" s="83"/>
    </row>
    <row r="3809" spans="20:23" x14ac:dyDescent="0.25">
      <c r="T3809" s="113"/>
      <c r="U3809" s="111"/>
      <c r="W3809" s="83"/>
    </row>
    <row r="3810" spans="20:23" x14ac:dyDescent="0.25">
      <c r="T3810" s="113"/>
      <c r="U3810" s="111"/>
      <c r="W3810" s="83"/>
    </row>
    <row r="3811" spans="20:23" x14ac:dyDescent="0.25">
      <c r="T3811" s="113"/>
      <c r="U3811" s="111"/>
      <c r="W3811" s="83"/>
    </row>
    <row r="3812" spans="20:23" x14ac:dyDescent="0.25">
      <c r="T3812" s="113"/>
      <c r="U3812" s="111"/>
      <c r="W3812" s="83"/>
    </row>
    <row r="3813" spans="20:23" x14ac:dyDescent="0.25">
      <c r="T3813" s="113"/>
      <c r="U3813" s="111"/>
      <c r="W3813" s="83"/>
    </row>
    <row r="3814" spans="20:23" x14ac:dyDescent="0.25">
      <c r="T3814" s="113"/>
      <c r="U3814" s="111"/>
      <c r="W3814" s="83"/>
    </row>
    <row r="3815" spans="20:23" x14ac:dyDescent="0.25">
      <c r="T3815" s="113"/>
      <c r="U3815" s="111"/>
      <c r="W3815" s="83"/>
    </row>
    <row r="3816" spans="20:23" x14ac:dyDescent="0.25">
      <c r="T3816" s="113"/>
      <c r="U3816" s="111"/>
      <c r="W3816" s="83"/>
    </row>
    <row r="3817" spans="20:23" x14ac:dyDescent="0.25">
      <c r="T3817" s="113"/>
      <c r="U3817" s="111"/>
      <c r="W3817" s="83"/>
    </row>
    <row r="3818" spans="20:23" x14ac:dyDescent="0.25">
      <c r="T3818" s="113"/>
      <c r="U3818" s="111"/>
      <c r="W3818" s="83"/>
    </row>
    <row r="3819" spans="20:23" x14ac:dyDescent="0.25">
      <c r="T3819" s="113"/>
      <c r="U3819" s="111"/>
      <c r="W3819" s="83"/>
    </row>
    <row r="3820" spans="20:23" x14ac:dyDescent="0.25">
      <c r="T3820" s="113"/>
      <c r="U3820" s="111"/>
      <c r="W3820" s="83"/>
    </row>
    <row r="3821" spans="20:23" x14ac:dyDescent="0.25">
      <c r="T3821" s="113"/>
      <c r="U3821" s="111"/>
      <c r="W3821" s="83"/>
    </row>
    <row r="3822" spans="20:23" x14ac:dyDescent="0.25">
      <c r="T3822" s="113"/>
      <c r="U3822" s="111"/>
      <c r="W3822" s="83"/>
    </row>
    <row r="3823" spans="20:23" x14ac:dyDescent="0.25">
      <c r="T3823" s="113"/>
      <c r="U3823" s="111"/>
      <c r="W3823" s="83"/>
    </row>
    <row r="3824" spans="20:23" x14ac:dyDescent="0.25">
      <c r="T3824" s="113"/>
      <c r="U3824" s="111"/>
      <c r="W3824" s="83"/>
    </row>
    <row r="3825" spans="20:23" x14ac:dyDescent="0.25">
      <c r="T3825" s="113"/>
      <c r="U3825" s="111"/>
      <c r="W3825" s="83"/>
    </row>
    <row r="3826" spans="20:23" x14ac:dyDescent="0.25">
      <c r="T3826" s="113"/>
      <c r="U3826" s="111"/>
      <c r="W3826" s="83"/>
    </row>
    <row r="3827" spans="20:23" x14ac:dyDescent="0.25">
      <c r="T3827" s="113"/>
      <c r="U3827" s="111"/>
      <c r="W3827" s="83"/>
    </row>
    <row r="3828" spans="20:23" x14ac:dyDescent="0.25">
      <c r="T3828" s="113"/>
      <c r="U3828" s="111"/>
      <c r="W3828" s="83"/>
    </row>
    <row r="3829" spans="20:23" x14ac:dyDescent="0.25">
      <c r="T3829" s="113"/>
      <c r="U3829" s="111"/>
      <c r="W3829" s="83"/>
    </row>
    <row r="3830" spans="20:23" x14ac:dyDescent="0.25">
      <c r="T3830" s="113"/>
      <c r="U3830" s="111"/>
      <c r="W3830" s="83"/>
    </row>
    <row r="3831" spans="20:23" x14ac:dyDescent="0.25">
      <c r="T3831" s="113"/>
      <c r="U3831" s="111"/>
      <c r="W3831" s="83"/>
    </row>
    <row r="3832" spans="20:23" x14ac:dyDescent="0.25">
      <c r="T3832" s="113"/>
      <c r="U3832" s="111"/>
      <c r="W3832" s="83"/>
    </row>
    <row r="3833" spans="20:23" x14ac:dyDescent="0.25">
      <c r="T3833" s="113"/>
      <c r="U3833" s="111"/>
      <c r="W3833" s="83"/>
    </row>
    <row r="3834" spans="20:23" x14ac:dyDescent="0.25">
      <c r="T3834" s="113"/>
      <c r="U3834" s="111"/>
      <c r="W3834" s="83"/>
    </row>
    <row r="3835" spans="20:23" x14ac:dyDescent="0.25">
      <c r="T3835" s="113"/>
      <c r="U3835" s="111"/>
      <c r="W3835" s="83"/>
    </row>
    <row r="3836" spans="20:23" x14ac:dyDescent="0.25">
      <c r="T3836" s="113"/>
      <c r="U3836" s="111"/>
      <c r="W3836" s="83"/>
    </row>
    <row r="3837" spans="20:23" x14ac:dyDescent="0.25">
      <c r="T3837" s="113"/>
      <c r="U3837" s="111"/>
      <c r="W3837" s="83"/>
    </row>
    <row r="3838" spans="20:23" x14ac:dyDescent="0.25">
      <c r="T3838" s="113"/>
      <c r="U3838" s="111"/>
      <c r="W3838" s="83"/>
    </row>
    <row r="3839" spans="20:23" x14ac:dyDescent="0.25">
      <c r="T3839" s="113"/>
      <c r="U3839" s="111"/>
      <c r="W3839" s="83"/>
    </row>
    <row r="3840" spans="20:23" x14ac:dyDescent="0.25">
      <c r="T3840" s="113"/>
      <c r="U3840" s="111"/>
      <c r="W3840" s="83"/>
    </row>
    <row r="3841" spans="20:23" x14ac:dyDescent="0.25">
      <c r="T3841" s="113"/>
      <c r="U3841" s="111"/>
      <c r="W3841" s="83"/>
    </row>
    <row r="3842" spans="20:23" x14ac:dyDescent="0.25">
      <c r="T3842" s="113"/>
      <c r="U3842" s="111"/>
      <c r="W3842" s="83"/>
    </row>
    <row r="3843" spans="20:23" x14ac:dyDescent="0.25">
      <c r="T3843" s="113"/>
      <c r="U3843" s="111"/>
      <c r="W3843" s="83"/>
    </row>
    <row r="3844" spans="20:23" x14ac:dyDescent="0.25">
      <c r="T3844" s="113"/>
      <c r="U3844" s="111"/>
      <c r="W3844" s="83"/>
    </row>
    <row r="3845" spans="20:23" x14ac:dyDescent="0.25">
      <c r="T3845" s="113"/>
      <c r="U3845" s="111"/>
      <c r="W3845" s="83"/>
    </row>
    <row r="3846" spans="20:23" x14ac:dyDescent="0.25">
      <c r="T3846" s="113"/>
      <c r="U3846" s="111"/>
      <c r="W3846" s="83"/>
    </row>
    <row r="3847" spans="20:23" x14ac:dyDescent="0.25">
      <c r="T3847" s="113"/>
      <c r="U3847" s="111"/>
      <c r="W3847" s="83"/>
    </row>
    <row r="3848" spans="20:23" x14ac:dyDescent="0.25">
      <c r="T3848" s="113"/>
      <c r="U3848" s="111"/>
      <c r="W3848" s="83"/>
    </row>
    <row r="3849" spans="20:23" x14ac:dyDescent="0.25">
      <c r="T3849" s="113"/>
      <c r="U3849" s="111"/>
      <c r="W3849" s="83"/>
    </row>
    <row r="3850" spans="20:23" x14ac:dyDescent="0.25">
      <c r="T3850" s="113"/>
      <c r="U3850" s="111"/>
      <c r="W3850" s="83"/>
    </row>
    <row r="3851" spans="20:23" x14ac:dyDescent="0.25">
      <c r="T3851" s="113"/>
      <c r="U3851" s="111"/>
      <c r="W3851" s="83"/>
    </row>
    <row r="3852" spans="20:23" x14ac:dyDescent="0.25">
      <c r="T3852" s="113"/>
      <c r="U3852" s="111"/>
      <c r="W3852" s="83"/>
    </row>
    <row r="3853" spans="20:23" x14ac:dyDescent="0.25">
      <c r="T3853" s="113"/>
      <c r="U3853" s="111"/>
      <c r="W3853" s="83"/>
    </row>
    <row r="3854" spans="20:23" x14ac:dyDescent="0.25">
      <c r="T3854" s="113"/>
      <c r="U3854" s="111"/>
      <c r="W3854" s="83"/>
    </row>
    <row r="3855" spans="20:23" x14ac:dyDescent="0.25">
      <c r="T3855" s="113"/>
      <c r="U3855" s="111"/>
      <c r="W3855" s="83"/>
    </row>
    <row r="3856" spans="20:23" x14ac:dyDescent="0.25">
      <c r="T3856" s="113"/>
      <c r="U3856" s="111"/>
      <c r="W3856" s="83"/>
    </row>
    <row r="3857" spans="20:23" x14ac:dyDescent="0.25">
      <c r="T3857" s="113"/>
      <c r="U3857" s="111"/>
      <c r="W3857" s="83"/>
    </row>
    <row r="3858" spans="20:23" x14ac:dyDescent="0.25">
      <c r="T3858" s="113"/>
      <c r="U3858" s="111"/>
      <c r="W3858" s="83"/>
    </row>
    <row r="3859" spans="20:23" x14ac:dyDescent="0.25">
      <c r="T3859" s="113"/>
      <c r="U3859" s="111"/>
      <c r="W3859" s="83"/>
    </row>
    <row r="3860" spans="20:23" x14ac:dyDescent="0.25">
      <c r="T3860" s="113"/>
      <c r="U3860" s="111"/>
      <c r="W3860" s="83"/>
    </row>
    <row r="3861" spans="20:23" x14ac:dyDescent="0.25">
      <c r="T3861" s="113"/>
      <c r="U3861" s="111"/>
      <c r="W3861" s="83"/>
    </row>
    <row r="3862" spans="20:23" x14ac:dyDescent="0.25">
      <c r="T3862" s="113"/>
      <c r="U3862" s="111"/>
      <c r="W3862" s="83"/>
    </row>
    <row r="3863" spans="20:23" x14ac:dyDescent="0.25">
      <c r="T3863" s="113"/>
      <c r="U3863" s="111"/>
      <c r="W3863" s="83"/>
    </row>
    <row r="3864" spans="20:23" x14ac:dyDescent="0.25">
      <c r="T3864" s="113"/>
      <c r="U3864" s="111"/>
      <c r="W3864" s="83"/>
    </row>
    <row r="3865" spans="20:23" x14ac:dyDescent="0.25">
      <c r="T3865" s="113"/>
      <c r="U3865" s="111"/>
      <c r="W3865" s="83"/>
    </row>
    <row r="3866" spans="20:23" x14ac:dyDescent="0.25">
      <c r="T3866" s="113"/>
      <c r="U3866" s="111"/>
      <c r="W3866" s="83"/>
    </row>
    <row r="3867" spans="20:23" x14ac:dyDescent="0.25">
      <c r="T3867" s="113"/>
      <c r="U3867" s="111"/>
      <c r="W3867" s="83"/>
    </row>
    <row r="3868" spans="20:23" x14ac:dyDescent="0.25">
      <c r="T3868" s="113"/>
      <c r="U3868" s="111"/>
      <c r="W3868" s="83"/>
    </row>
    <row r="3869" spans="20:23" x14ac:dyDescent="0.25">
      <c r="T3869" s="113"/>
      <c r="U3869" s="111"/>
      <c r="W3869" s="83"/>
    </row>
    <row r="3870" spans="20:23" x14ac:dyDescent="0.25">
      <c r="T3870" s="113"/>
      <c r="U3870" s="111"/>
      <c r="W3870" s="83"/>
    </row>
    <row r="3871" spans="20:23" x14ac:dyDescent="0.25">
      <c r="T3871" s="113"/>
      <c r="U3871" s="111"/>
      <c r="W3871" s="83"/>
    </row>
    <row r="3872" spans="20:23" x14ac:dyDescent="0.25">
      <c r="T3872" s="113"/>
      <c r="U3872" s="111"/>
      <c r="W3872" s="83"/>
    </row>
    <row r="3873" spans="20:23" x14ac:dyDescent="0.25">
      <c r="T3873" s="113"/>
      <c r="U3873" s="111"/>
      <c r="W3873" s="83"/>
    </row>
    <row r="3874" spans="20:23" x14ac:dyDescent="0.25">
      <c r="T3874" s="113"/>
      <c r="U3874" s="111"/>
      <c r="W3874" s="83"/>
    </row>
    <row r="3875" spans="20:23" x14ac:dyDescent="0.25">
      <c r="T3875" s="113"/>
      <c r="U3875" s="111"/>
      <c r="W3875" s="83"/>
    </row>
    <row r="3876" spans="20:23" x14ac:dyDescent="0.25">
      <c r="T3876" s="113"/>
      <c r="U3876" s="111"/>
      <c r="W3876" s="83"/>
    </row>
    <row r="3877" spans="20:23" x14ac:dyDescent="0.25">
      <c r="T3877" s="113"/>
      <c r="U3877" s="111"/>
      <c r="W3877" s="83"/>
    </row>
    <row r="3878" spans="20:23" x14ac:dyDescent="0.25">
      <c r="T3878" s="113"/>
      <c r="U3878" s="111"/>
      <c r="W3878" s="83"/>
    </row>
    <row r="3879" spans="20:23" x14ac:dyDescent="0.25">
      <c r="T3879" s="113"/>
      <c r="U3879" s="111"/>
      <c r="W3879" s="83"/>
    </row>
    <row r="3880" spans="20:23" x14ac:dyDescent="0.25">
      <c r="T3880" s="113"/>
      <c r="U3880" s="111"/>
      <c r="W3880" s="83"/>
    </row>
    <row r="3881" spans="20:23" x14ac:dyDescent="0.25">
      <c r="T3881" s="113"/>
      <c r="U3881" s="111"/>
      <c r="W3881" s="83"/>
    </row>
    <row r="3882" spans="20:23" x14ac:dyDescent="0.25">
      <c r="T3882" s="113"/>
      <c r="U3882" s="111"/>
      <c r="W3882" s="83"/>
    </row>
    <row r="3883" spans="20:23" x14ac:dyDescent="0.25">
      <c r="T3883" s="113"/>
      <c r="U3883" s="111"/>
      <c r="W3883" s="83"/>
    </row>
    <row r="3884" spans="20:23" x14ac:dyDescent="0.25">
      <c r="T3884" s="113"/>
      <c r="U3884" s="111"/>
      <c r="W3884" s="83"/>
    </row>
    <row r="3885" spans="20:23" x14ac:dyDescent="0.25">
      <c r="T3885" s="113"/>
      <c r="U3885" s="111"/>
      <c r="W3885" s="83"/>
    </row>
    <row r="3886" spans="20:23" x14ac:dyDescent="0.25">
      <c r="T3886" s="113"/>
      <c r="U3886" s="111"/>
      <c r="W3886" s="83"/>
    </row>
    <row r="3887" spans="20:23" x14ac:dyDescent="0.25">
      <c r="T3887" s="113"/>
      <c r="U3887" s="111"/>
      <c r="W3887" s="83"/>
    </row>
    <row r="3888" spans="20:23" x14ac:dyDescent="0.25">
      <c r="T3888" s="113"/>
      <c r="U3888" s="111"/>
      <c r="W3888" s="83"/>
    </row>
    <row r="3889" spans="20:23" x14ac:dyDescent="0.25">
      <c r="T3889" s="113"/>
      <c r="U3889" s="111"/>
      <c r="W3889" s="83"/>
    </row>
    <row r="3890" spans="20:23" x14ac:dyDescent="0.25">
      <c r="T3890" s="113"/>
      <c r="U3890" s="111"/>
      <c r="W3890" s="83"/>
    </row>
    <row r="3891" spans="20:23" x14ac:dyDescent="0.25">
      <c r="T3891" s="113"/>
      <c r="U3891" s="111"/>
      <c r="W3891" s="83"/>
    </row>
    <row r="3892" spans="20:23" x14ac:dyDescent="0.25">
      <c r="T3892" s="113"/>
      <c r="U3892" s="111"/>
      <c r="W3892" s="83"/>
    </row>
    <row r="3893" spans="20:23" x14ac:dyDescent="0.25">
      <c r="T3893" s="113"/>
      <c r="U3893" s="111"/>
      <c r="W3893" s="83"/>
    </row>
    <row r="3894" spans="20:23" x14ac:dyDescent="0.25">
      <c r="T3894" s="113"/>
      <c r="U3894" s="111"/>
      <c r="W3894" s="83"/>
    </row>
    <row r="3895" spans="20:23" x14ac:dyDescent="0.25">
      <c r="T3895" s="113"/>
      <c r="U3895" s="111"/>
      <c r="W3895" s="83"/>
    </row>
    <row r="3896" spans="20:23" x14ac:dyDescent="0.25">
      <c r="T3896" s="113"/>
      <c r="U3896" s="111"/>
      <c r="W3896" s="83"/>
    </row>
    <row r="3897" spans="20:23" x14ac:dyDescent="0.25">
      <c r="T3897" s="113"/>
      <c r="U3897" s="111"/>
      <c r="W3897" s="83"/>
    </row>
    <row r="3898" spans="20:23" x14ac:dyDescent="0.25">
      <c r="T3898" s="113"/>
      <c r="U3898" s="111"/>
      <c r="W3898" s="83"/>
    </row>
    <row r="3899" spans="20:23" x14ac:dyDescent="0.25">
      <c r="T3899" s="113"/>
      <c r="U3899" s="111"/>
      <c r="W3899" s="83"/>
    </row>
    <row r="3900" spans="20:23" x14ac:dyDescent="0.25">
      <c r="T3900" s="113"/>
      <c r="U3900" s="111"/>
      <c r="W3900" s="83"/>
    </row>
    <row r="3901" spans="20:23" x14ac:dyDescent="0.25">
      <c r="T3901" s="113"/>
      <c r="U3901" s="111"/>
      <c r="W3901" s="83"/>
    </row>
    <row r="3902" spans="20:23" x14ac:dyDescent="0.25">
      <c r="T3902" s="113"/>
      <c r="U3902" s="111"/>
      <c r="W3902" s="83"/>
    </row>
    <row r="3903" spans="20:23" x14ac:dyDescent="0.25">
      <c r="T3903" s="113"/>
      <c r="U3903" s="111"/>
      <c r="W3903" s="83"/>
    </row>
    <row r="3904" spans="20:23" x14ac:dyDescent="0.25">
      <c r="T3904" s="113"/>
      <c r="U3904" s="111"/>
      <c r="W3904" s="83"/>
    </row>
    <row r="3905" spans="20:23" x14ac:dyDescent="0.25">
      <c r="T3905" s="113"/>
      <c r="U3905" s="111"/>
      <c r="W3905" s="83"/>
    </row>
    <row r="3906" spans="20:23" x14ac:dyDescent="0.25">
      <c r="T3906" s="113"/>
      <c r="U3906" s="111"/>
      <c r="W3906" s="83"/>
    </row>
    <row r="3907" spans="20:23" x14ac:dyDescent="0.25">
      <c r="T3907" s="113"/>
      <c r="U3907" s="111"/>
      <c r="W3907" s="83"/>
    </row>
    <row r="3908" spans="20:23" x14ac:dyDescent="0.25">
      <c r="T3908" s="113"/>
      <c r="U3908" s="111"/>
      <c r="W3908" s="83"/>
    </row>
    <row r="3909" spans="20:23" x14ac:dyDescent="0.25">
      <c r="T3909" s="113"/>
      <c r="U3909" s="111"/>
      <c r="W3909" s="83"/>
    </row>
    <row r="3910" spans="20:23" x14ac:dyDescent="0.25">
      <c r="T3910" s="113"/>
      <c r="U3910" s="111"/>
      <c r="W3910" s="83"/>
    </row>
    <row r="3911" spans="20:23" x14ac:dyDescent="0.25">
      <c r="T3911" s="113"/>
      <c r="U3911" s="111"/>
      <c r="W3911" s="83"/>
    </row>
    <row r="3912" spans="20:23" x14ac:dyDescent="0.25">
      <c r="T3912" s="113"/>
      <c r="U3912" s="111"/>
      <c r="W3912" s="83"/>
    </row>
    <row r="3913" spans="20:23" x14ac:dyDescent="0.25">
      <c r="T3913" s="113"/>
      <c r="U3913" s="111"/>
      <c r="W3913" s="83"/>
    </row>
    <row r="3914" spans="20:23" x14ac:dyDescent="0.25">
      <c r="T3914" s="113"/>
      <c r="U3914" s="111"/>
      <c r="W3914" s="83"/>
    </row>
    <row r="3915" spans="20:23" x14ac:dyDescent="0.25">
      <c r="T3915" s="113"/>
      <c r="U3915" s="111"/>
      <c r="W3915" s="83"/>
    </row>
    <row r="3916" spans="20:23" x14ac:dyDescent="0.25">
      <c r="T3916" s="113"/>
      <c r="U3916" s="111"/>
      <c r="W3916" s="83"/>
    </row>
    <row r="3917" spans="20:23" x14ac:dyDescent="0.25">
      <c r="T3917" s="113"/>
      <c r="U3917" s="111"/>
      <c r="W3917" s="83"/>
    </row>
    <row r="3918" spans="20:23" x14ac:dyDescent="0.25">
      <c r="T3918" s="113"/>
      <c r="U3918" s="111"/>
      <c r="W3918" s="83"/>
    </row>
    <row r="3919" spans="20:23" x14ac:dyDescent="0.25">
      <c r="T3919" s="113"/>
      <c r="U3919" s="111"/>
      <c r="W3919" s="83"/>
    </row>
    <row r="3920" spans="20:23" x14ac:dyDescent="0.25">
      <c r="T3920" s="113"/>
      <c r="U3920" s="111"/>
      <c r="W3920" s="83"/>
    </row>
    <row r="3921" spans="20:23" x14ac:dyDescent="0.25">
      <c r="T3921" s="113"/>
      <c r="U3921" s="111"/>
      <c r="W3921" s="83"/>
    </row>
    <row r="3922" spans="20:23" x14ac:dyDescent="0.25">
      <c r="T3922" s="113"/>
      <c r="U3922" s="111"/>
      <c r="W3922" s="83"/>
    </row>
    <row r="3923" spans="20:23" x14ac:dyDescent="0.25">
      <c r="T3923" s="113"/>
      <c r="U3923" s="111"/>
      <c r="W3923" s="83"/>
    </row>
    <row r="3924" spans="20:23" x14ac:dyDescent="0.25">
      <c r="T3924" s="113"/>
      <c r="U3924" s="111"/>
      <c r="W3924" s="83"/>
    </row>
    <row r="3925" spans="20:23" x14ac:dyDescent="0.25">
      <c r="T3925" s="113"/>
      <c r="U3925" s="111"/>
      <c r="W3925" s="83"/>
    </row>
    <row r="3926" spans="20:23" x14ac:dyDescent="0.25">
      <c r="T3926" s="113"/>
      <c r="U3926" s="111"/>
      <c r="W3926" s="83"/>
    </row>
    <row r="3927" spans="20:23" x14ac:dyDescent="0.25">
      <c r="T3927" s="113"/>
      <c r="U3927" s="111"/>
      <c r="W3927" s="83"/>
    </row>
    <row r="3928" spans="20:23" x14ac:dyDescent="0.25">
      <c r="T3928" s="113"/>
      <c r="U3928" s="111"/>
      <c r="W3928" s="83"/>
    </row>
    <row r="3929" spans="20:23" x14ac:dyDescent="0.25">
      <c r="T3929" s="113"/>
      <c r="U3929" s="111"/>
      <c r="W3929" s="83"/>
    </row>
    <row r="3930" spans="20:23" x14ac:dyDescent="0.25">
      <c r="T3930" s="113"/>
      <c r="U3930" s="111"/>
      <c r="W3930" s="83"/>
    </row>
    <row r="3931" spans="20:23" x14ac:dyDescent="0.25">
      <c r="T3931" s="113"/>
      <c r="U3931" s="111"/>
      <c r="W3931" s="83"/>
    </row>
    <row r="3932" spans="20:23" x14ac:dyDescent="0.25">
      <c r="T3932" s="113"/>
      <c r="U3932" s="111"/>
      <c r="W3932" s="83"/>
    </row>
    <row r="3933" spans="20:23" x14ac:dyDescent="0.25">
      <c r="T3933" s="113"/>
      <c r="U3933" s="111"/>
      <c r="W3933" s="83"/>
    </row>
    <row r="3934" spans="20:23" x14ac:dyDescent="0.25">
      <c r="T3934" s="113"/>
      <c r="U3934" s="111"/>
      <c r="W3934" s="83"/>
    </row>
    <row r="3935" spans="20:23" x14ac:dyDescent="0.25">
      <c r="T3935" s="113"/>
      <c r="U3935" s="111"/>
      <c r="W3935" s="83"/>
    </row>
    <row r="3936" spans="20:23" x14ac:dyDescent="0.25">
      <c r="T3936" s="113"/>
      <c r="U3936" s="111"/>
      <c r="W3936" s="83"/>
    </row>
    <row r="3937" spans="20:23" x14ac:dyDescent="0.25">
      <c r="T3937" s="113"/>
      <c r="U3937" s="111"/>
      <c r="W3937" s="83"/>
    </row>
    <row r="3938" spans="20:23" x14ac:dyDescent="0.25">
      <c r="T3938" s="113"/>
      <c r="U3938" s="111"/>
      <c r="W3938" s="83"/>
    </row>
    <row r="3939" spans="20:23" x14ac:dyDescent="0.25">
      <c r="T3939" s="113"/>
      <c r="U3939" s="111"/>
      <c r="W3939" s="83"/>
    </row>
    <row r="3940" spans="20:23" x14ac:dyDescent="0.25">
      <c r="T3940" s="113"/>
      <c r="U3940" s="111"/>
      <c r="W3940" s="83"/>
    </row>
    <row r="3941" spans="20:23" x14ac:dyDescent="0.25">
      <c r="T3941" s="113"/>
      <c r="U3941" s="111"/>
      <c r="W3941" s="83"/>
    </row>
    <row r="3942" spans="20:23" x14ac:dyDescent="0.25">
      <c r="T3942" s="113"/>
      <c r="U3942" s="111"/>
      <c r="W3942" s="83"/>
    </row>
    <row r="3943" spans="20:23" x14ac:dyDescent="0.25">
      <c r="T3943" s="113"/>
      <c r="U3943" s="111"/>
      <c r="W3943" s="83"/>
    </row>
    <row r="3944" spans="20:23" x14ac:dyDescent="0.25">
      <c r="T3944" s="113"/>
      <c r="U3944" s="111"/>
      <c r="W3944" s="83"/>
    </row>
    <row r="3945" spans="20:23" x14ac:dyDescent="0.25">
      <c r="T3945" s="113"/>
      <c r="U3945" s="111"/>
      <c r="W3945" s="83"/>
    </row>
    <row r="3946" spans="20:23" x14ac:dyDescent="0.25">
      <c r="T3946" s="113"/>
      <c r="U3946" s="111"/>
      <c r="W3946" s="83"/>
    </row>
    <row r="3947" spans="20:23" x14ac:dyDescent="0.25">
      <c r="T3947" s="113"/>
      <c r="U3947" s="111"/>
      <c r="W3947" s="83"/>
    </row>
    <row r="3948" spans="20:23" x14ac:dyDescent="0.25">
      <c r="T3948" s="113"/>
      <c r="U3948" s="111"/>
      <c r="W3948" s="83"/>
    </row>
    <row r="3949" spans="20:23" x14ac:dyDescent="0.25">
      <c r="T3949" s="113"/>
      <c r="U3949" s="111"/>
      <c r="W3949" s="83"/>
    </row>
    <row r="3950" spans="20:23" x14ac:dyDescent="0.25">
      <c r="T3950" s="113"/>
      <c r="U3950" s="111"/>
      <c r="W3950" s="83"/>
    </row>
    <row r="3951" spans="20:23" x14ac:dyDescent="0.25">
      <c r="T3951" s="113"/>
      <c r="U3951" s="111"/>
      <c r="W3951" s="83"/>
    </row>
    <row r="3952" spans="20:23" x14ac:dyDescent="0.25">
      <c r="T3952" s="113"/>
      <c r="U3952" s="111"/>
      <c r="W3952" s="83"/>
    </row>
    <row r="3953" spans="20:23" x14ac:dyDescent="0.25">
      <c r="T3953" s="113"/>
      <c r="U3953" s="111"/>
      <c r="W3953" s="83"/>
    </row>
    <row r="3954" spans="20:23" x14ac:dyDescent="0.25">
      <c r="T3954" s="113"/>
      <c r="U3954" s="111"/>
      <c r="W3954" s="83"/>
    </row>
    <row r="3955" spans="20:23" x14ac:dyDescent="0.25">
      <c r="T3955" s="113"/>
      <c r="U3955" s="111"/>
      <c r="W3955" s="83"/>
    </row>
    <row r="3956" spans="20:23" x14ac:dyDescent="0.25">
      <c r="T3956" s="113"/>
      <c r="U3956" s="111"/>
      <c r="W3956" s="83"/>
    </row>
    <row r="3957" spans="20:23" x14ac:dyDescent="0.25">
      <c r="T3957" s="113"/>
      <c r="U3957" s="111"/>
      <c r="W3957" s="83"/>
    </row>
    <row r="3958" spans="20:23" x14ac:dyDescent="0.25">
      <c r="T3958" s="113"/>
      <c r="U3958" s="111"/>
      <c r="W3958" s="83"/>
    </row>
    <row r="3959" spans="20:23" x14ac:dyDescent="0.25">
      <c r="T3959" s="113"/>
      <c r="U3959" s="111"/>
      <c r="W3959" s="83"/>
    </row>
    <row r="3960" spans="20:23" x14ac:dyDescent="0.25">
      <c r="T3960" s="113"/>
      <c r="U3960" s="111"/>
      <c r="W3960" s="83"/>
    </row>
    <row r="3961" spans="20:23" x14ac:dyDescent="0.25">
      <c r="T3961" s="113"/>
      <c r="U3961" s="111"/>
      <c r="W3961" s="83"/>
    </row>
    <row r="3962" spans="20:23" x14ac:dyDescent="0.25">
      <c r="T3962" s="113"/>
      <c r="U3962" s="111"/>
      <c r="W3962" s="83"/>
    </row>
    <row r="3963" spans="20:23" x14ac:dyDescent="0.25">
      <c r="T3963" s="113"/>
      <c r="U3963" s="111"/>
      <c r="W3963" s="83"/>
    </row>
    <row r="3964" spans="20:23" x14ac:dyDescent="0.25">
      <c r="T3964" s="113"/>
      <c r="U3964" s="111"/>
      <c r="W3964" s="83"/>
    </row>
    <row r="3965" spans="20:23" x14ac:dyDescent="0.25">
      <c r="T3965" s="113"/>
      <c r="U3965" s="111"/>
      <c r="W3965" s="83"/>
    </row>
    <row r="3966" spans="20:23" x14ac:dyDescent="0.25">
      <c r="T3966" s="113"/>
      <c r="U3966" s="111"/>
      <c r="W3966" s="83"/>
    </row>
    <row r="3967" spans="20:23" x14ac:dyDescent="0.25">
      <c r="T3967" s="113"/>
      <c r="U3967" s="111"/>
      <c r="W3967" s="83"/>
    </row>
    <row r="3968" spans="20:23" x14ac:dyDescent="0.25">
      <c r="T3968" s="113"/>
      <c r="U3968" s="111"/>
      <c r="W3968" s="83"/>
    </row>
    <row r="3969" spans="20:23" x14ac:dyDescent="0.25">
      <c r="T3969" s="113"/>
      <c r="U3969" s="111"/>
      <c r="W3969" s="8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9"/>
  <sheetViews>
    <sheetView topLeftCell="A112" workbookViewId="0">
      <selection activeCell="T25" sqref="T25"/>
    </sheetView>
  </sheetViews>
  <sheetFormatPr defaultRowHeight="15" x14ac:dyDescent="0.25"/>
  <cols>
    <col min="1" max="1" width="9.140625" style="74"/>
    <col min="2" max="2" width="6.28515625" style="74" customWidth="1"/>
    <col min="3" max="3" width="6.28515625" style="74" bestFit="1" customWidth="1"/>
    <col min="4" max="4" width="9.140625" style="74"/>
    <col min="5" max="5" width="8.140625" style="74" customWidth="1"/>
    <col min="6" max="6" width="38.140625" bestFit="1" customWidth="1"/>
  </cols>
  <sheetData>
    <row r="1" spans="1:6" s="102" customFormat="1" ht="15.75" thickBot="1" x14ac:dyDescent="0.3">
      <c r="A1" s="103" t="s">
        <v>174</v>
      </c>
      <c r="B1" s="103" t="s">
        <v>385</v>
      </c>
      <c r="C1" s="103" t="s">
        <v>345</v>
      </c>
      <c r="D1" s="103" t="s">
        <v>364</v>
      </c>
      <c r="E1" s="103" t="s">
        <v>383</v>
      </c>
      <c r="F1" s="103" t="s">
        <v>32</v>
      </c>
    </row>
    <row r="2" spans="1:6" s="88" customFormat="1" x14ac:dyDescent="0.25">
      <c r="A2" s="117">
        <v>0</v>
      </c>
      <c r="B2" s="118">
        <v>0</v>
      </c>
      <c r="C2" s="118">
        <v>0</v>
      </c>
      <c r="D2" s="118" t="str">
        <f>DEC2BIN(A2,5)</f>
        <v>00000</v>
      </c>
      <c r="E2" s="118" t="str">
        <f>CONCATENATE(B2,C2,D2)</f>
        <v>0000000</v>
      </c>
      <c r="F2" s="88" t="s">
        <v>374</v>
      </c>
    </row>
    <row r="3" spans="1:6" s="85" customFormat="1" x14ac:dyDescent="0.25">
      <c r="A3" s="119">
        <f>A2+1</f>
        <v>1</v>
      </c>
      <c r="B3" s="120">
        <v>0</v>
      </c>
      <c r="C3" s="120">
        <v>0</v>
      </c>
      <c r="D3" s="120" t="str">
        <f t="shared" ref="D3:D67" si="0">DEC2BIN(A3,5)</f>
        <v>00001</v>
      </c>
      <c r="E3" s="120" t="str">
        <f>CONCATENATE(B3,C3,D3)</f>
        <v>0000001</v>
      </c>
      <c r="F3" s="85" t="s">
        <v>374</v>
      </c>
    </row>
    <row r="4" spans="1:6" s="85" customFormat="1" x14ac:dyDescent="0.25">
      <c r="A4" s="119">
        <f t="shared" ref="A4:A33" si="1">A3+1</f>
        <v>2</v>
      </c>
      <c r="B4" s="120">
        <v>0</v>
      </c>
      <c r="C4" s="120">
        <v>0</v>
      </c>
      <c r="D4" s="120" t="str">
        <f t="shared" si="0"/>
        <v>00010</v>
      </c>
      <c r="E4" s="120" t="str">
        <f>CONCATENATE(B4,C4,D4)</f>
        <v>0000010</v>
      </c>
      <c r="F4" s="85" t="s">
        <v>374</v>
      </c>
    </row>
    <row r="5" spans="1:6" s="85" customFormat="1" x14ac:dyDescent="0.25">
      <c r="A5" s="119">
        <f t="shared" si="1"/>
        <v>3</v>
      </c>
      <c r="B5" s="120">
        <v>0</v>
      </c>
      <c r="C5" s="120">
        <v>0</v>
      </c>
      <c r="D5" s="120" t="str">
        <f t="shared" si="0"/>
        <v>00011</v>
      </c>
      <c r="E5" s="120" t="str">
        <f>CONCATENATE(B5,C5,D5)</f>
        <v>0000011</v>
      </c>
      <c r="F5" s="85" t="s">
        <v>374</v>
      </c>
    </row>
    <row r="6" spans="1:6" s="85" customFormat="1" x14ac:dyDescent="0.25">
      <c r="A6" s="119">
        <f t="shared" si="1"/>
        <v>4</v>
      </c>
      <c r="B6" s="120">
        <v>0</v>
      </c>
      <c r="C6" s="120">
        <v>0</v>
      </c>
      <c r="D6" s="120" t="str">
        <f t="shared" si="0"/>
        <v>00100</v>
      </c>
      <c r="E6" s="120" t="str">
        <f>CONCATENATE(B6,C6,D6)</f>
        <v>0000100</v>
      </c>
      <c r="F6" s="85" t="s">
        <v>374</v>
      </c>
    </row>
    <row r="7" spans="1:6" s="85" customFormat="1" x14ac:dyDescent="0.25">
      <c r="A7" s="119">
        <f t="shared" si="1"/>
        <v>5</v>
      </c>
      <c r="B7" s="120">
        <v>0</v>
      </c>
      <c r="C7" s="120">
        <v>0</v>
      </c>
      <c r="D7" s="120" t="str">
        <f t="shared" si="0"/>
        <v>00101</v>
      </c>
      <c r="E7" s="120" t="str">
        <f>CONCATENATE(B7,C7,D7)</f>
        <v>0000101</v>
      </c>
      <c r="F7" s="85" t="s">
        <v>374</v>
      </c>
    </row>
    <row r="8" spans="1:6" s="85" customFormat="1" x14ac:dyDescent="0.25">
      <c r="A8" s="119">
        <f t="shared" si="1"/>
        <v>6</v>
      </c>
      <c r="B8" s="120">
        <v>0</v>
      </c>
      <c r="C8" s="120">
        <v>0</v>
      </c>
      <c r="D8" s="120" t="str">
        <f t="shared" si="0"/>
        <v>00110</v>
      </c>
      <c r="E8" s="120" t="str">
        <f>CONCATENATE(B8,C8,D8)</f>
        <v>0000110</v>
      </c>
      <c r="F8" s="85" t="s">
        <v>374</v>
      </c>
    </row>
    <row r="9" spans="1:6" s="85" customFormat="1" x14ac:dyDescent="0.25">
      <c r="A9" s="119">
        <f t="shared" si="1"/>
        <v>7</v>
      </c>
      <c r="B9" s="120">
        <v>0</v>
      </c>
      <c r="C9" s="120">
        <v>0</v>
      </c>
      <c r="D9" s="120" t="str">
        <f t="shared" si="0"/>
        <v>00111</v>
      </c>
      <c r="E9" s="120" t="str">
        <f>CONCATENATE(B9,C9,D9)</f>
        <v>0000111</v>
      </c>
      <c r="F9" s="85" t="s">
        <v>374</v>
      </c>
    </row>
    <row r="10" spans="1:6" s="85" customFormat="1" x14ac:dyDescent="0.25">
      <c r="A10" s="119">
        <f t="shared" si="1"/>
        <v>8</v>
      </c>
      <c r="B10" s="120">
        <v>0</v>
      </c>
      <c r="C10" s="120">
        <v>0</v>
      </c>
      <c r="D10" s="120" t="str">
        <f t="shared" si="0"/>
        <v>01000</v>
      </c>
      <c r="E10" s="120" t="str">
        <f>CONCATENATE(B10,C10,D10)</f>
        <v>0001000</v>
      </c>
      <c r="F10" s="85" t="s">
        <v>374</v>
      </c>
    </row>
    <row r="11" spans="1:6" s="85" customFormat="1" x14ac:dyDescent="0.25">
      <c r="A11" s="119">
        <f t="shared" si="1"/>
        <v>9</v>
      </c>
      <c r="B11" s="120">
        <v>0</v>
      </c>
      <c r="C11" s="120">
        <v>0</v>
      </c>
      <c r="D11" s="120" t="str">
        <f t="shared" si="0"/>
        <v>01001</v>
      </c>
      <c r="E11" s="120" t="str">
        <f>CONCATENATE(B11,C11,D11)</f>
        <v>0001001</v>
      </c>
      <c r="F11" s="85" t="s">
        <v>374</v>
      </c>
    </row>
    <row r="12" spans="1:6" s="85" customFormat="1" x14ac:dyDescent="0.25">
      <c r="A12" s="119">
        <f t="shared" si="1"/>
        <v>10</v>
      </c>
      <c r="B12" s="120">
        <v>0</v>
      </c>
      <c r="C12" s="120">
        <v>0</v>
      </c>
      <c r="D12" s="120" t="str">
        <f t="shared" si="0"/>
        <v>01010</v>
      </c>
      <c r="E12" s="120" t="str">
        <f>CONCATENATE(B12,C12,D12)</f>
        <v>0001010</v>
      </c>
      <c r="F12" s="85" t="s">
        <v>374</v>
      </c>
    </row>
    <row r="13" spans="1:6" s="85" customFormat="1" x14ac:dyDescent="0.25">
      <c r="A13" s="119">
        <f t="shared" si="1"/>
        <v>11</v>
      </c>
      <c r="B13" s="120">
        <v>0</v>
      </c>
      <c r="C13" s="120">
        <v>0</v>
      </c>
      <c r="D13" s="120" t="str">
        <f t="shared" si="0"/>
        <v>01011</v>
      </c>
      <c r="E13" s="120" t="str">
        <f>CONCATENATE(B13,C13,D13)</f>
        <v>0001011</v>
      </c>
      <c r="F13" s="85" t="s">
        <v>374</v>
      </c>
    </row>
    <row r="14" spans="1:6" s="85" customFormat="1" x14ac:dyDescent="0.25">
      <c r="A14" s="119">
        <f t="shared" si="1"/>
        <v>12</v>
      </c>
      <c r="B14" s="120">
        <v>0</v>
      </c>
      <c r="C14" s="120">
        <v>0</v>
      </c>
      <c r="D14" s="120" t="str">
        <f t="shared" si="0"/>
        <v>01100</v>
      </c>
      <c r="E14" s="120" t="str">
        <f>CONCATENATE(B14,C14,D14)</f>
        <v>0001100</v>
      </c>
      <c r="F14" s="85" t="s">
        <v>374</v>
      </c>
    </row>
    <row r="15" spans="1:6" s="85" customFormat="1" x14ac:dyDescent="0.25">
      <c r="A15" s="119">
        <f t="shared" si="1"/>
        <v>13</v>
      </c>
      <c r="B15" s="120">
        <v>0</v>
      </c>
      <c r="C15" s="120">
        <v>0</v>
      </c>
      <c r="D15" s="120" t="str">
        <f t="shared" si="0"/>
        <v>01101</v>
      </c>
      <c r="E15" s="120" t="str">
        <f>CONCATENATE(B15,C15,D15)</f>
        <v>0001101</v>
      </c>
      <c r="F15" s="85" t="s">
        <v>374</v>
      </c>
    </row>
    <row r="16" spans="1:6" s="85" customFormat="1" x14ac:dyDescent="0.25">
      <c r="A16" s="119">
        <f t="shared" si="1"/>
        <v>14</v>
      </c>
      <c r="B16" s="120">
        <v>0</v>
      </c>
      <c r="C16" s="120">
        <v>0</v>
      </c>
      <c r="D16" s="120" t="str">
        <f t="shared" si="0"/>
        <v>01110</v>
      </c>
      <c r="E16" s="120" t="str">
        <f>CONCATENATE(B16,C16,D16)</f>
        <v>0001110</v>
      </c>
      <c r="F16" s="85" t="s">
        <v>374</v>
      </c>
    </row>
    <row r="17" spans="1:6" s="123" customFormat="1" ht="15.75" thickBot="1" x14ac:dyDescent="0.3">
      <c r="A17" s="121">
        <f t="shared" si="1"/>
        <v>15</v>
      </c>
      <c r="B17" s="122">
        <v>0</v>
      </c>
      <c r="C17" s="122">
        <v>0</v>
      </c>
      <c r="D17" s="122" t="str">
        <f t="shared" si="0"/>
        <v>01111</v>
      </c>
      <c r="E17" s="122" t="str">
        <f>CONCATENATE(B17,C17,D17)</f>
        <v>0001111</v>
      </c>
      <c r="F17" s="123" t="s">
        <v>374</v>
      </c>
    </row>
    <row r="18" spans="1:6" s="88" customFormat="1" x14ac:dyDescent="0.25">
      <c r="A18" s="117">
        <f t="shared" si="1"/>
        <v>16</v>
      </c>
      <c r="B18" s="118">
        <v>0</v>
      </c>
      <c r="C18" s="118">
        <v>0</v>
      </c>
      <c r="D18" s="118" t="str">
        <f t="shared" si="0"/>
        <v>10000</v>
      </c>
      <c r="E18" s="118" t="str">
        <f>CONCATENATE(B18,C18,D18)</f>
        <v>0010000</v>
      </c>
      <c r="F18" s="88" t="s">
        <v>374</v>
      </c>
    </row>
    <row r="19" spans="1:6" s="85" customFormat="1" x14ac:dyDescent="0.25">
      <c r="A19" s="119">
        <f t="shared" si="1"/>
        <v>17</v>
      </c>
      <c r="B19" s="120">
        <v>0</v>
      </c>
      <c r="C19" s="120">
        <v>0</v>
      </c>
      <c r="D19" s="120" t="str">
        <f t="shared" si="0"/>
        <v>10001</v>
      </c>
      <c r="E19" s="120" t="str">
        <f>CONCATENATE(B19,C19,D19)</f>
        <v>0010001</v>
      </c>
      <c r="F19" s="85" t="s">
        <v>114</v>
      </c>
    </row>
    <row r="20" spans="1:6" s="85" customFormat="1" x14ac:dyDescent="0.25">
      <c r="A20" s="119">
        <f t="shared" si="1"/>
        <v>18</v>
      </c>
      <c r="B20" s="120">
        <v>0</v>
      </c>
      <c r="C20" s="120">
        <v>0</v>
      </c>
      <c r="D20" s="120" t="str">
        <f t="shared" si="0"/>
        <v>10010</v>
      </c>
      <c r="E20" s="120" t="str">
        <f>CONCATENATE(B20,C20,D20)</f>
        <v>0010010</v>
      </c>
      <c r="F20" s="85" t="s">
        <v>374</v>
      </c>
    </row>
    <row r="21" spans="1:6" s="85" customFormat="1" x14ac:dyDescent="0.25">
      <c r="A21" s="119">
        <f t="shared" si="1"/>
        <v>19</v>
      </c>
      <c r="B21" s="120">
        <v>0</v>
      </c>
      <c r="C21" s="120">
        <v>0</v>
      </c>
      <c r="D21" s="120" t="str">
        <f t="shared" si="0"/>
        <v>10011</v>
      </c>
      <c r="E21" s="120" t="str">
        <f>CONCATENATE(B21,C21,D21)</f>
        <v>0010011</v>
      </c>
      <c r="F21" s="85" t="s">
        <v>374</v>
      </c>
    </row>
    <row r="22" spans="1:6" s="85" customFormat="1" x14ac:dyDescent="0.25">
      <c r="A22" s="119">
        <f t="shared" si="1"/>
        <v>20</v>
      </c>
      <c r="B22" s="120">
        <v>0</v>
      </c>
      <c r="C22" s="120">
        <v>0</v>
      </c>
      <c r="D22" s="120" t="str">
        <f t="shared" si="0"/>
        <v>10100</v>
      </c>
      <c r="E22" s="120" t="str">
        <f>CONCATENATE(B22,C22,D22)</f>
        <v>0010100</v>
      </c>
      <c r="F22" s="85" t="s">
        <v>372</v>
      </c>
    </row>
    <row r="23" spans="1:6" s="85" customFormat="1" x14ac:dyDescent="0.25">
      <c r="A23" s="119">
        <f t="shared" si="1"/>
        <v>21</v>
      </c>
      <c r="B23" s="120">
        <v>0</v>
      </c>
      <c r="C23" s="120">
        <v>0</v>
      </c>
      <c r="D23" s="120" t="str">
        <f t="shared" si="0"/>
        <v>10101</v>
      </c>
      <c r="E23" s="120" t="str">
        <f>CONCATENATE(B23,C23,D23)</f>
        <v>0010101</v>
      </c>
      <c r="F23" s="85" t="s">
        <v>373</v>
      </c>
    </row>
    <row r="24" spans="1:6" s="85" customFormat="1" x14ac:dyDescent="0.25">
      <c r="A24" s="119">
        <f t="shared" si="1"/>
        <v>22</v>
      </c>
      <c r="B24" s="120">
        <v>0</v>
      </c>
      <c r="C24" s="120">
        <v>0</v>
      </c>
      <c r="D24" s="120" t="str">
        <f t="shared" si="0"/>
        <v>10110</v>
      </c>
      <c r="E24" s="120" t="str">
        <f>CONCATENATE(B24,C24,D24)</f>
        <v>0010110</v>
      </c>
      <c r="F24" s="85" t="s">
        <v>374</v>
      </c>
    </row>
    <row r="25" spans="1:6" s="85" customFormat="1" x14ac:dyDescent="0.25">
      <c r="A25" s="119">
        <f t="shared" si="1"/>
        <v>23</v>
      </c>
      <c r="B25" s="120">
        <v>0</v>
      </c>
      <c r="C25" s="120">
        <v>0</v>
      </c>
      <c r="D25" s="120" t="str">
        <f t="shared" si="0"/>
        <v>10111</v>
      </c>
      <c r="E25" s="120" t="str">
        <f>CONCATENATE(B25,C25,D25)</f>
        <v>0010111</v>
      </c>
      <c r="F25" s="85" t="s">
        <v>374</v>
      </c>
    </row>
    <row r="26" spans="1:6" s="85" customFormat="1" x14ac:dyDescent="0.25">
      <c r="A26" s="119">
        <f t="shared" si="1"/>
        <v>24</v>
      </c>
      <c r="B26" s="120">
        <v>0</v>
      </c>
      <c r="C26" s="120">
        <v>0</v>
      </c>
      <c r="D26" s="120" t="str">
        <f t="shared" si="0"/>
        <v>11000</v>
      </c>
      <c r="E26" s="120" t="str">
        <f>CONCATENATE(B26,C26,D26)</f>
        <v>0011000</v>
      </c>
      <c r="F26" s="85" t="s">
        <v>374</v>
      </c>
    </row>
    <row r="27" spans="1:6" s="85" customFormat="1" x14ac:dyDescent="0.25">
      <c r="A27" s="119">
        <f t="shared" si="1"/>
        <v>25</v>
      </c>
      <c r="B27" s="120">
        <v>0</v>
      </c>
      <c r="C27" s="120">
        <v>0</v>
      </c>
      <c r="D27" s="120" t="str">
        <f t="shared" si="0"/>
        <v>11001</v>
      </c>
      <c r="E27" s="120" t="str">
        <f>CONCATENATE(B27,C27,D27)</f>
        <v>0011001</v>
      </c>
      <c r="F27" s="85" t="s">
        <v>374</v>
      </c>
    </row>
    <row r="28" spans="1:6" s="85" customFormat="1" x14ac:dyDescent="0.25">
      <c r="A28" s="119">
        <f t="shared" si="1"/>
        <v>26</v>
      </c>
      <c r="B28" s="120">
        <v>0</v>
      </c>
      <c r="C28" s="120">
        <v>0</v>
      </c>
      <c r="D28" s="120" t="str">
        <f t="shared" si="0"/>
        <v>11010</v>
      </c>
      <c r="E28" s="120" t="str">
        <f>CONCATENATE(B28,C28,D28)</f>
        <v>0011010</v>
      </c>
      <c r="F28" s="85" t="s">
        <v>374</v>
      </c>
    </row>
    <row r="29" spans="1:6" s="85" customFormat="1" x14ac:dyDescent="0.25">
      <c r="A29" s="119">
        <f t="shared" si="1"/>
        <v>27</v>
      </c>
      <c r="B29" s="120">
        <v>0</v>
      </c>
      <c r="C29" s="120">
        <v>0</v>
      </c>
      <c r="D29" s="120" t="str">
        <f t="shared" si="0"/>
        <v>11011</v>
      </c>
      <c r="E29" s="120" t="str">
        <f>CONCATENATE(B29,C29,D29)</f>
        <v>0011011</v>
      </c>
      <c r="F29" s="85" t="s">
        <v>374</v>
      </c>
    </row>
    <row r="30" spans="1:6" s="85" customFormat="1" x14ac:dyDescent="0.25">
      <c r="A30" s="119">
        <f t="shared" si="1"/>
        <v>28</v>
      </c>
      <c r="B30" s="120">
        <v>0</v>
      </c>
      <c r="C30" s="120">
        <v>0</v>
      </c>
      <c r="D30" s="120" t="str">
        <f t="shared" si="0"/>
        <v>11100</v>
      </c>
      <c r="E30" s="120" t="str">
        <f>CONCATENATE(B30,C30,D30)</f>
        <v>0011100</v>
      </c>
      <c r="F30" s="85" t="s">
        <v>374</v>
      </c>
    </row>
    <row r="31" spans="1:6" s="85" customFormat="1" x14ac:dyDescent="0.25">
      <c r="A31" s="119">
        <f t="shared" si="1"/>
        <v>29</v>
      </c>
      <c r="B31" s="120">
        <v>0</v>
      </c>
      <c r="C31" s="120">
        <v>0</v>
      </c>
      <c r="D31" s="120" t="str">
        <f t="shared" si="0"/>
        <v>11101</v>
      </c>
      <c r="E31" s="120" t="str">
        <f>CONCATENATE(B31,C31,D31)</f>
        <v>0011101</v>
      </c>
      <c r="F31" s="85" t="s">
        <v>374</v>
      </c>
    </row>
    <row r="32" spans="1:6" s="85" customFormat="1" x14ac:dyDescent="0.25">
      <c r="A32" s="119">
        <f t="shared" si="1"/>
        <v>30</v>
      </c>
      <c r="B32" s="120">
        <v>0</v>
      </c>
      <c r="C32" s="120">
        <v>0</v>
      </c>
      <c r="D32" s="120" t="str">
        <f t="shared" si="0"/>
        <v>11110</v>
      </c>
      <c r="E32" s="120" t="str">
        <f>CONCATENATE(B32,C32,D32)</f>
        <v>0011110</v>
      </c>
      <c r="F32" s="85" t="s">
        <v>374</v>
      </c>
    </row>
    <row r="33" spans="1:6" s="123" customFormat="1" ht="15.75" thickBot="1" x14ac:dyDescent="0.3">
      <c r="A33" s="121">
        <f t="shared" si="1"/>
        <v>31</v>
      </c>
      <c r="B33" s="122">
        <v>0</v>
      </c>
      <c r="C33" s="122">
        <v>0</v>
      </c>
      <c r="D33" s="122" t="str">
        <f t="shared" si="0"/>
        <v>11111</v>
      </c>
      <c r="E33" s="122" t="str">
        <f>CONCATENATE(B33,C33,D33)</f>
        <v>0011111</v>
      </c>
      <c r="F33" s="123" t="s">
        <v>374</v>
      </c>
    </row>
    <row r="34" spans="1:6" s="90" customFormat="1" x14ac:dyDescent="0.25">
      <c r="A34" s="124">
        <v>0</v>
      </c>
      <c r="B34" s="125">
        <v>0</v>
      </c>
      <c r="C34" s="125">
        <v>1</v>
      </c>
      <c r="D34" s="125" t="str">
        <f>DEC2BIN(A34,5)</f>
        <v>00000</v>
      </c>
      <c r="E34" s="125" t="str">
        <f>CONCATENATE(B34,C34,D34)</f>
        <v>0100000</v>
      </c>
      <c r="F34" s="90" t="s">
        <v>348</v>
      </c>
    </row>
    <row r="35" spans="1:6" s="91" customFormat="1" x14ac:dyDescent="0.25">
      <c r="A35" s="126">
        <f>A34+1</f>
        <v>1</v>
      </c>
      <c r="B35" s="127">
        <v>0</v>
      </c>
      <c r="C35" s="127">
        <v>1</v>
      </c>
      <c r="D35" s="127" t="str">
        <f t="shared" si="0"/>
        <v>00001</v>
      </c>
      <c r="E35" s="127" t="str">
        <f>CONCATENATE(B35,C35,D35)</f>
        <v>0100001</v>
      </c>
      <c r="F35" s="91" t="s">
        <v>204</v>
      </c>
    </row>
    <row r="36" spans="1:6" s="91" customFormat="1" x14ac:dyDescent="0.25">
      <c r="A36" s="126">
        <f t="shared" ref="A36:A65" si="2">A35+1</f>
        <v>2</v>
      </c>
      <c r="B36" s="127">
        <v>0</v>
      </c>
      <c r="C36" s="127">
        <v>1</v>
      </c>
      <c r="D36" s="127" t="str">
        <f t="shared" si="0"/>
        <v>00010</v>
      </c>
      <c r="E36" s="127" t="str">
        <f>CONCATENATE(B36,C36,D36)</f>
        <v>0100010</v>
      </c>
      <c r="F36" s="91" t="s">
        <v>375</v>
      </c>
    </row>
    <row r="37" spans="1:6" s="91" customFormat="1" x14ac:dyDescent="0.25">
      <c r="A37" s="126">
        <f t="shared" si="2"/>
        <v>3</v>
      </c>
      <c r="B37" s="127">
        <v>0</v>
      </c>
      <c r="C37" s="127">
        <v>1</v>
      </c>
      <c r="D37" s="127" t="str">
        <f t="shared" si="0"/>
        <v>00011</v>
      </c>
      <c r="E37" s="127" t="str">
        <f>CONCATENATE(B37,C37,D37)</f>
        <v>0100011</v>
      </c>
      <c r="F37" s="91" t="s">
        <v>376</v>
      </c>
    </row>
    <row r="38" spans="1:6" s="91" customFormat="1" x14ac:dyDescent="0.25">
      <c r="A38" s="126">
        <f t="shared" si="2"/>
        <v>4</v>
      </c>
      <c r="B38" s="127">
        <v>0</v>
      </c>
      <c r="C38" s="127">
        <v>1</v>
      </c>
      <c r="D38" s="127" t="str">
        <f t="shared" si="0"/>
        <v>00100</v>
      </c>
      <c r="E38" s="127" t="str">
        <f>CONCATENATE(B38,C38,D38)</f>
        <v>0100100</v>
      </c>
      <c r="F38" s="91" t="s">
        <v>377</v>
      </c>
    </row>
    <row r="39" spans="1:6" s="91" customFormat="1" x14ac:dyDescent="0.25">
      <c r="A39" s="126">
        <f t="shared" si="2"/>
        <v>5</v>
      </c>
      <c r="B39" s="127">
        <v>0</v>
      </c>
      <c r="C39" s="127">
        <v>1</v>
      </c>
      <c r="D39" s="127" t="str">
        <f t="shared" si="0"/>
        <v>00101</v>
      </c>
      <c r="E39" s="127" t="str">
        <f>CONCATENATE(B39,C39,D39)</f>
        <v>0100101</v>
      </c>
      <c r="F39" s="91" t="s">
        <v>378</v>
      </c>
    </row>
    <row r="40" spans="1:6" s="91" customFormat="1" x14ac:dyDescent="0.25">
      <c r="A40" s="126">
        <f t="shared" si="2"/>
        <v>6</v>
      </c>
      <c r="B40" s="127">
        <v>0</v>
      </c>
      <c r="C40" s="127">
        <v>1</v>
      </c>
      <c r="D40" s="127" t="str">
        <f t="shared" si="0"/>
        <v>00110</v>
      </c>
      <c r="E40" s="127" t="str">
        <f>CONCATENATE(B40,C40,D40)</f>
        <v>0100110</v>
      </c>
      <c r="F40" s="91" t="s">
        <v>379</v>
      </c>
    </row>
    <row r="41" spans="1:6" s="91" customFormat="1" x14ac:dyDescent="0.25">
      <c r="A41" s="126">
        <f t="shared" si="2"/>
        <v>7</v>
      </c>
      <c r="B41" s="127">
        <v>0</v>
      </c>
      <c r="C41" s="127">
        <v>1</v>
      </c>
      <c r="D41" s="127" t="str">
        <f t="shared" si="0"/>
        <v>00111</v>
      </c>
      <c r="E41" s="127" t="str">
        <f>CONCATENATE(B41,C41,D41)</f>
        <v>0100111</v>
      </c>
      <c r="F41" s="91" t="s">
        <v>380</v>
      </c>
    </row>
    <row r="42" spans="1:6" s="91" customFormat="1" x14ac:dyDescent="0.25">
      <c r="A42" s="126">
        <f t="shared" si="2"/>
        <v>8</v>
      </c>
      <c r="B42" s="127">
        <v>0</v>
      </c>
      <c r="C42" s="127">
        <v>1</v>
      </c>
      <c r="D42" s="127" t="str">
        <f t="shared" si="0"/>
        <v>01000</v>
      </c>
      <c r="E42" s="127" t="str">
        <f>CONCATENATE(B42,C42,D42)</f>
        <v>0101000</v>
      </c>
      <c r="F42" s="91" t="s">
        <v>355</v>
      </c>
    </row>
    <row r="43" spans="1:6" s="91" customFormat="1" x14ac:dyDescent="0.25">
      <c r="A43" s="126">
        <f t="shared" si="2"/>
        <v>9</v>
      </c>
      <c r="B43" s="127">
        <v>0</v>
      </c>
      <c r="C43" s="127">
        <v>1</v>
      </c>
      <c r="D43" s="127" t="str">
        <f t="shared" si="0"/>
        <v>01001</v>
      </c>
      <c r="E43" s="127" t="str">
        <f>CONCATENATE(B43,C43,D43)</f>
        <v>0101001</v>
      </c>
      <c r="F43" s="91" t="s">
        <v>374</v>
      </c>
    </row>
    <row r="44" spans="1:6" s="91" customFormat="1" x14ac:dyDescent="0.25">
      <c r="A44" s="126">
        <f t="shared" si="2"/>
        <v>10</v>
      </c>
      <c r="B44" s="127">
        <v>0</v>
      </c>
      <c r="C44" s="127">
        <v>1</v>
      </c>
      <c r="D44" s="127" t="str">
        <f t="shared" si="0"/>
        <v>01010</v>
      </c>
      <c r="E44" s="127" t="str">
        <f>CONCATENATE(B44,C44,D44)</f>
        <v>0101010</v>
      </c>
      <c r="F44" s="91" t="s">
        <v>374</v>
      </c>
    </row>
    <row r="45" spans="1:6" s="91" customFormat="1" x14ac:dyDescent="0.25">
      <c r="A45" s="126">
        <f t="shared" si="2"/>
        <v>11</v>
      </c>
      <c r="B45" s="127">
        <v>0</v>
      </c>
      <c r="C45" s="127">
        <v>1</v>
      </c>
      <c r="D45" s="127" t="str">
        <f t="shared" si="0"/>
        <v>01011</v>
      </c>
      <c r="E45" s="127" t="str">
        <f>CONCATENATE(B45,C45,D45)</f>
        <v>0101011</v>
      </c>
      <c r="F45" s="91" t="s">
        <v>374</v>
      </c>
    </row>
    <row r="46" spans="1:6" s="91" customFormat="1" x14ac:dyDescent="0.25">
      <c r="A46" s="126">
        <f t="shared" si="2"/>
        <v>12</v>
      </c>
      <c r="B46" s="127">
        <v>0</v>
      </c>
      <c r="C46" s="127">
        <v>1</v>
      </c>
      <c r="D46" s="127" t="str">
        <f t="shared" si="0"/>
        <v>01100</v>
      </c>
      <c r="E46" s="127" t="str">
        <f>CONCATENATE(B46,C46,D46)</f>
        <v>0101100</v>
      </c>
      <c r="F46" s="91" t="s">
        <v>374</v>
      </c>
    </row>
    <row r="47" spans="1:6" s="91" customFormat="1" x14ac:dyDescent="0.25">
      <c r="A47" s="126">
        <f t="shared" si="2"/>
        <v>13</v>
      </c>
      <c r="B47" s="127">
        <v>0</v>
      </c>
      <c r="C47" s="127">
        <v>1</v>
      </c>
      <c r="D47" s="127" t="str">
        <f t="shared" si="0"/>
        <v>01101</v>
      </c>
      <c r="E47" s="127" t="str">
        <f>CONCATENATE(B47,C47,D47)</f>
        <v>0101101</v>
      </c>
      <c r="F47" s="91" t="s">
        <v>374</v>
      </c>
    </row>
    <row r="48" spans="1:6" s="91" customFormat="1" x14ac:dyDescent="0.25">
      <c r="A48" s="126">
        <f t="shared" si="2"/>
        <v>14</v>
      </c>
      <c r="B48" s="127">
        <v>0</v>
      </c>
      <c r="C48" s="127">
        <v>1</v>
      </c>
      <c r="D48" s="127" t="str">
        <f t="shared" si="0"/>
        <v>01110</v>
      </c>
      <c r="E48" s="127" t="str">
        <f>CONCATENATE(B48,C48,D48)</f>
        <v>0101110</v>
      </c>
      <c r="F48" s="91" t="s">
        <v>374</v>
      </c>
    </row>
    <row r="49" spans="1:6" s="92" customFormat="1" ht="15.75" thickBot="1" x14ac:dyDescent="0.3">
      <c r="A49" s="128">
        <f t="shared" si="2"/>
        <v>15</v>
      </c>
      <c r="B49" s="129">
        <v>0</v>
      </c>
      <c r="C49" s="129">
        <v>1</v>
      </c>
      <c r="D49" s="129" t="str">
        <f t="shared" si="0"/>
        <v>01111</v>
      </c>
      <c r="E49" s="129" t="str">
        <f>CONCATENATE(B49,C49,D49)</f>
        <v>0101111</v>
      </c>
      <c r="F49" s="92" t="s">
        <v>374</v>
      </c>
    </row>
    <row r="50" spans="1:6" s="90" customFormat="1" x14ac:dyDescent="0.25">
      <c r="A50" s="124">
        <f t="shared" si="2"/>
        <v>16</v>
      </c>
      <c r="B50" s="125">
        <v>0</v>
      </c>
      <c r="C50" s="125">
        <v>1</v>
      </c>
      <c r="D50" s="125" t="str">
        <f t="shared" si="0"/>
        <v>10000</v>
      </c>
      <c r="E50" s="125" t="str">
        <f>CONCATENATE(B50,C50,D50)</f>
        <v>0110000</v>
      </c>
      <c r="F50" s="90" t="s">
        <v>116</v>
      </c>
    </row>
    <row r="51" spans="1:6" s="91" customFormat="1" x14ac:dyDescent="0.25">
      <c r="A51" s="126">
        <f t="shared" si="2"/>
        <v>17</v>
      </c>
      <c r="B51" s="127">
        <v>0</v>
      </c>
      <c r="C51" s="127">
        <v>1</v>
      </c>
      <c r="D51" s="127" t="str">
        <f t="shared" si="0"/>
        <v>10001</v>
      </c>
      <c r="E51" s="127" t="str">
        <f>CONCATENATE(B51,C51,D51)</f>
        <v>0110001</v>
      </c>
      <c r="F51" s="91" t="s">
        <v>374</v>
      </c>
    </row>
    <row r="52" spans="1:6" s="91" customFormat="1" x14ac:dyDescent="0.25">
      <c r="A52" s="126">
        <f t="shared" si="2"/>
        <v>18</v>
      </c>
      <c r="B52" s="127">
        <v>0</v>
      </c>
      <c r="C52" s="127">
        <v>1</v>
      </c>
      <c r="D52" s="127" t="str">
        <f t="shared" si="0"/>
        <v>10010</v>
      </c>
      <c r="E52" s="127" t="str">
        <f>CONCATENATE(B52,C52,D52)</f>
        <v>0110010</v>
      </c>
      <c r="F52" s="91" t="s">
        <v>381</v>
      </c>
    </row>
    <row r="53" spans="1:6" s="91" customFormat="1" x14ac:dyDescent="0.25">
      <c r="A53" s="126">
        <f t="shared" si="2"/>
        <v>19</v>
      </c>
      <c r="B53" s="127">
        <v>0</v>
      </c>
      <c r="C53" s="127">
        <v>1</v>
      </c>
      <c r="D53" s="127" t="str">
        <f t="shared" si="0"/>
        <v>10011</v>
      </c>
      <c r="E53" s="127" t="str">
        <f>CONCATENATE(B53,C53,D53)</f>
        <v>0110011</v>
      </c>
      <c r="F53" s="91" t="s">
        <v>382</v>
      </c>
    </row>
    <row r="54" spans="1:6" s="91" customFormat="1" x14ac:dyDescent="0.25">
      <c r="A54" s="126">
        <f t="shared" si="2"/>
        <v>20</v>
      </c>
      <c r="B54" s="127">
        <v>0</v>
      </c>
      <c r="C54" s="127">
        <v>1</v>
      </c>
      <c r="D54" s="127" t="str">
        <f t="shared" si="0"/>
        <v>10100</v>
      </c>
      <c r="E54" s="127" t="str">
        <f>CONCATENATE(B54,C54,D54)</f>
        <v>0110100</v>
      </c>
      <c r="F54" s="91" t="s">
        <v>374</v>
      </c>
    </row>
    <row r="55" spans="1:6" s="91" customFormat="1" x14ac:dyDescent="0.25">
      <c r="A55" s="126">
        <f t="shared" si="2"/>
        <v>21</v>
      </c>
      <c r="B55" s="127">
        <v>0</v>
      </c>
      <c r="C55" s="127">
        <v>1</v>
      </c>
      <c r="D55" s="127" t="str">
        <f t="shared" si="0"/>
        <v>10101</v>
      </c>
      <c r="E55" s="127" t="str">
        <f>CONCATENATE(B55,C55,D55)</f>
        <v>0110101</v>
      </c>
      <c r="F55" s="91" t="s">
        <v>374</v>
      </c>
    </row>
    <row r="56" spans="1:6" s="91" customFormat="1" x14ac:dyDescent="0.25">
      <c r="A56" s="126">
        <f t="shared" si="2"/>
        <v>22</v>
      </c>
      <c r="B56" s="127">
        <v>0</v>
      </c>
      <c r="C56" s="127">
        <v>1</v>
      </c>
      <c r="D56" s="127" t="str">
        <f t="shared" si="0"/>
        <v>10110</v>
      </c>
      <c r="E56" s="127" t="str">
        <f>CONCATENATE(B56,C56,D56)</f>
        <v>0110110</v>
      </c>
      <c r="F56" s="91" t="s">
        <v>374</v>
      </c>
    </row>
    <row r="57" spans="1:6" s="91" customFormat="1" x14ac:dyDescent="0.25">
      <c r="A57" s="126">
        <f t="shared" si="2"/>
        <v>23</v>
      </c>
      <c r="B57" s="127">
        <v>0</v>
      </c>
      <c r="C57" s="127">
        <v>1</v>
      </c>
      <c r="D57" s="127" t="str">
        <f t="shared" si="0"/>
        <v>10111</v>
      </c>
      <c r="E57" s="127" t="str">
        <f>CONCATENATE(B57,C57,D57)</f>
        <v>0110111</v>
      </c>
      <c r="F57" s="91" t="s">
        <v>374</v>
      </c>
    </row>
    <row r="58" spans="1:6" s="91" customFormat="1" x14ac:dyDescent="0.25">
      <c r="A58" s="126">
        <f t="shared" si="2"/>
        <v>24</v>
      </c>
      <c r="B58" s="127">
        <v>0</v>
      </c>
      <c r="C58" s="127">
        <v>1</v>
      </c>
      <c r="D58" s="127" t="str">
        <f t="shared" si="0"/>
        <v>11000</v>
      </c>
      <c r="E58" s="127" t="str">
        <f>CONCATENATE(B58,C58,D58)</f>
        <v>0111000</v>
      </c>
      <c r="F58" s="91" t="s">
        <v>374</v>
      </c>
    </row>
    <row r="59" spans="1:6" s="91" customFormat="1" x14ac:dyDescent="0.25">
      <c r="A59" s="126">
        <f t="shared" si="2"/>
        <v>25</v>
      </c>
      <c r="B59" s="127">
        <v>0</v>
      </c>
      <c r="C59" s="127">
        <v>1</v>
      </c>
      <c r="D59" s="127" t="str">
        <f t="shared" si="0"/>
        <v>11001</v>
      </c>
      <c r="E59" s="127" t="str">
        <f>CONCATENATE(B59,C59,D59)</f>
        <v>0111001</v>
      </c>
      <c r="F59" s="91" t="s">
        <v>374</v>
      </c>
    </row>
    <row r="60" spans="1:6" s="91" customFormat="1" x14ac:dyDescent="0.25">
      <c r="A60" s="126">
        <f t="shared" si="2"/>
        <v>26</v>
      </c>
      <c r="B60" s="127">
        <v>0</v>
      </c>
      <c r="C60" s="127">
        <v>1</v>
      </c>
      <c r="D60" s="127" t="str">
        <f t="shared" si="0"/>
        <v>11010</v>
      </c>
      <c r="E60" s="127" t="str">
        <f>CONCATENATE(B60,C60,D60)</f>
        <v>0111010</v>
      </c>
      <c r="F60" s="91" t="s">
        <v>374</v>
      </c>
    </row>
    <row r="61" spans="1:6" s="91" customFormat="1" x14ac:dyDescent="0.25">
      <c r="A61" s="126">
        <f t="shared" si="2"/>
        <v>27</v>
      </c>
      <c r="B61" s="127">
        <v>0</v>
      </c>
      <c r="C61" s="127">
        <v>1</v>
      </c>
      <c r="D61" s="127" t="str">
        <f t="shared" si="0"/>
        <v>11011</v>
      </c>
      <c r="E61" s="127" t="str">
        <f>CONCATENATE(B61,C61,D61)</f>
        <v>0111011</v>
      </c>
      <c r="F61" s="91" t="s">
        <v>374</v>
      </c>
    </row>
    <row r="62" spans="1:6" s="91" customFormat="1" x14ac:dyDescent="0.25">
      <c r="A62" s="126">
        <f t="shared" si="2"/>
        <v>28</v>
      </c>
      <c r="B62" s="127">
        <v>0</v>
      </c>
      <c r="C62" s="127">
        <v>1</v>
      </c>
      <c r="D62" s="127" t="str">
        <f t="shared" si="0"/>
        <v>11100</v>
      </c>
      <c r="E62" s="127" t="str">
        <f>CONCATENATE(B62,C62,D62)</f>
        <v>0111100</v>
      </c>
      <c r="F62" s="91" t="s">
        <v>374</v>
      </c>
    </row>
    <row r="63" spans="1:6" s="91" customFormat="1" x14ac:dyDescent="0.25">
      <c r="A63" s="126">
        <f t="shared" si="2"/>
        <v>29</v>
      </c>
      <c r="B63" s="127">
        <v>0</v>
      </c>
      <c r="C63" s="127">
        <v>1</v>
      </c>
      <c r="D63" s="127" t="str">
        <f t="shared" si="0"/>
        <v>11101</v>
      </c>
      <c r="E63" s="127" t="str">
        <f>CONCATENATE(B63,C63,D63)</f>
        <v>0111101</v>
      </c>
      <c r="F63" s="91" t="s">
        <v>374</v>
      </c>
    </row>
    <row r="64" spans="1:6" s="91" customFormat="1" x14ac:dyDescent="0.25">
      <c r="A64" s="126">
        <f t="shared" si="2"/>
        <v>30</v>
      </c>
      <c r="B64" s="127">
        <v>0</v>
      </c>
      <c r="C64" s="127">
        <v>1</v>
      </c>
      <c r="D64" s="127" t="str">
        <f t="shared" si="0"/>
        <v>11110</v>
      </c>
      <c r="E64" s="127" t="str">
        <f>CONCATENATE(B64,C64,D64)</f>
        <v>0111110</v>
      </c>
      <c r="F64" s="91" t="s">
        <v>374</v>
      </c>
    </row>
    <row r="65" spans="1:6" s="92" customFormat="1" ht="15.75" thickBot="1" x14ac:dyDescent="0.3">
      <c r="A65" s="128">
        <f t="shared" si="2"/>
        <v>31</v>
      </c>
      <c r="B65" s="129">
        <v>0</v>
      </c>
      <c r="C65" s="129">
        <v>1</v>
      </c>
      <c r="D65" s="129" t="str">
        <f t="shared" si="0"/>
        <v>11111</v>
      </c>
      <c r="E65" s="129" t="str">
        <f>CONCATENATE(B65,C65,D65)</f>
        <v>0111111</v>
      </c>
      <c r="F65" s="92" t="s">
        <v>374</v>
      </c>
    </row>
    <row r="66" spans="1:6" s="15" customFormat="1" x14ac:dyDescent="0.25">
      <c r="A66" s="130">
        <v>0</v>
      </c>
      <c r="B66" s="131">
        <v>1</v>
      </c>
      <c r="C66" s="131">
        <v>0</v>
      </c>
      <c r="D66" s="131" t="str">
        <f>DEC2BIN(A66,5)</f>
        <v>00000</v>
      </c>
      <c r="E66" s="131" t="str">
        <f>CONCATENATE(B66,C66,D66)</f>
        <v>1000000</v>
      </c>
      <c r="F66" s="15" t="s">
        <v>374</v>
      </c>
    </row>
    <row r="67" spans="1:6" s="18" customFormat="1" x14ac:dyDescent="0.25">
      <c r="A67" s="132">
        <f>A66+1</f>
        <v>1</v>
      </c>
      <c r="B67" s="110">
        <v>1</v>
      </c>
      <c r="C67" s="110">
        <v>0</v>
      </c>
      <c r="D67" s="110" t="str">
        <f t="shared" si="0"/>
        <v>00001</v>
      </c>
      <c r="E67" s="110" t="str">
        <f>CONCATENATE(B67,C67,D67)</f>
        <v>1000001</v>
      </c>
      <c r="F67" s="18" t="s">
        <v>374</v>
      </c>
    </row>
    <row r="68" spans="1:6" s="18" customFormat="1" x14ac:dyDescent="0.25">
      <c r="A68" s="132">
        <f t="shared" ref="A68:A97" si="3">A67+1</f>
        <v>2</v>
      </c>
      <c r="B68" s="110">
        <v>1</v>
      </c>
      <c r="C68" s="110">
        <v>0</v>
      </c>
      <c r="D68" s="110" t="str">
        <f t="shared" ref="D68:D129" si="4">DEC2BIN(A68,5)</f>
        <v>00010</v>
      </c>
      <c r="E68" s="110" t="str">
        <f>CONCATENATE(B68,C68,D68)</f>
        <v>1000010</v>
      </c>
      <c r="F68" s="18" t="s">
        <v>374</v>
      </c>
    </row>
    <row r="69" spans="1:6" s="18" customFormat="1" x14ac:dyDescent="0.25">
      <c r="A69" s="132">
        <f t="shared" si="3"/>
        <v>3</v>
      </c>
      <c r="B69" s="110">
        <v>1</v>
      </c>
      <c r="C69" s="110">
        <v>0</v>
      </c>
      <c r="D69" s="110" t="str">
        <f t="shared" si="4"/>
        <v>00011</v>
      </c>
      <c r="E69" s="110" t="str">
        <f>CONCATENATE(B69,C69,D69)</f>
        <v>1000011</v>
      </c>
      <c r="F69" s="18" t="s">
        <v>374</v>
      </c>
    </row>
    <row r="70" spans="1:6" s="18" customFormat="1" x14ac:dyDescent="0.25">
      <c r="A70" s="132">
        <f t="shared" si="3"/>
        <v>4</v>
      </c>
      <c r="B70" s="110">
        <v>1</v>
      </c>
      <c r="C70" s="110">
        <v>0</v>
      </c>
      <c r="D70" s="110" t="str">
        <f t="shared" si="4"/>
        <v>00100</v>
      </c>
      <c r="E70" s="110" t="str">
        <f>CONCATENATE(B70,C70,D70)</f>
        <v>1000100</v>
      </c>
      <c r="F70" s="18" t="s">
        <v>374</v>
      </c>
    </row>
    <row r="71" spans="1:6" s="18" customFormat="1" x14ac:dyDescent="0.25">
      <c r="A71" s="132">
        <f t="shared" si="3"/>
        <v>5</v>
      </c>
      <c r="B71" s="110">
        <v>1</v>
      </c>
      <c r="C71" s="110">
        <v>0</v>
      </c>
      <c r="D71" s="110" t="str">
        <f t="shared" si="4"/>
        <v>00101</v>
      </c>
      <c r="E71" s="110" t="str">
        <f>CONCATENATE(B71,C71,D71)</f>
        <v>1000101</v>
      </c>
      <c r="F71" s="18" t="s">
        <v>374</v>
      </c>
    </row>
    <row r="72" spans="1:6" s="18" customFormat="1" x14ac:dyDescent="0.25">
      <c r="A72" s="132">
        <f t="shared" si="3"/>
        <v>6</v>
      </c>
      <c r="B72" s="110">
        <v>1</v>
      </c>
      <c r="C72" s="110">
        <v>0</v>
      </c>
      <c r="D72" s="110" t="str">
        <f t="shared" si="4"/>
        <v>00110</v>
      </c>
      <c r="E72" s="110" t="str">
        <f>CONCATENATE(B72,C72,D72)</f>
        <v>1000110</v>
      </c>
      <c r="F72" s="18" t="s">
        <v>374</v>
      </c>
    </row>
    <row r="73" spans="1:6" s="18" customFormat="1" x14ac:dyDescent="0.25">
      <c r="A73" s="132">
        <f t="shared" si="3"/>
        <v>7</v>
      </c>
      <c r="B73" s="110">
        <v>1</v>
      </c>
      <c r="C73" s="110">
        <v>0</v>
      </c>
      <c r="D73" s="110" t="str">
        <f t="shared" si="4"/>
        <v>00111</v>
      </c>
      <c r="E73" s="110" t="str">
        <f>CONCATENATE(B73,C73,D73)</f>
        <v>1000111</v>
      </c>
      <c r="F73" s="18" t="s">
        <v>374</v>
      </c>
    </row>
    <row r="74" spans="1:6" s="18" customFormat="1" x14ac:dyDescent="0.25">
      <c r="A74" s="132">
        <f t="shared" si="3"/>
        <v>8</v>
      </c>
      <c r="B74" s="110">
        <v>1</v>
      </c>
      <c r="C74" s="110">
        <v>0</v>
      </c>
      <c r="D74" s="110" t="str">
        <f t="shared" si="4"/>
        <v>01000</v>
      </c>
      <c r="E74" s="110" t="str">
        <f>CONCATENATE(B74,C74,D74)</f>
        <v>1001000</v>
      </c>
      <c r="F74" s="18" t="s">
        <v>374</v>
      </c>
    </row>
    <row r="75" spans="1:6" s="18" customFormat="1" x14ac:dyDescent="0.25">
      <c r="A75" s="132">
        <f t="shared" si="3"/>
        <v>9</v>
      </c>
      <c r="B75" s="110">
        <v>1</v>
      </c>
      <c r="C75" s="110">
        <v>0</v>
      </c>
      <c r="D75" s="110" t="str">
        <f t="shared" si="4"/>
        <v>01001</v>
      </c>
      <c r="E75" s="110" t="str">
        <f>CONCATENATE(B75,C75,D75)</f>
        <v>1001001</v>
      </c>
      <c r="F75" s="18" t="s">
        <v>374</v>
      </c>
    </row>
    <row r="76" spans="1:6" s="18" customFormat="1" x14ac:dyDescent="0.25">
      <c r="A76" s="132">
        <f t="shared" si="3"/>
        <v>10</v>
      </c>
      <c r="B76" s="110">
        <v>1</v>
      </c>
      <c r="C76" s="110">
        <v>0</v>
      </c>
      <c r="D76" s="110" t="str">
        <f t="shared" si="4"/>
        <v>01010</v>
      </c>
      <c r="E76" s="110" t="str">
        <f>CONCATENATE(B76,C76,D76)</f>
        <v>1001010</v>
      </c>
      <c r="F76" s="18" t="s">
        <v>374</v>
      </c>
    </row>
    <row r="77" spans="1:6" s="18" customFormat="1" x14ac:dyDescent="0.25">
      <c r="A77" s="132">
        <f t="shared" si="3"/>
        <v>11</v>
      </c>
      <c r="B77" s="110">
        <v>1</v>
      </c>
      <c r="C77" s="110">
        <v>0</v>
      </c>
      <c r="D77" s="110" t="str">
        <f t="shared" si="4"/>
        <v>01011</v>
      </c>
      <c r="E77" s="110" t="str">
        <f>CONCATENATE(B77,C77,D77)</f>
        <v>1001011</v>
      </c>
      <c r="F77" s="18" t="s">
        <v>374</v>
      </c>
    </row>
    <row r="78" spans="1:6" s="18" customFormat="1" x14ac:dyDescent="0.25">
      <c r="A78" s="132">
        <f t="shared" si="3"/>
        <v>12</v>
      </c>
      <c r="B78" s="110">
        <v>1</v>
      </c>
      <c r="C78" s="110">
        <v>0</v>
      </c>
      <c r="D78" s="110" t="str">
        <f t="shared" si="4"/>
        <v>01100</v>
      </c>
      <c r="E78" s="110" t="str">
        <f>CONCATENATE(B78,C78,D78)</f>
        <v>1001100</v>
      </c>
      <c r="F78" s="18" t="s">
        <v>374</v>
      </c>
    </row>
    <row r="79" spans="1:6" s="18" customFormat="1" x14ac:dyDescent="0.25">
      <c r="A79" s="132">
        <f t="shared" si="3"/>
        <v>13</v>
      </c>
      <c r="B79" s="110">
        <v>1</v>
      </c>
      <c r="C79" s="110">
        <v>0</v>
      </c>
      <c r="D79" s="110" t="str">
        <f t="shared" si="4"/>
        <v>01101</v>
      </c>
      <c r="E79" s="110" t="str">
        <f>CONCATENATE(B79,C79,D79)</f>
        <v>1001101</v>
      </c>
      <c r="F79" s="18" t="s">
        <v>374</v>
      </c>
    </row>
    <row r="80" spans="1:6" s="18" customFormat="1" x14ac:dyDescent="0.25">
      <c r="A80" s="132">
        <f t="shared" si="3"/>
        <v>14</v>
      </c>
      <c r="B80" s="110">
        <v>1</v>
      </c>
      <c r="C80" s="110">
        <v>0</v>
      </c>
      <c r="D80" s="110" t="str">
        <f t="shared" si="4"/>
        <v>01110</v>
      </c>
      <c r="E80" s="110" t="str">
        <f>CONCATENATE(B80,C80,D80)</f>
        <v>1001110</v>
      </c>
      <c r="F80" s="18" t="s">
        <v>374</v>
      </c>
    </row>
    <row r="81" spans="1:6" s="94" customFormat="1" ht="15.75" thickBot="1" x14ac:dyDescent="0.3">
      <c r="A81" s="133">
        <f t="shared" si="3"/>
        <v>15</v>
      </c>
      <c r="B81" s="134">
        <v>1</v>
      </c>
      <c r="C81" s="134">
        <v>0</v>
      </c>
      <c r="D81" s="134" t="str">
        <f t="shared" si="4"/>
        <v>01111</v>
      </c>
      <c r="E81" s="134" t="str">
        <f>CONCATENATE(B81,C81,D81)</f>
        <v>1001111</v>
      </c>
      <c r="F81" s="94" t="s">
        <v>374</v>
      </c>
    </row>
    <row r="82" spans="1:6" s="116" customFormat="1" x14ac:dyDescent="0.25">
      <c r="A82" s="115">
        <f t="shared" si="3"/>
        <v>16</v>
      </c>
      <c r="B82" s="115">
        <v>1</v>
      </c>
      <c r="C82" s="115">
        <v>0</v>
      </c>
      <c r="D82" s="115" t="str">
        <f t="shared" si="4"/>
        <v>10000</v>
      </c>
      <c r="E82" s="115" t="str">
        <f>CONCATENATE(B82,C82,D82)</f>
        <v>1010000</v>
      </c>
      <c r="F82" s="116" t="s">
        <v>374</v>
      </c>
    </row>
    <row r="83" spans="1:6" s="116" customFormat="1" x14ac:dyDescent="0.25">
      <c r="A83" s="115">
        <f t="shared" si="3"/>
        <v>17</v>
      </c>
      <c r="B83" s="115">
        <v>1</v>
      </c>
      <c r="C83" s="115">
        <v>0</v>
      </c>
      <c r="D83" s="115" t="str">
        <f t="shared" si="4"/>
        <v>10001</v>
      </c>
      <c r="E83" s="115" t="str">
        <f>CONCATENATE(B83,C83,D83)</f>
        <v>1010001</v>
      </c>
      <c r="F83" s="116" t="s">
        <v>114</v>
      </c>
    </row>
    <row r="84" spans="1:6" s="116" customFormat="1" x14ac:dyDescent="0.25">
      <c r="A84" s="115">
        <f t="shared" si="3"/>
        <v>18</v>
      </c>
      <c r="B84" s="115">
        <v>1</v>
      </c>
      <c r="C84" s="115">
        <v>0</v>
      </c>
      <c r="D84" s="115" t="str">
        <f t="shared" si="4"/>
        <v>10010</v>
      </c>
      <c r="E84" s="115" t="str">
        <f>CONCATENATE(B84,C84,D84)</f>
        <v>1010010</v>
      </c>
      <c r="F84" s="116" t="s">
        <v>374</v>
      </c>
    </row>
    <row r="85" spans="1:6" s="116" customFormat="1" x14ac:dyDescent="0.25">
      <c r="A85" s="115">
        <f t="shared" si="3"/>
        <v>19</v>
      </c>
      <c r="B85" s="115">
        <v>1</v>
      </c>
      <c r="C85" s="115">
        <v>0</v>
      </c>
      <c r="D85" s="115" t="str">
        <f t="shared" si="4"/>
        <v>10011</v>
      </c>
      <c r="E85" s="115" t="str">
        <f>CONCATENATE(B85,C85,D85)</f>
        <v>1010011</v>
      </c>
      <c r="F85" s="116" t="s">
        <v>374</v>
      </c>
    </row>
    <row r="86" spans="1:6" s="116" customFormat="1" x14ac:dyDescent="0.25">
      <c r="A86" s="115">
        <f t="shared" si="3"/>
        <v>20</v>
      </c>
      <c r="B86" s="115">
        <v>1</v>
      </c>
      <c r="C86" s="115">
        <v>0</v>
      </c>
      <c r="D86" s="115" t="str">
        <f t="shared" si="4"/>
        <v>10100</v>
      </c>
      <c r="E86" s="115" t="str">
        <f>CONCATENATE(B86,C86,D86)</f>
        <v>1010100</v>
      </c>
      <c r="F86" s="116" t="s">
        <v>372</v>
      </c>
    </row>
    <row r="87" spans="1:6" s="116" customFormat="1" x14ac:dyDescent="0.25">
      <c r="A87" s="115">
        <f t="shared" si="3"/>
        <v>21</v>
      </c>
      <c r="B87" s="115">
        <v>1</v>
      </c>
      <c r="C87" s="115">
        <v>0</v>
      </c>
      <c r="D87" s="115" t="str">
        <f t="shared" si="4"/>
        <v>10101</v>
      </c>
      <c r="E87" s="115" t="str">
        <f>CONCATENATE(B87,C87,D87)</f>
        <v>1010101</v>
      </c>
      <c r="F87" s="116" t="s">
        <v>373</v>
      </c>
    </row>
    <row r="88" spans="1:6" s="116" customFormat="1" x14ac:dyDescent="0.25">
      <c r="A88" s="115">
        <f t="shared" si="3"/>
        <v>22</v>
      </c>
      <c r="B88" s="115">
        <v>1</v>
      </c>
      <c r="C88" s="115">
        <v>0</v>
      </c>
      <c r="D88" s="115" t="str">
        <f t="shared" si="4"/>
        <v>10110</v>
      </c>
      <c r="E88" s="115" t="str">
        <f>CONCATENATE(B88,C88,D88)</f>
        <v>1010110</v>
      </c>
      <c r="F88" s="116" t="s">
        <v>374</v>
      </c>
    </row>
    <row r="89" spans="1:6" s="116" customFormat="1" x14ac:dyDescent="0.25">
      <c r="A89" s="115">
        <f t="shared" si="3"/>
        <v>23</v>
      </c>
      <c r="B89" s="115">
        <v>1</v>
      </c>
      <c r="C89" s="115">
        <v>0</v>
      </c>
      <c r="D89" s="115" t="str">
        <f t="shared" si="4"/>
        <v>10111</v>
      </c>
      <c r="E89" s="115" t="str">
        <f>CONCATENATE(B89,C89,D89)</f>
        <v>1010111</v>
      </c>
      <c r="F89" s="116" t="s">
        <v>374</v>
      </c>
    </row>
    <row r="90" spans="1:6" s="116" customFormat="1" x14ac:dyDescent="0.25">
      <c r="A90" s="115">
        <f t="shared" si="3"/>
        <v>24</v>
      </c>
      <c r="B90" s="115">
        <v>1</v>
      </c>
      <c r="C90" s="115">
        <v>0</v>
      </c>
      <c r="D90" s="115" t="str">
        <f t="shared" si="4"/>
        <v>11000</v>
      </c>
      <c r="E90" s="115" t="str">
        <f>CONCATENATE(B90,C90,D90)</f>
        <v>1011000</v>
      </c>
      <c r="F90" s="116" t="s">
        <v>374</v>
      </c>
    </row>
    <row r="91" spans="1:6" s="116" customFormat="1" x14ac:dyDescent="0.25">
      <c r="A91" s="115">
        <f t="shared" si="3"/>
        <v>25</v>
      </c>
      <c r="B91" s="115">
        <v>1</v>
      </c>
      <c r="C91" s="115">
        <v>0</v>
      </c>
      <c r="D91" s="115" t="str">
        <f t="shared" si="4"/>
        <v>11001</v>
      </c>
      <c r="E91" s="115" t="str">
        <f>CONCATENATE(B91,C91,D91)</f>
        <v>1011001</v>
      </c>
      <c r="F91" s="116" t="s">
        <v>374</v>
      </c>
    </row>
    <row r="92" spans="1:6" s="116" customFormat="1" x14ac:dyDescent="0.25">
      <c r="A92" s="115">
        <f t="shared" si="3"/>
        <v>26</v>
      </c>
      <c r="B92" s="115">
        <v>1</v>
      </c>
      <c r="C92" s="115">
        <v>0</v>
      </c>
      <c r="D92" s="115" t="str">
        <f t="shared" si="4"/>
        <v>11010</v>
      </c>
      <c r="E92" s="115" t="str">
        <f>CONCATENATE(B92,C92,D92)</f>
        <v>1011010</v>
      </c>
      <c r="F92" s="116" t="s">
        <v>374</v>
      </c>
    </row>
    <row r="93" spans="1:6" s="116" customFormat="1" x14ac:dyDescent="0.25">
      <c r="A93" s="115">
        <f t="shared" si="3"/>
        <v>27</v>
      </c>
      <c r="B93" s="115">
        <v>1</v>
      </c>
      <c r="C93" s="115">
        <v>0</v>
      </c>
      <c r="D93" s="115" t="str">
        <f t="shared" si="4"/>
        <v>11011</v>
      </c>
      <c r="E93" s="115" t="str">
        <f>CONCATENATE(B93,C93,D93)</f>
        <v>1011011</v>
      </c>
      <c r="F93" s="116" t="s">
        <v>374</v>
      </c>
    </row>
    <row r="94" spans="1:6" s="116" customFormat="1" x14ac:dyDescent="0.25">
      <c r="A94" s="115">
        <f t="shared" si="3"/>
        <v>28</v>
      </c>
      <c r="B94" s="115">
        <v>1</v>
      </c>
      <c r="C94" s="115">
        <v>0</v>
      </c>
      <c r="D94" s="115" t="str">
        <f t="shared" si="4"/>
        <v>11100</v>
      </c>
      <c r="E94" s="115" t="str">
        <f>CONCATENATE(B94,C94,D94)</f>
        <v>1011100</v>
      </c>
      <c r="F94" s="116" t="s">
        <v>374</v>
      </c>
    </row>
    <row r="95" spans="1:6" s="116" customFormat="1" x14ac:dyDescent="0.25">
      <c r="A95" s="115">
        <f t="shared" si="3"/>
        <v>29</v>
      </c>
      <c r="B95" s="115">
        <v>1</v>
      </c>
      <c r="C95" s="115">
        <v>0</v>
      </c>
      <c r="D95" s="115" t="str">
        <f t="shared" si="4"/>
        <v>11101</v>
      </c>
      <c r="E95" s="115" t="str">
        <f>CONCATENATE(B95,C95,D95)</f>
        <v>1011101</v>
      </c>
      <c r="F95" s="116" t="s">
        <v>374</v>
      </c>
    </row>
    <row r="96" spans="1:6" s="116" customFormat="1" x14ac:dyDescent="0.25">
      <c r="A96" s="115">
        <f t="shared" si="3"/>
        <v>30</v>
      </c>
      <c r="B96" s="115">
        <v>1</v>
      </c>
      <c r="C96" s="115">
        <v>0</v>
      </c>
      <c r="D96" s="115" t="str">
        <f t="shared" si="4"/>
        <v>11110</v>
      </c>
      <c r="E96" s="115" t="str">
        <f>CONCATENATE(B96,C96,D96)</f>
        <v>1011110</v>
      </c>
      <c r="F96" s="116" t="s">
        <v>374</v>
      </c>
    </row>
    <row r="97" spans="1:6" s="116" customFormat="1" ht="15.75" thickBot="1" x14ac:dyDescent="0.3">
      <c r="A97" s="115">
        <f t="shared" si="3"/>
        <v>31</v>
      </c>
      <c r="B97" s="115">
        <v>1</v>
      </c>
      <c r="C97" s="115">
        <v>0</v>
      </c>
      <c r="D97" s="115" t="str">
        <f t="shared" si="4"/>
        <v>11111</v>
      </c>
      <c r="E97" s="115" t="str">
        <f>CONCATENATE(B97,C97,D97)</f>
        <v>1011111</v>
      </c>
      <c r="F97" s="116" t="s">
        <v>374</v>
      </c>
    </row>
    <row r="98" spans="1:6" s="137" customFormat="1" x14ac:dyDescent="0.25">
      <c r="A98" s="135">
        <v>0</v>
      </c>
      <c r="B98" s="136">
        <v>1</v>
      </c>
      <c r="C98" s="136">
        <v>1</v>
      </c>
      <c r="D98" s="136" t="str">
        <f>DEC2BIN(A98,5)</f>
        <v>00000</v>
      </c>
      <c r="E98" s="136" t="str">
        <f>CONCATENATE(B98,C98,D98)</f>
        <v>1100000</v>
      </c>
      <c r="F98" s="137" t="s">
        <v>374</v>
      </c>
    </row>
    <row r="99" spans="1:6" s="140" customFormat="1" x14ac:dyDescent="0.25">
      <c r="A99" s="138">
        <f>A98+1</f>
        <v>1</v>
      </c>
      <c r="B99" s="139">
        <v>1</v>
      </c>
      <c r="C99" s="139">
        <v>1</v>
      </c>
      <c r="D99" s="139" t="str">
        <f t="shared" si="4"/>
        <v>00001</v>
      </c>
      <c r="E99" s="139" t="str">
        <f>CONCATENATE(B99,C99,D99)</f>
        <v>1100001</v>
      </c>
      <c r="F99" s="140" t="s">
        <v>204</v>
      </c>
    </row>
    <row r="100" spans="1:6" s="140" customFormat="1" x14ac:dyDescent="0.25">
      <c r="A100" s="138">
        <f t="shared" ref="A100:A129" si="5">A99+1</f>
        <v>2</v>
      </c>
      <c r="B100" s="139">
        <v>1</v>
      </c>
      <c r="C100" s="139">
        <v>1</v>
      </c>
      <c r="D100" s="139" t="str">
        <f t="shared" si="4"/>
        <v>00010</v>
      </c>
      <c r="E100" s="139" t="str">
        <f>CONCATENATE(B100,C100,D100)</f>
        <v>1100010</v>
      </c>
      <c r="F100" s="140" t="s">
        <v>374</v>
      </c>
    </row>
    <row r="101" spans="1:6" s="140" customFormat="1" x14ac:dyDescent="0.25">
      <c r="A101" s="138">
        <f t="shared" si="5"/>
        <v>3</v>
      </c>
      <c r="B101" s="139">
        <v>1</v>
      </c>
      <c r="C101" s="139">
        <v>1</v>
      </c>
      <c r="D101" s="139" t="str">
        <f t="shared" si="4"/>
        <v>00011</v>
      </c>
      <c r="E101" s="139" t="str">
        <f>CONCATENATE(B101,C101,D101)</f>
        <v>1100011</v>
      </c>
      <c r="F101" s="140" t="s">
        <v>376</v>
      </c>
    </row>
    <row r="102" spans="1:6" s="140" customFormat="1" x14ac:dyDescent="0.25">
      <c r="A102" s="138">
        <f t="shared" si="5"/>
        <v>4</v>
      </c>
      <c r="B102" s="139">
        <v>1</v>
      </c>
      <c r="C102" s="139">
        <v>1</v>
      </c>
      <c r="D102" s="139" t="str">
        <f t="shared" si="4"/>
        <v>00100</v>
      </c>
      <c r="E102" s="139" t="str">
        <f>CONCATENATE(B102,C102,D102)</f>
        <v>1100100</v>
      </c>
      <c r="F102" s="140" t="s">
        <v>377</v>
      </c>
    </row>
    <row r="103" spans="1:6" s="140" customFormat="1" x14ac:dyDescent="0.25">
      <c r="A103" s="138">
        <f t="shared" si="5"/>
        <v>5</v>
      </c>
      <c r="B103" s="139">
        <v>1</v>
      </c>
      <c r="C103" s="139">
        <v>1</v>
      </c>
      <c r="D103" s="139" t="str">
        <f t="shared" si="4"/>
        <v>00101</v>
      </c>
      <c r="E103" s="139" t="str">
        <f>CONCATENATE(B103,C103,D103)</f>
        <v>1100101</v>
      </c>
      <c r="F103" s="140" t="s">
        <v>378</v>
      </c>
    </row>
    <row r="104" spans="1:6" s="140" customFormat="1" x14ac:dyDescent="0.25">
      <c r="A104" s="138">
        <f t="shared" si="5"/>
        <v>6</v>
      </c>
      <c r="B104" s="139">
        <v>1</v>
      </c>
      <c r="C104" s="139">
        <v>1</v>
      </c>
      <c r="D104" s="139" t="str">
        <f t="shared" si="4"/>
        <v>00110</v>
      </c>
      <c r="E104" s="139" t="str">
        <f>CONCATENATE(B104,C104,D104)</f>
        <v>1100110</v>
      </c>
      <c r="F104" s="140" t="s">
        <v>379</v>
      </c>
    </row>
    <row r="105" spans="1:6" s="140" customFormat="1" x14ac:dyDescent="0.25">
      <c r="A105" s="138">
        <f t="shared" si="5"/>
        <v>7</v>
      </c>
      <c r="B105" s="139">
        <v>1</v>
      </c>
      <c r="C105" s="139">
        <v>1</v>
      </c>
      <c r="D105" s="139" t="str">
        <f t="shared" si="4"/>
        <v>00111</v>
      </c>
      <c r="E105" s="139" t="str">
        <f>CONCATENATE(B105,C105,D105)</f>
        <v>1100111</v>
      </c>
      <c r="F105" s="140" t="s">
        <v>380</v>
      </c>
    </row>
    <row r="106" spans="1:6" s="140" customFormat="1" x14ac:dyDescent="0.25">
      <c r="A106" s="138">
        <f t="shared" si="5"/>
        <v>8</v>
      </c>
      <c r="B106" s="139">
        <v>1</v>
      </c>
      <c r="C106" s="139">
        <v>1</v>
      </c>
      <c r="D106" s="139" t="str">
        <f t="shared" si="4"/>
        <v>01000</v>
      </c>
      <c r="E106" s="139" t="str">
        <f>CONCATENATE(B106,C106,D106)</f>
        <v>1101000</v>
      </c>
      <c r="F106" s="140" t="s">
        <v>355</v>
      </c>
    </row>
    <row r="107" spans="1:6" s="140" customFormat="1" x14ac:dyDescent="0.25">
      <c r="A107" s="138">
        <f t="shared" si="5"/>
        <v>9</v>
      </c>
      <c r="B107" s="139">
        <v>1</v>
      </c>
      <c r="C107" s="139">
        <v>1</v>
      </c>
      <c r="D107" s="139" t="str">
        <f t="shared" si="4"/>
        <v>01001</v>
      </c>
      <c r="E107" s="139" t="str">
        <f>CONCATENATE(B107,C107,D107)</f>
        <v>1101001</v>
      </c>
      <c r="F107" s="140" t="s">
        <v>374</v>
      </c>
    </row>
    <row r="108" spans="1:6" s="140" customFormat="1" x14ac:dyDescent="0.25">
      <c r="A108" s="138">
        <f t="shared" si="5"/>
        <v>10</v>
      </c>
      <c r="B108" s="139">
        <v>1</v>
      </c>
      <c r="C108" s="139">
        <v>1</v>
      </c>
      <c r="D108" s="139" t="str">
        <f t="shared" si="4"/>
        <v>01010</v>
      </c>
      <c r="E108" s="139" t="str">
        <f>CONCATENATE(B108,C108,D108)</f>
        <v>1101010</v>
      </c>
      <c r="F108" s="140" t="s">
        <v>374</v>
      </c>
    </row>
    <row r="109" spans="1:6" s="140" customFormat="1" x14ac:dyDescent="0.25">
      <c r="A109" s="138">
        <f t="shared" si="5"/>
        <v>11</v>
      </c>
      <c r="B109" s="139">
        <v>1</v>
      </c>
      <c r="C109" s="139">
        <v>1</v>
      </c>
      <c r="D109" s="139" t="str">
        <f t="shared" si="4"/>
        <v>01011</v>
      </c>
      <c r="E109" s="139" t="str">
        <f>CONCATENATE(B109,C109,D109)</f>
        <v>1101011</v>
      </c>
      <c r="F109" s="140" t="s">
        <v>374</v>
      </c>
    </row>
    <row r="110" spans="1:6" s="140" customFormat="1" x14ac:dyDescent="0.25">
      <c r="A110" s="138">
        <f t="shared" si="5"/>
        <v>12</v>
      </c>
      <c r="B110" s="139">
        <v>1</v>
      </c>
      <c r="C110" s="139">
        <v>1</v>
      </c>
      <c r="D110" s="139" t="str">
        <f t="shared" si="4"/>
        <v>01100</v>
      </c>
      <c r="E110" s="139" t="str">
        <f>CONCATENATE(B110,C110,D110)</f>
        <v>1101100</v>
      </c>
      <c r="F110" s="140" t="s">
        <v>374</v>
      </c>
    </row>
    <row r="111" spans="1:6" s="140" customFormat="1" x14ac:dyDescent="0.25">
      <c r="A111" s="138">
        <f t="shared" si="5"/>
        <v>13</v>
      </c>
      <c r="B111" s="139">
        <v>1</v>
      </c>
      <c r="C111" s="139">
        <v>1</v>
      </c>
      <c r="D111" s="139" t="str">
        <f t="shared" si="4"/>
        <v>01101</v>
      </c>
      <c r="E111" s="139" t="str">
        <f>CONCATENATE(B111,C111,D111)</f>
        <v>1101101</v>
      </c>
      <c r="F111" s="140" t="s">
        <v>374</v>
      </c>
    </row>
    <row r="112" spans="1:6" s="140" customFormat="1" x14ac:dyDescent="0.25">
      <c r="A112" s="138">
        <f t="shared" si="5"/>
        <v>14</v>
      </c>
      <c r="B112" s="139">
        <v>1</v>
      </c>
      <c r="C112" s="139">
        <v>1</v>
      </c>
      <c r="D112" s="139" t="str">
        <f t="shared" si="4"/>
        <v>01110</v>
      </c>
      <c r="E112" s="139" t="str">
        <f>CONCATENATE(B112,C112,D112)</f>
        <v>1101110</v>
      </c>
      <c r="F112" s="140" t="s">
        <v>374</v>
      </c>
    </row>
    <row r="113" spans="1:6" s="143" customFormat="1" ht="15.75" thickBot="1" x14ac:dyDescent="0.3">
      <c r="A113" s="141">
        <f t="shared" si="5"/>
        <v>15</v>
      </c>
      <c r="B113" s="142">
        <v>1</v>
      </c>
      <c r="C113" s="142">
        <v>1</v>
      </c>
      <c r="D113" s="142" t="str">
        <f t="shared" si="4"/>
        <v>01111</v>
      </c>
      <c r="E113" s="142" t="str">
        <f>CONCATENATE(B113,C113,D113)</f>
        <v>1101111</v>
      </c>
      <c r="F113" s="143" t="s">
        <v>374</v>
      </c>
    </row>
    <row r="114" spans="1:6" s="137" customFormat="1" x14ac:dyDescent="0.25">
      <c r="A114" s="135">
        <f t="shared" si="5"/>
        <v>16</v>
      </c>
      <c r="B114" s="136">
        <v>1</v>
      </c>
      <c r="C114" s="136">
        <v>1</v>
      </c>
      <c r="D114" s="136" t="str">
        <f t="shared" si="4"/>
        <v>10000</v>
      </c>
      <c r="E114" s="136" t="str">
        <f>CONCATENATE(B114,C114,D114)</f>
        <v>1110000</v>
      </c>
      <c r="F114" s="140" t="s">
        <v>374</v>
      </c>
    </row>
    <row r="115" spans="1:6" s="140" customFormat="1" x14ac:dyDescent="0.25">
      <c r="A115" s="138">
        <f t="shared" si="5"/>
        <v>17</v>
      </c>
      <c r="B115" s="139">
        <v>1</v>
      </c>
      <c r="C115" s="139">
        <v>1</v>
      </c>
      <c r="D115" s="139" t="str">
        <f t="shared" si="4"/>
        <v>10001</v>
      </c>
      <c r="E115" s="139" t="str">
        <f>CONCATENATE(B115,C115,D115)</f>
        <v>1110001</v>
      </c>
      <c r="F115" s="140" t="s">
        <v>204</v>
      </c>
    </row>
    <row r="116" spans="1:6" s="140" customFormat="1" x14ac:dyDescent="0.25">
      <c r="A116" s="138">
        <f t="shared" si="5"/>
        <v>18</v>
      </c>
      <c r="B116" s="139">
        <v>1</v>
      </c>
      <c r="C116" s="139">
        <v>1</v>
      </c>
      <c r="D116" s="139" t="str">
        <f t="shared" si="4"/>
        <v>10010</v>
      </c>
      <c r="E116" s="139" t="str">
        <f>CONCATENATE(B116,C116,D116)</f>
        <v>1110010</v>
      </c>
      <c r="F116" s="140" t="s">
        <v>374</v>
      </c>
    </row>
    <row r="117" spans="1:6" s="140" customFormat="1" x14ac:dyDescent="0.25">
      <c r="A117" s="138">
        <f t="shared" si="5"/>
        <v>19</v>
      </c>
      <c r="B117" s="139">
        <v>1</v>
      </c>
      <c r="C117" s="139">
        <v>1</v>
      </c>
      <c r="D117" s="139" t="str">
        <f t="shared" si="4"/>
        <v>10011</v>
      </c>
      <c r="E117" s="139" t="str">
        <f>CONCATENATE(B117,C117,D117)</f>
        <v>1110011</v>
      </c>
      <c r="F117" s="140" t="s">
        <v>374</v>
      </c>
    </row>
    <row r="118" spans="1:6" s="140" customFormat="1" x14ac:dyDescent="0.25">
      <c r="A118" s="138">
        <f t="shared" si="5"/>
        <v>20</v>
      </c>
      <c r="B118" s="139">
        <v>1</v>
      </c>
      <c r="C118" s="139">
        <v>1</v>
      </c>
      <c r="D118" s="139" t="str">
        <f t="shared" si="4"/>
        <v>10100</v>
      </c>
      <c r="E118" s="139" t="str">
        <f>CONCATENATE(B118,C118,D118)</f>
        <v>1110100</v>
      </c>
      <c r="F118" s="140" t="s">
        <v>372</v>
      </c>
    </row>
    <row r="119" spans="1:6" s="140" customFormat="1" x14ac:dyDescent="0.25">
      <c r="A119" s="138">
        <f t="shared" si="5"/>
        <v>21</v>
      </c>
      <c r="B119" s="139">
        <v>1</v>
      </c>
      <c r="C119" s="139">
        <v>1</v>
      </c>
      <c r="D119" s="139" t="str">
        <f t="shared" si="4"/>
        <v>10101</v>
      </c>
      <c r="E119" s="139" t="str">
        <f>CONCATENATE(B119,C119,D119)</f>
        <v>1110101</v>
      </c>
      <c r="F119" s="140" t="s">
        <v>373</v>
      </c>
    </row>
    <row r="120" spans="1:6" s="140" customFormat="1" x14ac:dyDescent="0.25">
      <c r="A120" s="138">
        <f t="shared" si="5"/>
        <v>22</v>
      </c>
      <c r="B120" s="139">
        <v>1</v>
      </c>
      <c r="C120" s="139">
        <v>1</v>
      </c>
      <c r="D120" s="139" t="str">
        <f t="shared" si="4"/>
        <v>10110</v>
      </c>
      <c r="E120" s="139" t="str">
        <f>CONCATENATE(B120,C120,D120)</f>
        <v>1110110</v>
      </c>
      <c r="F120" s="140" t="s">
        <v>374</v>
      </c>
    </row>
    <row r="121" spans="1:6" s="140" customFormat="1" x14ac:dyDescent="0.25">
      <c r="A121" s="138">
        <f t="shared" si="5"/>
        <v>23</v>
      </c>
      <c r="B121" s="139">
        <v>1</v>
      </c>
      <c r="C121" s="139">
        <v>1</v>
      </c>
      <c r="D121" s="139" t="str">
        <f t="shared" si="4"/>
        <v>10111</v>
      </c>
      <c r="E121" s="139" t="str">
        <f>CONCATENATE(B121,C121,D121)</f>
        <v>1110111</v>
      </c>
      <c r="F121" s="140" t="s">
        <v>374</v>
      </c>
    </row>
    <row r="122" spans="1:6" s="140" customFormat="1" x14ac:dyDescent="0.25">
      <c r="A122" s="138">
        <f t="shared" si="5"/>
        <v>24</v>
      </c>
      <c r="B122" s="139">
        <v>1</v>
      </c>
      <c r="C122" s="139">
        <v>1</v>
      </c>
      <c r="D122" s="139" t="str">
        <f t="shared" si="4"/>
        <v>11000</v>
      </c>
      <c r="E122" s="139" t="str">
        <f>CONCATENATE(B122,C122,D122)</f>
        <v>1111000</v>
      </c>
      <c r="F122" s="140" t="s">
        <v>374</v>
      </c>
    </row>
    <row r="123" spans="1:6" s="140" customFormat="1" x14ac:dyDescent="0.25">
      <c r="A123" s="138">
        <f t="shared" si="5"/>
        <v>25</v>
      </c>
      <c r="B123" s="139">
        <v>1</v>
      </c>
      <c r="C123" s="139">
        <v>1</v>
      </c>
      <c r="D123" s="139" t="str">
        <f t="shared" si="4"/>
        <v>11001</v>
      </c>
      <c r="E123" s="139" t="str">
        <f>CONCATENATE(B123,C123,D123)</f>
        <v>1111001</v>
      </c>
      <c r="F123" s="140" t="s">
        <v>374</v>
      </c>
    </row>
    <row r="124" spans="1:6" s="140" customFormat="1" x14ac:dyDescent="0.25">
      <c r="A124" s="138">
        <f t="shared" si="5"/>
        <v>26</v>
      </c>
      <c r="B124" s="139">
        <v>1</v>
      </c>
      <c r="C124" s="139">
        <v>1</v>
      </c>
      <c r="D124" s="139" t="str">
        <f t="shared" si="4"/>
        <v>11010</v>
      </c>
      <c r="E124" s="139" t="str">
        <f>CONCATENATE(B124,C124,D124)</f>
        <v>1111010</v>
      </c>
      <c r="F124" s="140" t="s">
        <v>374</v>
      </c>
    </row>
    <row r="125" spans="1:6" s="140" customFormat="1" x14ac:dyDescent="0.25">
      <c r="A125" s="138">
        <f t="shared" si="5"/>
        <v>27</v>
      </c>
      <c r="B125" s="139">
        <v>1</v>
      </c>
      <c r="C125" s="139">
        <v>1</v>
      </c>
      <c r="D125" s="139" t="str">
        <f t="shared" si="4"/>
        <v>11011</v>
      </c>
      <c r="E125" s="139" t="str">
        <f>CONCATENATE(B125,C125,D125)</f>
        <v>1111011</v>
      </c>
      <c r="F125" s="140" t="s">
        <v>374</v>
      </c>
    </row>
    <row r="126" spans="1:6" s="140" customFormat="1" x14ac:dyDescent="0.25">
      <c r="A126" s="138">
        <f t="shared" si="5"/>
        <v>28</v>
      </c>
      <c r="B126" s="139">
        <v>1</v>
      </c>
      <c r="C126" s="139">
        <v>1</v>
      </c>
      <c r="D126" s="139" t="str">
        <f t="shared" si="4"/>
        <v>11100</v>
      </c>
      <c r="E126" s="139" t="str">
        <f>CONCATENATE(B126,C126,D126)</f>
        <v>1111100</v>
      </c>
      <c r="F126" s="140" t="s">
        <v>374</v>
      </c>
    </row>
    <row r="127" spans="1:6" s="140" customFormat="1" x14ac:dyDescent="0.25">
      <c r="A127" s="138">
        <f t="shared" si="5"/>
        <v>29</v>
      </c>
      <c r="B127" s="139">
        <v>1</v>
      </c>
      <c r="C127" s="139">
        <v>1</v>
      </c>
      <c r="D127" s="139" t="str">
        <f t="shared" si="4"/>
        <v>11101</v>
      </c>
      <c r="E127" s="139" t="str">
        <f>CONCATENATE(B127,C127,D127)</f>
        <v>1111101</v>
      </c>
      <c r="F127" s="140" t="s">
        <v>374</v>
      </c>
    </row>
    <row r="128" spans="1:6" s="140" customFormat="1" x14ac:dyDescent="0.25">
      <c r="A128" s="138">
        <f t="shared" si="5"/>
        <v>30</v>
      </c>
      <c r="B128" s="139">
        <v>1</v>
      </c>
      <c r="C128" s="139">
        <v>1</v>
      </c>
      <c r="D128" s="139" t="str">
        <f t="shared" si="4"/>
        <v>11110</v>
      </c>
      <c r="E128" s="139" t="str">
        <f>CONCATENATE(B128,C128,D128)</f>
        <v>1111110</v>
      </c>
      <c r="F128" s="140" t="s">
        <v>374</v>
      </c>
    </row>
    <row r="129" spans="1:6" s="143" customFormat="1" ht="15.75" thickBot="1" x14ac:dyDescent="0.3">
      <c r="A129" s="141">
        <f t="shared" si="5"/>
        <v>31</v>
      </c>
      <c r="B129" s="142">
        <v>1</v>
      </c>
      <c r="C129" s="142">
        <v>1</v>
      </c>
      <c r="D129" s="142" t="str">
        <f t="shared" si="4"/>
        <v>11111</v>
      </c>
      <c r="E129" s="142" t="str">
        <f>CONCATENATE(B129,C129,D129)</f>
        <v>1111111</v>
      </c>
      <c r="F129" s="143" t="s">
        <v>374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MIL-STD_1553_Registers</vt:lpstr>
      <vt:lpstr>Mode Commands</vt:lpstr>
      <vt:lpstr>MemoryMap</vt:lpstr>
      <vt:lpstr>TX RAM Allocation</vt:lpstr>
      <vt:lpstr>Test Cases</vt:lpstr>
      <vt:lpstr>ModeCmds</vt:lpstr>
      <vt:lpstr>'MIL-STD_1553_Registers'!Print_Area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ivor</dc:creator>
  <cp:lastModifiedBy>Ivor</cp:lastModifiedBy>
  <cp:lastPrinted>2021-07-30T05:48:36Z</cp:lastPrinted>
  <dcterms:created xsi:type="dcterms:W3CDTF">2019-06-18T09:45:00Z</dcterms:created>
  <dcterms:modified xsi:type="dcterms:W3CDTF">2021-08-28T12:30:55Z</dcterms:modified>
</cp:coreProperties>
</file>