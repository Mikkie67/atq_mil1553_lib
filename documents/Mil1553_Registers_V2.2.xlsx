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_Projects\mil1553_lib\documents\"/>
    </mc:Choice>
  </mc:AlternateContent>
  <bookViews>
    <workbookView xWindow="0" yWindow="0" windowWidth="7350" windowHeight="4785"/>
  </bookViews>
  <sheets>
    <sheet name="MIL-STD_1553_Registers" sheetId="2" r:id="rId1"/>
    <sheet name="FAT Result Sheet" sheetId="25" r:id="rId2"/>
    <sheet name="CONV_USB_1553_Registers" sheetId="24" r:id="rId3"/>
    <sheet name="SerialProtocol" sheetId="23" r:id="rId4"/>
    <sheet name="Mode Commands" sheetId="19" r:id="rId5"/>
    <sheet name="MemoryMap" sheetId="18" r:id="rId6"/>
    <sheet name="MemMap" sheetId="22" r:id="rId7"/>
    <sheet name="TX RAM Allocation" sheetId="17" r:id="rId8"/>
    <sheet name="ModeCmds" sheetId="21" r:id="rId9"/>
  </sheets>
  <definedNames>
    <definedName name="_xlnm.Print_Area" localSheetId="2">CONV_USB_1553_Registers!$C$1:$W$17</definedName>
    <definedName name="_xlnm.Print_Area" localSheetId="0">'MIL-STD_1553_Registers'!$C$1:$W$73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61" i="2" l="1"/>
  <c r="G62" i="2"/>
  <c r="G63" i="2"/>
  <c r="G64" i="2"/>
  <c r="G65" i="2"/>
  <c r="K16" i="23" l="1"/>
  <c r="L16" i="23"/>
  <c r="N16" i="23"/>
  <c r="X86" i="2" l="1"/>
  <c r="X87" i="2"/>
  <c r="X88" i="2"/>
  <c r="X89" i="2"/>
  <c r="X90" i="2"/>
  <c r="G60" i="2" l="1"/>
  <c r="D47" i="24" l="1"/>
  <c r="F47" i="24" s="1"/>
  <c r="D46" i="24"/>
  <c r="F46" i="24" s="1"/>
  <c r="F41" i="24"/>
  <c r="F42" i="24"/>
  <c r="F44" i="24"/>
  <c r="F45" i="24"/>
  <c r="F48" i="24"/>
  <c r="F49" i="24"/>
  <c r="F51" i="24"/>
  <c r="F52" i="24"/>
  <c r="F53" i="24"/>
  <c r="F54" i="24"/>
  <c r="F55" i="24"/>
  <c r="F56" i="24"/>
  <c r="F57" i="24"/>
  <c r="F58" i="24"/>
  <c r="F59" i="24"/>
  <c r="F38" i="24"/>
  <c r="F39" i="24"/>
  <c r="F40" i="24"/>
  <c r="AG3" i="17" l="1"/>
  <c r="AH3" i="17" s="1"/>
  <c r="AI3" i="17"/>
  <c r="AG4" i="17"/>
  <c r="AH4" i="17" s="1"/>
  <c r="AI4" i="17"/>
  <c r="AG5" i="17" l="1"/>
  <c r="AH5" i="17" s="1"/>
  <c r="AI5" i="17"/>
  <c r="AG6" i="17"/>
  <c r="AH6" i="17" s="1"/>
  <c r="AI6" i="17"/>
  <c r="AG7" i="17"/>
  <c r="AH7" i="17" s="1"/>
  <c r="AI7" i="17"/>
  <c r="AQ2" i="23"/>
  <c r="M2" i="23" l="1"/>
  <c r="G59" i="2" l="1"/>
  <c r="H38" i="24" l="1"/>
  <c r="G114" i="2" l="1"/>
  <c r="G150" i="2"/>
  <c r="G132" i="2"/>
  <c r="G96" i="2"/>
  <c r="G148" i="2"/>
  <c r="G130" i="2"/>
  <c r="G112" i="2"/>
  <c r="G94" i="2"/>
  <c r="E94" i="2"/>
  <c r="E95" i="2" s="1"/>
  <c r="E96" i="2" s="1"/>
  <c r="E97" i="2" s="1"/>
  <c r="E98" i="2" s="1"/>
  <c r="E99" i="2" s="1"/>
  <c r="E100" i="2" s="1"/>
  <c r="E101" i="2" s="1"/>
  <c r="E102" i="2" s="1"/>
  <c r="E103" i="2" s="1"/>
  <c r="E104" i="2" s="1"/>
  <c r="E105" i="2" s="1"/>
  <c r="E106" i="2" s="1"/>
  <c r="E107" i="2" s="1"/>
  <c r="E108" i="2" s="1"/>
  <c r="E112" i="2" s="1"/>
  <c r="E113" i="2" s="1"/>
  <c r="E114" i="2" s="1"/>
  <c r="E115" i="2" s="1"/>
  <c r="E116" i="2" s="1"/>
  <c r="E117" i="2" s="1"/>
  <c r="E118" i="2" s="1"/>
  <c r="E119" i="2" s="1"/>
  <c r="E120" i="2" s="1"/>
  <c r="E121" i="2" s="1"/>
  <c r="E122" i="2" s="1"/>
  <c r="E123" i="2" s="1"/>
  <c r="E124" i="2" s="1"/>
  <c r="E125" i="2" s="1"/>
  <c r="E126" i="2" s="1"/>
  <c r="E130" i="2" s="1"/>
  <c r="E131" i="2" s="1"/>
  <c r="E132" i="2" s="1"/>
  <c r="E133" i="2" s="1"/>
  <c r="E134" i="2" s="1"/>
  <c r="E135" i="2" s="1"/>
  <c r="E136" i="2" s="1"/>
  <c r="E137" i="2" s="1"/>
  <c r="E138" i="2" s="1"/>
  <c r="E139" i="2" s="1"/>
  <c r="E140" i="2" s="1"/>
  <c r="E141" i="2" s="1"/>
  <c r="E142" i="2" s="1"/>
  <c r="E143" i="2" s="1"/>
  <c r="E144" i="2" s="1"/>
  <c r="E148" i="2" s="1"/>
  <c r="E149" i="2" s="1"/>
  <c r="E150" i="2" s="1"/>
  <c r="E151" i="2" s="1"/>
  <c r="E152" i="2" s="1"/>
  <c r="E153" i="2" s="1"/>
  <c r="E154" i="2" s="1"/>
  <c r="E155" i="2" s="1"/>
  <c r="E156" i="2" s="1"/>
  <c r="E157" i="2" s="1"/>
  <c r="E158" i="2" s="1"/>
  <c r="E159" i="2" s="1"/>
  <c r="E160" i="2" s="1"/>
  <c r="E161" i="2" s="1"/>
  <c r="E162" i="2" s="1"/>
  <c r="H21" i="24"/>
  <c r="X2" i="24" l="1"/>
  <c r="X3" i="24"/>
  <c r="X4" i="24"/>
  <c r="X5" i="24"/>
  <c r="X6" i="24"/>
  <c r="X7" i="24"/>
  <c r="X8" i="24"/>
  <c r="X9" i="24"/>
  <c r="X10" i="24"/>
  <c r="X11" i="24"/>
  <c r="X12" i="24"/>
  <c r="X13" i="24"/>
  <c r="X14" i="24"/>
  <c r="X15" i="24"/>
  <c r="X16" i="24"/>
  <c r="X17" i="24"/>
  <c r="L1" i="23"/>
  <c r="M1" i="23" s="1"/>
  <c r="K1" i="23"/>
  <c r="J1" i="23"/>
  <c r="I1" i="23"/>
  <c r="H1" i="23"/>
  <c r="G2" i="23" l="1"/>
  <c r="H2" i="23"/>
  <c r="I2" i="23"/>
  <c r="J2" i="23" l="1"/>
  <c r="K2" i="23" s="1"/>
  <c r="L2" i="23" s="1"/>
  <c r="E13" i="23"/>
  <c r="E12" i="23"/>
  <c r="G8" i="2" l="1"/>
  <c r="AC2" i="24" l="1"/>
  <c r="AC3" i="24"/>
  <c r="AC4" i="24"/>
  <c r="AC5" i="24"/>
  <c r="AC6" i="24"/>
  <c r="AC7" i="24"/>
  <c r="AC8" i="24"/>
  <c r="AC9" i="24"/>
  <c r="AC10" i="24"/>
  <c r="AC11" i="24"/>
  <c r="AC12" i="24"/>
  <c r="AC13" i="24"/>
  <c r="AC14" i="24"/>
  <c r="AC15" i="24"/>
  <c r="AC16" i="24"/>
  <c r="AC17" i="24"/>
  <c r="B22" i="24" l="1"/>
  <c r="B23" i="24"/>
  <c r="B24" i="24"/>
  <c r="B25" i="24" s="1"/>
  <c r="B26" i="24" s="1"/>
  <c r="B27" i="24" s="1"/>
  <c r="B28" i="24" s="1"/>
  <c r="B29" i="24" s="1"/>
  <c r="B30" i="24" s="1"/>
  <c r="B31" i="24" s="1"/>
  <c r="B32" i="24" s="1"/>
  <c r="B33" i="24" s="1"/>
  <c r="B34" i="24" s="1"/>
  <c r="B35" i="24" s="1"/>
  <c r="B21" i="24"/>
  <c r="E2" i="23" l="1"/>
  <c r="F2" i="23" s="1"/>
  <c r="AB3" i="24" l="1"/>
  <c r="AB4" i="24"/>
  <c r="AB5" i="24"/>
  <c r="AB6" i="24"/>
  <c r="AB7" i="24"/>
  <c r="AB8" i="24"/>
  <c r="AB9" i="24"/>
  <c r="AB10" i="24"/>
  <c r="AB11" i="24"/>
  <c r="AB12" i="24"/>
  <c r="AB13" i="24"/>
  <c r="AB14" i="24"/>
  <c r="AB15" i="24"/>
  <c r="AB16" i="24"/>
  <c r="AB17" i="24"/>
  <c r="AB2" i="24"/>
  <c r="Z3" i="24"/>
  <c r="Z4" i="24"/>
  <c r="Z5" i="24"/>
  <c r="Z6" i="24"/>
  <c r="Z7" i="24"/>
  <c r="Z8" i="24"/>
  <c r="Z9" i="24"/>
  <c r="Z10" i="24"/>
  <c r="Z11" i="24"/>
  <c r="Z12" i="24"/>
  <c r="Z13" i="24"/>
  <c r="Z14" i="24"/>
  <c r="Z15" i="24"/>
  <c r="Z16" i="24"/>
  <c r="Z17" i="24"/>
  <c r="Z2" i="24"/>
  <c r="AA3" i="24"/>
  <c r="AA4" i="24"/>
  <c r="AA5" i="24"/>
  <c r="AA6" i="24"/>
  <c r="AA7" i="24"/>
  <c r="AA8" i="24"/>
  <c r="AA9" i="24"/>
  <c r="AA10" i="24"/>
  <c r="AA11" i="24"/>
  <c r="AA12" i="24"/>
  <c r="AA13" i="24"/>
  <c r="AA14" i="24"/>
  <c r="AA15" i="24"/>
  <c r="AA16" i="24"/>
  <c r="AA17" i="24"/>
  <c r="AA2" i="24"/>
  <c r="Y3" i="24"/>
  <c r="Y4" i="24"/>
  <c r="Y5" i="24"/>
  <c r="Y6" i="24"/>
  <c r="Y7" i="24"/>
  <c r="Y8" i="24"/>
  <c r="Y9" i="24"/>
  <c r="Y10" i="24"/>
  <c r="Y11" i="24"/>
  <c r="Y12" i="24"/>
  <c r="Y13" i="24"/>
  <c r="Y14" i="24"/>
  <c r="Y15" i="24"/>
  <c r="Y16" i="24"/>
  <c r="Y17" i="24"/>
  <c r="Y2" i="24"/>
  <c r="G17" i="24"/>
  <c r="G16" i="24"/>
  <c r="G15" i="24"/>
  <c r="G14" i="24"/>
  <c r="G13" i="24"/>
  <c r="G12" i="24"/>
  <c r="G11" i="24"/>
  <c r="G10" i="24"/>
  <c r="G9" i="24"/>
  <c r="G8" i="24"/>
  <c r="G7" i="24"/>
  <c r="G6" i="24"/>
  <c r="G5" i="24"/>
  <c r="G4" i="24"/>
  <c r="G3" i="24"/>
  <c r="C3" i="24"/>
  <c r="B3" i="24"/>
  <c r="B4" i="24" s="1"/>
  <c r="G2" i="24"/>
  <c r="C2" i="24"/>
  <c r="E11" i="23"/>
  <c r="E10" i="23"/>
  <c r="E9" i="23"/>
  <c r="E8" i="23"/>
  <c r="E7" i="23"/>
  <c r="E6" i="23"/>
  <c r="E4" i="23"/>
  <c r="E5" i="23"/>
  <c r="C4" i="24" l="1"/>
  <c r="B5" i="24"/>
  <c r="D3" i="24"/>
  <c r="D2" i="24"/>
  <c r="D38" i="22"/>
  <c r="D39" i="22"/>
  <c r="D40" i="22"/>
  <c r="D41" i="22"/>
  <c r="D42" i="22"/>
  <c r="D43" i="22"/>
  <c r="D44" i="22"/>
  <c r="D45" i="22"/>
  <c r="D46" i="22"/>
  <c r="D47" i="22"/>
  <c r="D48" i="22"/>
  <c r="D49" i="22"/>
  <c r="D50" i="22"/>
  <c r="D51" i="22"/>
  <c r="D52" i="22"/>
  <c r="D53" i="22"/>
  <c r="D54" i="22"/>
  <c r="D55" i="22"/>
  <c r="D56" i="22"/>
  <c r="D57" i="22"/>
  <c r="D58" i="22"/>
  <c r="D59" i="22"/>
  <c r="D60" i="22"/>
  <c r="D61" i="22"/>
  <c r="D62" i="22"/>
  <c r="D63" i="22"/>
  <c r="D64" i="22"/>
  <c r="D65" i="22"/>
  <c r="D66" i="22"/>
  <c r="D67" i="22"/>
  <c r="D68" i="22"/>
  <c r="D37" i="22"/>
  <c r="D28" i="22"/>
  <c r="D29" i="22"/>
  <c r="D30" i="22"/>
  <c r="D31" i="22"/>
  <c r="D32" i="22"/>
  <c r="D33" i="22"/>
  <c r="D34" i="22"/>
  <c r="D17" i="22"/>
  <c r="D18" i="22"/>
  <c r="D19" i="22"/>
  <c r="D20" i="22"/>
  <c r="D21" i="22"/>
  <c r="D22" i="22"/>
  <c r="D23" i="22"/>
  <c r="D24" i="22"/>
  <c r="D25" i="22"/>
  <c r="D26" i="22"/>
  <c r="D27" i="22"/>
  <c r="D4" i="22"/>
  <c r="D5" i="22"/>
  <c r="D6" i="22"/>
  <c r="D7" i="22"/>
  <c r="D8" i="22"/>
  <c r="D9" i="22"/>
  <c r="D10" i="22"/>
  <c r="D11" i="22"/>
  <c r="D12" i="22"/>
  <c r="D13" i="22"/>
  <c r="D14" i="22"/>
  <c r="D15" i="22"/>
  <c r="D16" i="22"/>
  <c r="D3" i="22"/>
  <c r="C5" i="24" l="1"/>
  <c r="B6" i="24"/>
  <c r="D4" i="24"/>
  <c r="G3" i="2"/>
  <c r="G4" i="2"/>
  <c r="G5" i="2"/>
  <c r="G6" i="2"/>
  <c r="G7"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2" i="2"/>
  <c r="C18" i="2"/>
  <c r="X18" i="2" s="1"/>
  <c r="C34" i="2"/>
  <c r="X34" i="2" s="1"/>
  <c r="C2" i="2"/>
  <c r="X2" i="2" s="1"/>
  <c r="Q7" i="18"/>
  <c r="Q4" i="18"/>
  <c r="R4" i="18"/>
  <c r="Q5" i="18"/>
  <c r="R5" i="18"/>
  <c r="Q6" i="18"/>
  <c r="R6" i="18"/>
  <c r="Q3" i="18"/>
  <c r="R3" i="18"/>
  <c r="P2" i="18"/>
  <c r="O2" i="18"/>
  <c r="B3" i="18"/>
  <c r="P3" i="18" s="1"/>
  <c r="B4" i="18"/>
  <c r="O4" i="18" s="1"/>
  <c r="B5" i="18"/>
  <c r="P4" i="18" s="1"/>
  <c r="B6" i="18"/>
  <c r="B7" i="18"/>
  <c r="B8" i="18"/>
  <c r="O6" i="18" s="1"/>
  <c r="B9" i="18"/>
  <c r="P6" i="18" s="1"/>
  <c r="B11" i="18"/>
  <c r="A3" i="22" s="1"/>
  <c r="B2" i="18"/>
  <c r="O3" i="18" s="1"/>
  <c r="D2" i="2" l="1"/>
  <c r="D34" i="2"/>
  <c r="D18" i="2"/>
  <c r="B7" i="24"/>
  <c r="C6" i="24"/>
  <c r="D5" i="24"/>
  <c r="P5" i="18"/>
  <c r="O5" i="18"/>
  <c r="D6" i="24" l="1"/>
  <c r="C7" i="24"/>
  <c r="B8" i="24"/>
  <c r="X85" i="2"/>
  <c r="X84" i="2"/>
  <c r="X83" i="2"/>
  <c r="X82" i="2"/>
  <c r="X81" i="2"/>
  <c r="X80" i="2"/>
  <c r="X79" i="2"/>
  <c r="X92" i="2"/>
  <c r="X93" i="2"/>
  <c r="X94" i="2"/>
  <c r="X95" i="2"/>
  <c r="X96" i="2"/>
  <c r="X97" i="2"/>
  <c r="X98" i="2"/>
  <c r="X99" i="2"/>
  <c r="X100" i="2"/>
  <c r="X101" i="2"/>
  <c r="X102" i="2"/>
  <c r="X78" i="2"/>
  <c r="D7" i="24" l="1"/>
  <c r="C8" i="24"/>
  <c r="B9" i="24"/>
  <c r="Y17" i="2"/>
  <c r="Y16" i="2"/>
  <c r="Y15" i="2"/>
  <c r="Y14" i="2"/>
  <c r="Y57" i="2"/>
  <c r="Y56" i="2"/>
  <c r="Y55" i="2"/>
  <c r="Y54" i="2"/>
  <c r="N2" i="23" l="1"/>
  <c r="B10" i="24"/>
  <c r="C9" i="24"/>
  <c r="D8" i="24"/>
  <c r="A99" i="21"/>
  <c r="A100" i="21" s="1"/>
  <c r="D100" i="21" s="1"/>
  <c r="E100" i="21" s="1"/>
  <c r="D98" i="21"/>
  <c r="E98" i="21" s="1"/>
  <c r="A67" i="21"/>
  <c r="A68" i="21" s="1"/>
  <c r="D66" i="21"/>
  <c r="E66" i="21" s="1"/>
  <c r="A35" i="21"/>
  <c r="D35" i="21" s="1"/>
  <c r="E35" i="21" s="1"/>
  <c r="D34" i="21"/>
  <c r="E34" i="21" s="1"/>
  <c r="D2" i="21"/>
  <c r="E2" i="21" s="1"/>
  <c r="A3" i="21"/>
  <c r="D3" i="21" s="1"/>
  <c r="E3" i="21" s="1"/>
  <c r="E34" i="19"/>
  <c r="E39" i="19"/>
  <c r="E40" i="19"/>
  <c r="E41" i="19"/>
  <c r="E42" i="19"/>
  <c r="E18" i="19"/>
  <c r="E19" i="19"/>
  <c r="E20" i="19"/>
  <c r="E21" i="19"/>
  <c r="E22" i="19"/>
  <c r="E31" i="19"/>
  <c r="E32" i="19"/>
  <c r="E33" i="19"/>
  <c r="E50" i="19"/>
  <c r="E59" i="19"/>
  <c r="E60" i="19"/>
  <c r="E61" i="19"/>
  <c r="E62" i="19"/>
  <c r="E2" i="19"/>
  <c r="C51" i="19"/>
  <c r="C52" i="19" s="1"/>
  <c r="C53" i="19" s="1"/>
  <c r="C54" i="19" s="1"/>
  <c r="C55" i="19" s="1"/>
  <c r="C56" i="19" s="1"/>
  <c r="C57" i="19" s="1"/>
  <c r="C58" i="19" s="1"/>
  <c r="C59" i="19" s="1"/>
  <c r="C60" i="19" s="1"/>
  <c r="C61" i="19" s="1"/>
  <c r="C62" i="19" s="1"/>
  <c r="C63" i="19" s="1"/>
  <c r="C64" i="19" s="1"/>
  <c r="C65" i="19" s="1"/>
  <c r="E65" i="19" s="1"/>
  <c r="C19" i="19"/>
  <c r="C20" i="19" s="1"/>
  <c r="C21" i="19" s="1"/>
  <c r="C22" i="19" s="1"/>
  <c r="C23" i="19" s="1"/>
  <c r="C24" i="19" s="1"/>
  <c r="C25" i="19" s="1"/>
  <c r="C26" i="19" s="1"/>
  <c r="C27" i="19" s="1"/>
  <c r="C28" i="19" s="1"/>
  <c r="C29" i="19" s="1"/>
  <c r="C30" i="19" s="1"/>
  <c r="C31" i="19" s="1"/>
  <c r="C32" i="19" s="1"/>
  <c r="C33" i="19" s="1"/>
  <c r="C35" i="19"/>
  <c r="C36" i="19" s="1"/>
  <c r="C37" i="19" s="1"/>
  <c r="C38" i="19" s="1"/>
  <c r="C39" i="19" s="1"/>
  <c r="C40" i="19" s="1"/>
  <c r="C41" i="19" s="1"/>
  <c r="C42" i="19" s="1"/>
  <c r="C43" i="19" s="1"/>
  <c r="C44" i="19" s="1"/>
  <c r="C45" i="19" s="1"/>
  <c r="C46" i="19" s="1"/>
  <c r="C47" i="19" s="1"/>
  <c r="C48" i="19" s="1"/>
  <c r="C49" i="19" s="1"/>
  <c r="E49" i="19" s="1"/>
  <c r="C3" i="19"/>
  <c r="E3" i="19" s="1"/>
  <c r="O2" i="23" l="1"/>
  <c r="N1" i="23"/>
  <c r="D9" i="24"/>
  <c r="C10" i="24"/>
  <c r="B11" i="24"/>
  <c r="A4" i="21"/>
  <c r="A5" i="21" s="1"/>
  <c r="A6" i="21" s="1"/>
  <c r="A7" i="21" s="1"/>
  <c r="A8" i="21" s="1"/>
  <c r="A9" i="21" s="1"/>
  <c r="A10" i="21" s="1"/>
  <c r="A11" i="21" s="1"/>
  <c r="A12" i="21" s="1"/>
  <c r="A13" i="21" s="1"/>
  <c r="A14" i="21" s="1"/>
  <c r="A15" i="21" s="1"/>
  <c r="A16" i="21" s="1"/>
  <c r="A17" i="21" s="1"/>
  <c r="D67" i="21"/>
  <c r="E67" i="21" s="1"/>
  <c r="D5" i="21"/>
  <c r="E5" i="21" s="1"/>
  <c r="A69" i="21"/>
  <c r="D69" i="21" s="1"/>
  <c r="E69" i="21" s="1"/>
  <c r="D68" i="21"/>
  <c r="E68" i="21" s="1"/>
  <c r="D10" i="21"/>
  <c r="E10" i="21" s="1"/>
  <c r="D9" i="21"/>
  <c r="E9" i="21" s="1"/>
  <c r="D8" i="21"/>
  <c r="E8" i="21" s="1"/>
  <c r="D11" i="21"/>
  <c r="E11" i="21" s="1"/>
  <c r="D7" i="21"/>
  <c r="E7" i="21" s="1"/>
  <c r="D16" i="21"/>
  <c r="E16" i="21" s="1"/>
  <c r="A101" i="21"/>
  <c r="A70" i="21"/>
  <c r="D99" i="21"/>
  <c r="E99" i="21" s="1"/>
  <c r="A36" i="21"/>
  <c r="C4" i="19"/>
  <c r="E38" i="19"/>
  <c r="E30" i="19"/>
  <c r="E29" i="19"/>
  <c r="E37" i="19"/>
  <c r="E58" i="19"/>
  <c r="E56" i="19"/>
  <c r="E28" i="19"/>
  <c r="E48" i="19"/>
  <c r="E36" i="19"/>
  <c r="E27" i="19"/>
  <c r="E47" i="19"/>
  <c r="E35" i="19"/>
  <c r="E25" i="19"/>
  <c r="E45" i="19"/>
  <c r="E57" i="19"/>
  <c r="E55" i="19"/>
  <c r="E26" i="19"/>
  <c r="E64" i="19"/>
  <c r="E52" i="19"/>
  <c r="E24" i="19"/>
  <c r="E44" i="19"/>
  <c r="E54" i="19"/>
  <c r="E46" i="19"/>
  <c r="E53" i="19"/>
  <c r="E63" i="19"/>
  <c r="E51" i="19"/>
  <c r="E23" i="19"/>
  <c r="E43" i="19"/>
  <c r="Y50" i="2"/>
  <c r="Y51" i="2"/>
  <c r="Y52" i="2"/>
  <c r="Y53" i="2"/>
  <c r="P2" i="23" l="1"/>
  <c r="O1" i="23"/>
  <c r="C11" i="24"/>
  <c r="B12" i="24"/>
  <c r="D10" i="24"/>
  <c r="D13" i="21"/>
  <c r="E13" i="21" s="1"/>
  <c r="D15" i="21"/>
  <c r="E15" i="21" s="1"/>
  <c r="D12" i="21"/>
  <c r="E12" i="21" s="1"/>
  <c r="D6" i="21"/>
  <c r="E6" i="21" s="1"/>
  <c r="D4" i="21"/>
  <c r="E4" i="21" s="1"/>
  <c r="D14" i="21"/>
  <c r="E14" i="21" s="1"/>
  <c r="A18" i="21"/>
  <c r="D17" i="21"/>
  <c r="E17" i="21" s="1"/>
  <c r="A71" i="21"/>
  <c r="D70" i="21"/>
  <c r="E70" i="21" s="1"/>
  <c r="D101" i="21"/>
  <c r="E101" i="21" s="1"/>
  <c r="A102" i="21"/>
  <c r="A37" i="21"/>
  <c r="D36" i="21"/>
  <c r="E36" i="21" s="1"/>
  <c r="C5" i="19"/>
  <c r="E4" i="19"/>
  <c r="Z18" i="2"/>
  <c r="Z34" i="2"/>
  <c r="AA2" i="2"/>
  <c r="Y3" i="2"/>
  <c r="Y4" i="2"/>
  <c r="Y5" i="2"/>
  <c r="Y6" i="2"/>
  <c r="Y7" i="2"/>
  <c r="Y8" i="2"/>
  <c r="Y9" i="2"/>
  <c r="Y10" i="2"/>
  <c r="Y11" i="2"/>
  <c r="Y12" i="2"/>
  <c r="Y13"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2" i="2"/>
  <c r="A12" i="18"/>
  <c r="B12" i="18" s="1"/>
  <c r="B3" i="22" s="1"/>
  <c r="B3" i="2"/>
  <c r="B4" i="2" l="1"/>
  <c r="C3" i="2"/>
  <c r="C4" i="2"/>
  <c r="Z4" i="2" s="1"/>
  <c r="Q2" i="23"/>
  <c r="P1" i="23"/>
  <c r="B13" i="24"/>
  <c r="C12" i="24"/>
  <c r="D11" i="24"/>
  <c r="A19" i="21"/>
  <c r="D18" i="21"/>
  <c r="E18" i="21" s="1"/>
  <c r="A72" i="21"/>
  <c r="D71" i="21"/>
  <c r="E71" i="21" s="1"/>
  <c r="A103" i="21"/>
  <c r="D102" i="21"/>
  <c r="E102" i="21" s="1"/>
  <c r="A38" i="21"/>
  <c r="D37" i="21"/>
  <c r="E37" i="21" s="1"/>
  <c r="C6" i="19"/>
  <c r="E5" i="19"/>
  <c r="AA3" i="2"/>
  <c r="AA18" i="2"/>
  <c r="Z3" i="2"/>
  <c r="Z2" i="2"/>
  <c r="AA34" i="2"/>
  <c r="B5" i="2"/>
  <c r="C5" i="2" s="1"/>
  <c r="B19" i="2"/>
  <c r="C19" i="2" s="1"/>
  <c r="AI38" i="17"/>
  <c r="AH38" i="17"/>
  <c r="AG38" i="17"/>
  <c r="AI37" i="17"/>
  <c r="AH37" i="17"/>
  <c r="AG37" i="17"/>
  <c r="AI36" i="17"/>
  <c r="AG36" i="17"/>
  <c r="AH36" i="17" s="1"/>
  <c r="AI35" i="17"/>
  <c r="AG35" i="17"/>
  <c r="AH35" i="17" s="1"/>
  <c r="AI34" i="17"/>
  <c r="AG34" i="17"/>
  <c r="AH34" i="17" s="1"/>
  <c r="AI32" i="17"/>
  <c r="AG32" i="17"/>
  <c r="AH32" i="17" s="1"/>
  <c r="F76" i="2"/>
  <c r="H76" i="2" s="1"/>
  <c r="AI30" i="17"/>
  <c r="AG30" i="17"/>
  <c r="AH30" i="17" s="1"/>
  <c r="AI29" i="17"/>
  <c r="AG29" i="17"/>
  <c r="AH29" i="17" s="1"/>
  <c r="AI28" i="17"/>
  <c r="AG28" i="17"/>
  <c r="AH28" i="17" s="1"/>
  <c r="AI27" i="17"/>
  <c r="AH27" i="17"/>
  <c r="AG27" i="17"/>
  <c r="AI26" i="17"/>
  <c r="AG26" i="17"/>
  <c r="AH26" i="17" s="1"/>
  <c r="AI25" i="17"/>
  <c r="AG25" i="17"/>
  <c r="AH25" i="17" s="1"/>
  <c r="AI24" i="17"/>
  <c r="AG24" i="17"/>
  <c r="AH24" i="17" s="1"/>
  <c r="AI23" i="17"/>
  <c r="AG23" i="17"/>
  <c r="AH23" i="17" s="1"/>
  <c r="AI22" i="17"/>
  <c r="AG22" i="17"/>
  <c r="AH22" i="17" s="1"/>
  <c r="AI21" i="17"/>
  <c r="AG21" i="17"/>
  <c r="AH21" i="17" s="1"/>
  <c r="AI20" i="17"/>
  <c r="AG20" i="17"/>
  <c r="AH20" i="17" s="1"/>
  <c r="AI19" i="17"/>
  <c r="AH19" i="17"/>
  <c r="AG19" i="17"/>
  <c r="AI18" i="17"/>
  <c r="AG18" i="17"/>
  <c r="AH18" i="17" s="1"/>
  <c r="AI17" i="17"/>
  <c r="AG17" i="17"/>
  <c r="AH17" i="17" s="1"/>
  <c r="AI16" i="17"/>
  <c r="AG16" i="17"/>
  <c r="AH16" i="17" s="1"/>
  <c r="X3" i="2" l="1"/>
  <c r="D3" i="2"/>
  <c r="X5" i="2"/>
  <c r="D5" i="2"/>
  <c r="X4" i="2"/>
  <c r="D4" i="2"/>
  <c r="X19" i="2"/>
  <c r="D19" i="2"/>
  <c r="AA4" i="2"/>
  <c r="Q1" i="23"/>
  <c r="R2" i="23"/>
  <c r="D12" i="24"/>
  <c r="C13" i="24"/>
  <c r="B14" i="24"/>
  <c r="A20" i="21"/>
  <c r="D19" i="21"/>
  <c r="E19" i="21" s="1"/>
  <c r="A104" i="21"/>
  <c r="D103" i="21"/>
  <c r="E103" i="21" s="1"/>
  <c r="A73" i="21"/>
  <c r="D72" i="21"/>
  <c r="E72" i="21" s="1"/>
  <c r="A39" i="21"/>
  <c r="D38" i="21"/>
  <c r="E38" i="21" s="1"/>
  <c r="C7" i="19"/>
  <c r="E6" i="19"/>
  <c r="AA19" i="2"/>
  <c r="Z19" i="2"/>
  <c r="AA5" i="2"/>
  <c r="Z5" i="2"/>
  <c r="B6" i="2"/>
  <c r="C6" i="2" s="1"/>
  <c r="B20" i="2"/>
  <c r="C20" i="2" s="1"/>
  <c r="AG9" i="17"/>
  <c r="AH9" i="17" s="1"/>
  <c r="AI9" i="17"/>
  <c r="AG10" i="17"/>
  <c r="AH10" i="17" s="1"/>
  <c r="AI10" i="17"/>
  <c r="AG11" i="17"/>
  <c r="AH11" i="17" s="1"/>
  <c r="AI11" i="17"/>
  <c r="AG12" i="17"/>
  <c r="AH12" i="17" s="1"/>
  <c r="AI12" i="17"/>
  <c r="AG13" i="17"/>
  <c r="AH13" i="17" s="1"/>
  <c r="AI13" i="17"/>
  <c r="AG14" i="17"/>
  <c r="AH14" i="17" s="1"/>
  <c r="AI14" i="17"/>
  <c r="AG15" i="17"/>
  <c r="AH15" i="17" s="1"/>
  <c r="AI15" i="17"/>
  <c r="AI8" i="17"/>
  <c r="AG8" i="17"/>
  <c r="AH8" i="17" s="1"/>
  <c r="E71" i="2"/>
  <c r="F72" i="2" s="1"/>
  <c r="H72" i="2" s="1"/>
  <c r="X20" i="2" l="1"/>
  <c r="D20" i="2"/>
  <c r="X6" i="2"/>
  <c r="D6" i="2"/>
  <c r="S2" i="23"/>
  <c r="R1" i="23"/>
  <c r="C14" i="24"/>
  <c r="B15" i="24"/>
  <c r="D13" i="24"/>
  <c r="A21" i="21"/>
  <c r="D20" i="21"/>
  <c r="E20" i="21" s="1"/>
  <c r="D73" i="21"/>
  <c r="E73" i="21" s="1"/>
  <c r="A74" i="21"/>
  <c r="D104" i="21"/>
  <c r="E104" i="21" s="1"/>
  <c r="A105" i="21"/>
  <c r="A40" i="21"/>
  <c r="D39" i="21"/>
  <c r="E39" i="21" s="1"/>
  <c r="C8" i="19"/>
  <c r="E7" i="19"/>
  <c r="AA6" i="2"/>
  <c r="Z6" i="2"/>
  <c r="AA20" i="2"/>
  <c r="Z20" i="2"/>
  <c r="B7" i="2"/>
  <c r="C7" i="2" s="1"/>
  <c r="B21" i="2"/>
  <c r="C21" i="2" s="1"/>
  <c r="F75" i="2"/>
  <c r="H75" i="2" s="1"/>
  <c r="F74" i="2"/>
  <c r="H74" i="2" s="1"/>
  <c r="F73" i="2"/>
  <c r="H73" i="2" s="1"/>
  <c r="A13" i="18"/>
  <c r="C9" i="17"/>
  <c r="C10" i="17"/>
  <c r="C11" i="17"/>
  <c r="C12" i="17"/>
  <c r="C13" i="17"/>
  <c r="C14" i="17"/>
  <c r="C15" i="17"/>
  <c r="C8" i="17"/>
  <c r="X7" i="2" l="1"/>
  <c r="D7" i="2"/>
  <c r="X21" i="2"/>
  <c r="D21" i="2"/>
  <c r="S1" i="23"/>
  <c r="T2" i="23"/>
  <c r="B16" i="24"/>
  <c r="C15" i="24"/>
  <c r="D14" i="24"/>
  <c r="A14" i="18"/>
  <c r="B14" i="18" s="1"/>
  <c r="B4" i="22" s="1"/>
  <c r="B13" i="18"/>
  <c r="A4" i="22" s="1"/>
  <c r="A22" i="21"/>
  <c r="D21" i="21"/>
  <c r="E21" i="21" s="1"/>
  <c r="D105" i="21"/>
  <c r="E105" i="21" s="1"/>
  <c r="A106" i="21"/>
  <c r="A75" i="21"/>
  <c r="D74" i="21"/>
  <c r="E74" i="21" s="1"/>
  <c r="A41" i="21"/>
  <c r="D40" i="21"/>
  <c r="E40" i="21" s="1"/>
  <c r="C9" i="19"/>
  <c r="E8" i="19"/>
  <c r="AA21" i="2"/>
  <c r="Z21" i="2"/>
  <c r="AA7" i="2"/>
  <c r="Z7" i="2"/>
  <c r="B8" i="2"/>
  <c r="C8" i="2" s="1"/>
  <c r="B22" i="2"/>
  <c r="C22" i="2" s="1"/>
  <c r="C71" i="17"/>
  <c r="D71" i="17" s="1"/>
  <c r="D16" i="17"/>
  <c r="D17" i="17"/>
  <c r="D18" i="17"/>
  <c r="D19" i="17"/>
  <c r="D20" i="17"/>
  <c r="D21" i="17"/>
  <c r="D22" i="17"/>
  <c r="D23" i="17"/>
  <c r="D24" i="17"/>
  <c r="D25" i="17"/>
  <c r="D26" i="17"/>
  <c r="D27" i="17"/>
  <c r="D28" i="17"/>
  <c r="D29" i="17"/>
  <c r="D30" i="17"/>
  <c r="D31" i="17"/>
  <c r="D32" i="17"/>
  <c r="D33" i="17"/>
  <c r="D34" i="17"/>
  <c r="D35" i="17"/>
  <c r="D36" i="17"/>
  <c r="D37" i="17"/>
  <c r="D38" i="17"/>
  <c r="D39" i="17"/>
  <c r="D40" i="17"/>
  <c r="D41" i="17"/>
  <c r="D42" i="17"/>
  <c r="D43" i="17"/>
  <c r="D44" i="17"/>
  <c r="D45" i="17"/>
  <c r="D46" i="17"/>
  <c r="D47" i="17"/>
  <c r="D48" i="17"/>
  <c r="D49" i="17"/>
  <c r="D50" i="17"/>
  <c r="D51" i="17"/>
  <c r="D52" i="17"/>
  <c r="D53" i="17"/>
  <c r="D54" i="17"/>
  <c r="D55" i="17"/>
  <c r="D56" i="17"/>
  <c r="D57" i="17"/>
  <c r="D58" i="17"/>
  <c r="D59" i="17"/>
  <c r="D60" i="17"/>
  <c r="D61" i="17"/>
  <c r="D62" i="17"/>
  <c r="D63" i="17"/>
  <c r="D64" i="17"/>
  <c r="D65" i="17"/>
  <c r="D66" i="17"/>
  <c r="D67" i="17"/>
  <c r="D68" i="17"/>
  <c r="D69" i="17"/>
  <c r="D70" i="17"/>
  <c r="D104" i="17"/>
  <c r="D136" i="17"/>
  <c r="D137" i="17"/>
  <c r="D138" i="17"/>
  <c r="D139" i="17"/>
  <c r="D140" i="17"/>
  <c r="D141" i="17"/>
  <c r="D142" i="17"/>
  <c r="D143" i="17"/>
  <c r="D144" i="17"/>
  <c r="D145" i="17"/>
  <c r="D146" i="17"/>
  <c r="D147" i="17"/>
  <c r="D148" i="17"/>
  <c r="D149" i="17"/>
  <c r="D150" i="17"/>
  <c r="D151" i="17"/>
  <c r="D152" i="17"/>
  <c r="D153" i="17"/>
  <c r="D154" i="17"/>
  <c r="D155" i="17"/>
  <c r="D156" i="17"/>
  <c r="D157" i="17"/>
  <c r="D158" i="17"/>
  <c r="D159" i="17"/>
  <c r="D160" i="17"/>
  <c r="D161" i="17"/>
  <c r="D162" i="17"/>
  <c r="D163" i="17"/>
  <c r="D164" i="17"/>
  <c r="D165" i="17"/>
  <c r="D166" i="17"/>
  <c r="D167" i="17"/>
  <c r="D168" i="17"/>
  <c r="D169" i="17"/>
  <c r="D170" i="17"/>
  <c r="D171" i="17"/>
  <c r="D172" i="17"/>
  <c r="D173" i="17"/>
  <c r="D174" i="17"/>
  <c r="D175" i="17"/>
  <c r="D176" i="17"/>
  <c r="D177" i="17"/>
  <c r="D178" i="17"/>
  <c r="D179" i="17"/>
  <c r="D180" i="17"/>
  <c r="D181" i="17"/>
  <c r="D182" i="17"/>
  <c r="D183" i="17"/>
  <c r="D184" i="17"/>
  <c r="D185" i="17"/>
  <c r="D186" i="17"/>
  <c r="D187" i="17"/>
  <c r="D188" i="17"/>
  <c r="D189" i="17"/>
  <c r="D190" i="17"/>
  <c r="D191" i="17"/>
  <c r="D192" i="17"/>
  <c r="D193" i="17"/>
  <c r="D194" i="17"/>
  <c r="D195" i="17"/>
  <c r="D196" i="17"/>
  <c r="D197" i="17"/>
  <c r="D198" i="17"/>
  <c r="D199" i="17"/>
  <c r="D200" i="17"/>
  <c r="D201" i="17"/>
  <c r="D202" i="17"/>
  <c r="D203" i="17"/>
  <c r="D204" i="17"/>
  <c r="D205" i="17"/>
  <c r="D206" i="17"/>
  <c r="D207" i="17"/>
  <c r="D208" i="17"/>
  <c r="D209" i="17"/>
  <c r="D210" i="17"/>
  <c r="D211" i="17"/>
  <c r="D212" i="17"/>
  <c r="D213" i="17"/>
  <c r="D214" i="17"/>
  <c r="D215" i="17"/>
  <c r="D216" i="17"/>
  <c r="D217" i="17"/>
  <c r="D218" i="17"/>
  <c r="D219" i="17"/>
  <c r="D220" i="17"/>
  <c r="D221" i="17"/>
  <c r="D222" i="17"/>
  <c r="D223" i="17"/>
  <c r="D224" i="17"/>
  <c r="D225" i="17"/>
  <c r="D226" i="17"/>
  <c r="D227" i="17"/>
  <c r="D228" i="17"/>
  <c r="D229" i="17"/>
  <c r="D230" i="17"/>
  <c r="D231" i="17"/>
  <c r="D232" i="17"/>
  <c r="D233" i="17"/>
  <c r="D234" i="17"/>
  <c r="D235" i="17"/>
  <c r="D236" i="17"/>
  <c r="D237" i="17"/>
  <c r="D238" i="17"/>
  <c r="D239" i="17"/>
  <c r="D240" i="17"/>
  <c r="D241" i="17"/>
  <c r="D242" i="17"/>
  <c r="D243" i="17"/>
  <c r="D244" i="17"/>
  <c r="D245" i="17"/>
  <c r="D246" i="17"/>
  <c r="D247" i="17"/>
  <c r="D248" i="17"/>
  <c r="D249" i="17"/>
  <c r="D250" i="17"/>
  <c r="D251" i="17"/>
  <c r="D252" i="17"/>
  <c r="D253" i="17"/>
  <c r="D254" i="17"/>
  <c r="D255" i="17"/>
  <c r="D256" i="17"/>
  <c r="D257" i="17"/>
  <c r="D258" i="17"/>
  <c r="D259" i="17"/>
  <c r="D260" i="17"/>
  <c r="D261" i="17"/>
  <c r="D262" i="17"/>
  <c r="D263" i="17"/>
  <c r="D264" i="17"/>
  <c r="D265" i="17"/>
  <c r="D266" i="17"/>
  <c r="D267" i="17"/>
  <c r="D268" i="17"/>
  <c r="D269" i="17"/>
  <c r="D270" i="17"/>
  <c r="D271" i="17"/>
  <c r="D272" i="17"/>
  <c r="D273" i="17"/>
  <c r="D274" i="17"/>
  <c r="D275" i="17"/>
  <c r="D276" i="17"/>
  <c r="D277" i="17"/>
  <c r="D278" i="17"/>
  <c r="D279" i="17"/>
  <c r="D280" i="17"/>
  <c r="D281" i="17"/>
  <c r="D282" i="17"/>
  <c r="D283" i="17"/>
  <c r="D284" i="17"/>
  <c r="D285" i="17"/>
  <c r="D286" i="17"/>
  <c r="D287" i="17"/>
  <c r="D288" i="17"/>
  <c r="D289" i="17"/>
  <c r="D290" i="17"/>
  <c r="D291" i="17"/>
  <c r="D292" i="17"/>
  <c r="D293" i="17"/>
  <c r="D294" i="17"/>
  <c r="D295" i="17"/>
  <c r="D296" i="17"/>
  <c r="D297" i="17"/>
  <c r="D298" i="17"/>
  <c r="D299" i="17"/>
  <c r="D300" i="17"/>
  <c r="D301" i="17"/>
  <c r="D302" i="17"/>
  <c r="D303" i="17"/>
  <c r="D304" i="17"/>
  <c r="D305" i="17"/>
  <c r="D306" i="17"/>
  <c r="D307" i="17"/>
  <c r="D308" i="17"/>
  <c r="D309" i="17"/>
  <c r="D310" i="17"/>
  <c r="D311" i="17"/>
  <c r="D312" i="17"/>
  <c r="D313" i="17"/>
  <c r="D314" i="17"/>
  <c r="D315" i="17"/>
  <c r="D316" i="17"/>
  <c r="D317" i="17"/>
  <c r="D318" i="17"/>
  <c r="D319" i="17"/>
  <c r="D320" i="17"/>
  <c r="D321" i="17"/>
  <c r="D322" i="17"/>
  <c r="D323" i="17"/>
  <c r="D324" i="17"/>
  <c r="D325" i="17"/>
  <c r="D326" i="17"/>
  <c r="D327" i="17"/>
  <c r="D328" i="17"/>
  <c r="D329" i="17"/>
  <c r="D330" i="17"/>
  <c r="D331" i="17"/>
  <c r="D332" i="17"/>
  <c r="D333" i="17"/>
  <c r="D334" i="17"/>
  <c r="D335" i="17"/>
  <c r="D336" i="17"/>
  <c r="D337" i="17"/>
  <c r="D338" i="17"/>
  <c r="D339" i="17"/>
  <c r="D340" i="17"/>
  <c r="D341" i="17"/>
  <c r="D342" i="17"/>
  <c r="D343" i="17"/>
  <c r="D344" i="17"/>
  <c r="D345" i="17"/>
  <c r="D346" i="17"/>
  <c r="D347" i="17"/>
  <c r="D348" i="17"/>
  <c r="D349" i="17"/>
  <c r="D350" i="17"/>
  <c r="D351" i="17"/>
  <c r="D352" i="17"/>
  <c r="D353" i="17"/>
  <c r="D354" i="17"/>
  <c r="D355" i="17"/>
  <c r="D356" i="17"/>
  <c r="D357" i="17"/>
  <c r="D358" i="17"/>
  <c r="D359" i="17"/>
  <c r="D360" i="17"/>
  <c r="D361" i="17"/>
  <c r="D362" i="17"/>
  <c r="D363" i="17"/>
  <c r="D364" i="17"/>
  <c r="D365" i="17"/>
  <c r="D366" i="17"/>
  <c r="D367" i="17"/>
  <c r="D368" i="17"/>
  <c r="D369" i="17"/>
  <c r="D370" i="17"/>
  <c r="D371" i="17"/>
  <c r="D372" i="17"/>
  <c r="D373" i="17"/>
  <c r="D374" i="17"/>
  <c r="D375" i="17"/>
  <c r="D376" i="17"/>
  <c r="D377" i="17"/>
  <c r="D378" i="17"/>
  <c r="D379" i="17"/>
  <c r="D380" i="17"/>
  <c r="D381" i="17"/>
  <c r="D382" i="17"/>
  <c r="D383" i="17"/>
  <c r="D384" i="17"/>
  <c r="D385" i="17"/>
  <c r="D386" i="17"/>
  <c r="D387" i="17"/>
  <c r="D388" i="17"/>
  <c r="D389" i="17"/>
  <c r="D390" i="17"/>
  <c r="D391" i="17"/>
  <c r="D392" i="17"/>
  <c r="D393" i="17"/>
  <c r="D394" i="17"/>
  <c r="D395" i="17"/>
  <c r="D396" i="17"/>
  <c r="D397" i="17"/>
  <c r="D398" i="17"/>
  <c r="D399" i="17"/>
  <c r="D400" i="17"/>
  <c r="D401" i="17"/>
  <c r="D402" i="17"/>
  <c r="D403" i="17"/>
  <c r="D404" i="17"/>
  <c r="D405" i="17"/>
  <c r="D406" i="17"/>
  <c r="D407" i="17"/>
  <c r="D408" i="17"/>
  <c r="D409" i="17"/>
  <c r="D410" i="17"/>
  <c r="D411" i="17"/>
  <c r="D412" i="17"/>
  <c r="D413" i="17"/>
  <c r="D414" i="17"/>
  <c r="D415" i="17"/>
  <c r="D416" i="17"/>
  <c r="D417" i="17"/>
  <c r="D418" i="17"/>
  <c r="D419" i="17"/>
  <c r="D420" i="17"/>
  <c r="D421" i="17"/>
  <c r="D422" i="17"/>
  <c r="D423" i="17"/>
  <c r="D424" i="17"/>
  <c r="D425" i="17"/>
  <c r="D426" i="17"/>
  <c r="D427" i="17"/>
  <c r="D428" i="17"/>
  <c r="D429" i="17"/>
  <c r="D430" i="17"/>
  <c r="D431" i="17"/>
  <c r="D432" i="17"/>
  <c r="D433" i="17"/>
  <c r="D434" i="17"/>
  <c r="D435" i="17"/>
  <c r="D436" i="17"/>
  <c r="D437" i="17"/>
  <c r="D438" i="17"/>
  <c r="D439" i="17"/>
  <c r="D440" i="17"/>
  <c r="D441" i="17"/>
  <c r="D442" i="17"/>
  <c r="D443" i="17"/>
  <c r="D444" i="17"/>
  <c r="D445" i="17"/>
  <c r="D446" i="17"/>
  <c r="D447" i="17"/>
  <c r="D448" i="17"/>
  <c r="D449" i="17"/>
  <c r="D450" i="17"/>
  <c r="D451" i="17"/>
  <c r="D452" i="17"/>
  <c r="D453" i="17"/>
  <c r="D454" i="17"/>
  <c r="D455" i="17"/>
  <c r="D456" i="17"/>
  <c r="D457" i="17"/>
  <c r="D458" i="17"/>
  <c r="D459" i="17"/>
  <c r="D460" i="17"/>
  <c r="D461" i="17"/>
  <c r="D462" i="17"/>
  <c r="D463" i="17"/>
  <c r="D464" i="17"/>
  <c r="D465" i="17"/>
  <c r="D466" i="17"/>
  <c r="D467" i="17"/>
  <c r="D468" i="17"/>
  <c r="D469" i="17"/>
  <c r="D470" i="17"/>
  <c r="D471" i="17"/>
  <c r="D472" i="17"/>
  <c r="D473" i="17"/>
  <c r="D474" i="17"/>
  <c r="D475" i="17"/>
  <c r="D476" i="17"/>
  <c r="D477" i="17"/>
  <c r="D478" i="17"/>
  <c r="D479" i="17"/>
  <c r="D480" i="17"/>
  <c r="D481" i="17"/>
  <c r="D482" i="17"/>
  <c r="D483" i="17"/>
  <c r="D484" i="17"/>
  <c r="D485" i="17"/>
  <c r="D486" i="17"/>
  <c r="D487" i="17"/>
  <c r="D488" i="17"/>
  <c r="D489" i="17"/>
  <c r="D490" i="17"/>
  <c r="D491" i="17"/>
  <c r="D492" i="17"/>
  <c r="D493" i="17"/>
  <c r="D494" i="17"/>
  <c r="D495" i="17"/>
  <c r="D496" i="17"/>
  <c r="D497" i="17"/>
  <c r="D498" i="17"/>
  <c r="D499" i="17"/>
  <c r="D500" i="17"/>
  <c r="D501" i="17"/>
  <c r="D502" i="17"/>
  <c r="D503" i="17"/>
  <c r="D504" i="17"/>
  <c r="D505" i="17"/>
  <c r="D506" i="17"/>
  <c r="D507" i="17"/>
  <c r="D508" i="17"/>
  <c r="D509" i="17"/>
  <c r="D510" i="17"/>
  <c r="D511" i="17"/>
  <c r="D512" i="17"/>
  <c r="D513" i="17"/>
  <c r="D514" i="17"/>
  <c r="D515" i="17"/>
  <c r="D516" i="17"/>
  <c r="D517" i="17"/>
  <c r="D518" i="17"/>
  <c r="D519" i="17"/>
  <c r="D520" i="17"/>
  <c r="D521" i="17"/>
  <c r="D522" i="17"/>
  <c r="D523" i="17"/>
  <c r="D524" i="17"/>
  <c r="D525" i="17"/>
  <c r="D526" i="17"/>
  <c r="D527" i="17"/>
  <c r="D528" i="17"/>
  <c r="D529" i="17"/>
  <c r="D530" i="17"/>
  <c r="D531" i="17"/>
  <c r="D532" i="17"/>
  <c r="D533" i="17"/>
  <c r="D534" i="17"/>
  <c r="D535" i="17"/>
  <c r="D536" i="17"/>
  <c r="D537" i="17"/>
  <c r="D538" i="17"/>
  <c r="D539" i="17"/>
  <c r="D540" i="17"/>
  <c r="D541" i="17"/>
  <c r="D542" i="17"/>
  <c r="D543" i="17"/>
  <c r="D544" i="17"/>
  <c r="D545" i="17"/>
  <c r="D546" i="17"/>
  <c r="D547" i="17"/>
  <c r="D548" i="17"/>
  <c r="D549" i="17"/>
  <c r="D550" i="17"/>
  <c r="D551" i="17"/>
  <c r="D552" i="17"/>
  <c r="D553" i="17"/>
  <c r="D554" i="17"/>
  <c r="D555" i="17"/>
  <c r="D556" i="17"/>
  <c r="D557" i="17"/>
  <c r="D558" i="17"/>
  <c r="D559" i="17"/>
  <c r="D560" i="17"/>
  <c r="D561" i="17"/>
  <c r="D562" i="17"/>
  <c r="D563" i="17"/>
  <c r="D564" i="17"/>
  <c r="D565" i="17"/>
  <c r="D566" i="17"/>
  <c r="D567" i="17"/>
  <c r="D568" i="17"/>
  <c r="D569" i="17"/>
  <c r="D570" i="17"/>
  <c r="D571" i="17"/>
  <c r="D572" i="17"/>
  <c r="D573" i="17"/>
  <c r="D574" i="17"/>
  <c r="D575" i="17"/>
  <c r="D576" i="17"/>
  <c r="D577" i="17"/>
  <c r="D578" i="17"/>
  <c r="D579" i="17"/>
  <c r="D580" i="17"/>
  <c r="D581" i="17"/>
  <c r="D582" i="17"/>
  <c r="D583" i="17"/>
  <c r="D584" i="17"/>
  <c r="D585" i="17"/>
  <c r="D586" i="17"/>
  <c r="D587" i="17"/>
  <c r="D588" i="17"/>
  <c r="D589" i="17"/>
  <c r="D590" i="17"/>
  <c r="D591" i="17"/>
  <c r="D592" i="17"/>
  <c r="D593" i="17"/>
  <c r="D594" i="17"/>
  <c r="D595" i="17"/>
  <c r="D596" i="17"/>
  <c r="D597" i="17"/>
  <c r="D598" i="17"/>
  <c r="D599" i="17"/>
  <c r="D600" i="17"/>
  <c r="D601" i="17"/>
  <c r="D602" i="17"/>
  <c r="D603" i="17"/>
  <c r="D604" i="17"/>
  <c r="D605" i="17"/>
  <c r="D606" i="17"/>
  <c r="D607" i="17"/>
  <c r="D608" i="17"/>
  <c r="D609" i="17"/>
  <c r="D610" i="17"/>
  <c r="D611" i="17"/>
  <c r="D612" i="17"/>
  <c r="D613" i="17"/>
  <c r="D614" i="17"/>
  <c r="D615" i="17"/>
  <c r="D616" i="17"/>
  <c r="D617" i="17"/>
  <c r="D618" i="17"/>
  <c r="D619" i="17"/>
  <c r="D620" i="17"/>
  <c r="D621" i="17"/>
  <c r="D622" i="17"/>
  <c r="D623" i="17"/>
  <c r="D624" i="17"/>
  <c r="D625" i="17"/>
  <c r="D626" i="17"/>
  <c r="D627" i="17"/>
  <c r="D628" i="17"/>
  <c r="D629" i="17"/>
  <c r="D630" i="17"/>
  <c r="D631" i="17"/>
  <c r="D632" i="17"/>
  <c r="D633" i="17"/>
  <c r="D634" i="17"/>
  <c r="D635" i="17"/>
  <c r="D636" i="17"/>
  <c r="D637" i="17"/>
  <c r="D638" i="17"/>
  <c r="D639" i="17"/>
  <c r="D640" i="17"/>
  <c r="D641" i="17"/>
  <c r="D642" i="17"/>
  <c r="D643" i="17"/>
  <c r="D644" i="17"/>
  <c r="D645" i="17"/>
  <c r="D646" i="17"/>
  <c r="D647" i="17"/>
  <c r="D648" i="17"/>
  <c r="D649" i="17"/>
  <c r="D650" i="17"/>
  <c r="D651" i="17"/>
  <c r="D652" i="17"/>
  <c r="D653" i="17"/>
  <c r="D654" i="17"/>
  <c r="D655" i="17"/>
  <c r="D656" i="17"/>
  <c r="D657" i="17"/>
  <c r="D658" i="17"/>
  <c r="D659" i="17"/>
  <c r="D660" i="17"/>
  <c r="D661" i="17"/>
  <c r="D662" i="17"/>
  <c r="D663" i="17"/>
  <c r="D664" i="17"/>
  <c r="D665" i="17"/>
  <c r="D666" i="17"/>
  <c r="D667" i="17"/>
  <c r="D668" i="17"/>
  <c r="D669" i="17"/>
  <c r="D670" i="17"/>
  <c r="D671" i="17"/>
  <c r="D672" i="17"/>
  <c r="D673" i="17"/>
  <c r="D674" i="17"/>
  <c r="D675" i="17"/>
  <c r="D676" i="17"/>
  <c r="D677" i="17"/>
  <c r="D678" i="17"/>
  <c r="D679" i="17"/>
  <c r="D680" i="17"/>
  <c r="D681" i="17"/>
  <c r="D682" i="17"/>
  <c r="D683" i="17"/>
  <c r="D684" i="17"/>
  <c r="D685" i="17"/>
  <c r="D686" i="17"/>
  <c r="D687" i="17"/>
  <c r="D688" i="17"/>
  <c r="D689" i="17"/>
  <c r="D690" i="17"/>
  <c r="D691" i="17"/>
  <c r="D692" i="17"/>
  <c r="D693" i="17"/>
  <c r="D694" i="17"/>
  <c r="D695" i="17"/>
  <c r="D696" i="17"/>
  <c r="D697" i="17"/>
  <c r="D698" i="17"/>
  <c r="D699" i="17"/>
  <c r="D700" i="17"/>
  <c r="D701" i="17"/>
  <c r="D702" i="17"/>
  <c r="D703" i="17"/>
  <c r="D704" i="17"/>
  <c r="D705" i="17"/>
  <c r="D706" i="17"/>
  <c r="D707" i="17"/>
  <c r="D708" i="17"/>
  <c r="D709" i="17"/>
  <c r="D710" i="17"/>
  <c r="D711" i="17"/>
  <c r="D712" i="17"/>
  <c r="D713" i="17"/>
  <c r="D714" i="17"/>
  <c r="D715" i="17"/>
  <c r="D716" i="17"/>
  <c r="D717" i="17"/>
  <c r="D718" i="17"/>
  <c r="D719" i="17"/>
  <c r="D720" i="17"/>
  <c r="D721" i="17"/>
  <c r="D722" i="17"/>
  <c r="D723" i="17"/>
  <c r="D724" i="17"/>
  <c r="D725" i="17"/>
  <c r="D726" i="17"/>
  <c r="D727" i="17"/>
  <c r="D728" i="17"/>
  <c r="D729" i="17"/>
  <c r="D730" i="17"/>
  <c r="D731" i="17"/>
  <c r="D732" i="17"/>
  <c r="D733" i="17"/>
  <c r="D734" i="17"/>
  <c r="D735" i="17"/>
  <c r="D736" i="17"/>
  <c r="D737" i="17"/>
  <c r="D738" i="17"/>
  <c r="D739" i="17"/>
  <c r="D740" i="17"/>
  <c r="D741" i="17"/>
  <c r="D742" i="17"/>
  <c r="D743" i="17"/>
  <c r="D744" i="17"/>
  <c r="D745" i="17"/>
  <c r="D746" i="17"/>
  <c r="D747" i="17"/>
  <c r="D748" i="17"/>
  <c r="D749" i="17"/>
  <c r="D750" i="17"/>
  <c r="D751" i="17"/>
  <c r="D752" i="17"/>
  <c r="D753" i="17"/>
  <c r="D754" i="17"/>
  <c r="D755" i="17"/>
  <c r="D756" i="17"/>
  <c r="D757" i="17"/>
  <c r="D758" i="17"/>
  <c r="D759" i="17"/>
  <c r="D760" i="17"/>
  <c r="D761" i="17"/>
  <c r="D762" i="17"/>
  <c r="D763" i="17"/>
  <c r="D764" i="17"/>
  <c r="D765" i="17"/>
  <c r="D766" i="17"/>
  <c r="D767" i="17"/>
  <c r="D768" i="17"/>
  <c r="D769" i="17"/>
  <c r="D770" i="17"/>
  <c r="D771" i="17"/>
  <c r="D772" i="17"/>
  <c r="D773" i="17"/>
  <c r="D774" i="17"/>
  <c r="D775" i="17"/>
  <c r="D776" i="17"/>
  <c r="D777" i="17"/>
  <c r="D778" i="17"/>
  <c r="D779" i="17"/>
  <c r="D780" i="17"/>
  <c r="D781" i="17"/>
  <c r="D782" i="17"/>
  <c r="D783" i="17"/>
  <c r="D784" i="17"/>
  <c r="D785" i="17"/>
  <c r="D786" i="17"/>
  <c r="D787" i="17"/>
  <c r="D788" i="17"/>
  <c r="D789" i="17"/>
  <c r="D790" i="17"/>
  <c r="D791" i="17"/>
  <c r="D792" i="17"/>
  <c r="D793" i="17"/>
  <c r="D794" i="17"/>
  <c r="D795" i="17"/>
  <c r="D796" i="17"/>
  <c r="D797" i="17"/>
  <c r="D798" i="17"/>
  <c r="D799" i="17"/>
  <c r="D800" i="17"/>
  <c r="D801" i="17"/>
  <c r="D802" i="17"/>
  <c r="D803" i="17"/>
  <c r="D804" i="17"/>
  <c r="D805" i="17"/>
  <c r="D806" i="17"/>
  <c r="D807" i="17"/>
  <c r="D808" i="17"/>
  <c r="D809" i="17"/>
  <c r="D810" i="17"/>
  <c r="D811" i="17"/>
  <c r="D812" i="17"/>
  <c r="D813" i="17"/>
  <c r="D814" i="17"/>
  <c r="D815" i="17"/>
  <c r="D816" i="17"/>
  <c r="D817" i="17"/>
  <c r="D818" i="17"/>
  <c r="D819" i="17"/>
  <c r="D820" i="17"/>
  <c r="D821" i="17"/>
  <c r="D822" i="17"/>
  <c r="D823" i="17"/>
  <c r="D824" i="17"/>
  <c r="D825" i="17"/>
  <c r="D826" i="17"/>
  <c r="D827" i="17"/>
  <c r="D828" i="17"/>
  <c r="D829" i="17"/>
  <c r="D830" i="17"/>
  <c r="D831" i="17"/>
  <c r="D832" i="17"/>
  <c r="D833" i="17"/>
  <c r="D834" i="17"/>
  <c r="D835" i="17"/>
  <c r="D836" i="17"/>
  <c r="D837" i="17"/>
  <c r="D838" i="17"/>
  <c r="D839" i="17"/>
  <c r="D840" i="17"/>
  <c r="D841" i="17"/>
  <c r="D842" i="17"/>
  <c r="D843" i="17"/>
  <c r="D844" i="17"/>
  <c r="D845" i="17"/>
  <c r="D846" i="17"/>
  <c r="D847" i="17"/>
  <c r="D848" i="17"/>
  <c r="D849" i="17"/>
  <c r="D850" i="17"/>
  <c r="D851" i="17"/>
  <c r="D852" i="17"/>
  <c r="D853" i="17"/>
  <c r="D854" i="17"/>
  <c r="D855" i="17"/>
  <c r="D856" i="17"/>
  <c r="D857" i="17"/>
  <c r="D858" i="17"/>
  <c r="D859" i="17"/>
  <c r="D860" i="17"/>
  <c r="D861" i="17"/>
  <c r="D862" i="17"/>
  <c r="D863" i="17"/>
  <c r="D864" i="17"/>
  <c r="D865" i="17"/>
  <c r="D866" i="17"/>
  <c r="D867" i="17"/>
  <c r="D868" i="17"/>
  <c r="D869" i="17"/>
  <c r="D870" i="17"/>
  <c r="D871" i="17"/>
  <c r="D872" i="17"/>
  <c r="D873" i="17"/>
  <c r="D874" i="17"/>
  <c r="D875" i="17"/>
  <c r="D876" i="17"/>
  <c r="D877" i="17"/>
  <c r="D878" i="17"/>
  <c r="D879" i="17"/>
  <c r="D880" i="17"/>
  <c r="D881" i="17"/>
  <c r="D882" i="17"/>
  <c r="D883" i="17"/>
  <c r="D884" i="17"/>
  <c r="D885" i="17"/>
  <c r="D886" i="17"/>
  <c r="D887" i="17"/>
  <c r="D888" i="17"/>
  <c r="D889" i="17"/>
  <c r="D890" i="17"/>
  <c r="D891" i="17"/>
  <c r="D892" i="17"/>
  <c r="D893" i="17"/>
  <c r="D894" i="17"/>
  <c r="D895" i="17"/>
  <c r="D896" i="17"/>
  <c r="D897" i="17"/>
  <c r="D898" i="17"/>
  <c r="D899" i="17"/>
  <c r="D900" i="17"/>
  <c r="D901" i="17"/>
  <c r="D902" i="17"/>
  <c r="D903" i="17"/>
  <c r="D904" i="17"/>
  <c r="D905" i="17"/>
  <c r="D906" i="17"/>
  <c r="D907" i="17"/>
  <c r="D908" i="17"/>
  <c r="D909" i="17"/>
  <c r="D910" i="17"/>
  <c r="D911" i="17"/>
  <c r="D912" i="17"/>
  <c r="D913" i="17"/>
  <c r="D914" i="17"/>
  <c r="D915" i="17"/>
  <c r="D916" i="17"/>
  <c r="D917" i="17"/>
  <c r="D918" i="17"/>
  <c r="D919" i="17"/>
  <c r="D920" i="17"/>
  <c r="D921" i="17"/>
  <c r="D922" i="17"/>
  <c r="D923" i="17"/>
  <c r="D924" i="17"/>
  <c r="D925" i="17"/>
  <c r="D926" i="17"/>
  <c r="D927" i="17"/>
  <c r="D928" i="17"/>
  <c r="D929" i="17"/>
  <c r="D930" i="17"/>
  <c r="D931" i="17"/>
  <c r="D932" i="17"/>
  <c r="D933" i="17"/>
  <c r="D934" i="17"/>
  <c r="D935" i="17"/>
  <c r="D936" i="17"/>
  <c r="D937" i="17"/>
  <c r="D938" i="17"/>
  <c r="D939" i="17"/>
  <c r="D940" i="17"/>
  <c r="D941" i="17"/>
  <c r="D942" i="17"/>
  <c r="D943" i="17"/>
  <c r="D944" i="17"/>
  <c r="D945" i="17"/>
  <c r="D946" i="17"/>
  <c r="D947" i="17"/>
  <c r="D948" i="17"/>
  <c r="D949" i="17"/>
  <c r="D950" i="17"/>
  <c r="D951" i="17"/>
  <c r="D952" i="17"/>
  <c r="D953" i="17"/>
  <c r="D954" i="17"/>
  <c r="D955" i="17"/>
  <c r="D956" i="17"/>
  <c r="D957" i="17"/>
  <c r="D958" i="17"/>
  <c r="D959" i="17"/>
  <c r="D960" i="17"/>
  <c r="D961" i="17"/>
  <c r="D962" i="17"/>
  <c r="D963" i="17"/>
  <c r="D964" i="17"/>
  <c r="D965" i="17"/>
  <c r="D966" i="17"/>
  <c r="D967" i="17"/>
  <c r="D968" i="17"/>
  <c r="D969" i="17"/>
  <c r="D970" i="17"/>
  <c r="D971" i="17"/>
  <c r="D972" i="17"/>
  <c r="D973" i="17"/>
  <c r="D974" i="17"/>
  <c r="D975" i="17"/>
  <c r="D976" i="17"/>
  <c r="D977" i="17"/>
  <c r="D978" i="17"/>
  <c r="D979" i="17"/>
  <c r="D980" i="17"/>
  <c r="D981" i="17"/>
  <c r="D982" i="17"/>
  <c r="D983" i="17"/>
  <c r="D984" i="17"/>
  <c r="D985" i="17"/>
  <c r="D986" i="17"/>
  <c r="D987" i="17"/>
  <c r="D988" i="17"/>
  <c r="D989" i="17"/>
  <c r="D990" i="17"/>
  <c r="D991" i="17"/>
  <c r="D992" i="17"/>
  <c r="D993" i="17"/>
  <c r="D994" i="17"/>
  <c r="D995" i="17"/>
  <c r="D996" i="17"/>
  <c r="D997" i="17"/>
  <c r="D998" i="17"/>
  <c r="D999" i="17"/>
  <c r="D1000" i="17"/>
  <c r="D1001" i="17"/>
  <c r="D1002" i="17"/>
  <c r="D1003" i="17"/>
  <c r="D1004" i="17"/>
  <c r="D1005" i="17"/>
  <c r="D1006" i="17"/>
  <c r="D1007" i="17"/>
  <c r="D1008" i="17"/>
  <c r="D1009" i="17"/>
  <c r="D1010" i="17"/>
  <c r="D1011" i="17"/>
  <c r="D1012" i="17"/>
  <c r="D1013" i="17"/>
  <c r="D1014" i="17"/>
  <c r="D1015" i="17"/>
  <c r="D1016" i="17"/>
  <c r="D1017" i="17"/>
  <c r="D1018" i="17"/>
  <c r="D1019" i="17"/>
  <c r="D1020" i="17"/>
  <c r="D1021" i="17"/>
  <c r="D1022" i="17"/>
  <c r="D1023" i="17"/>
  <c r="D1024" i="17"/>
  <c r="D1025" i="17"/>
  <c r="D1026" i="17"/>
  <c r="D1027" i="17"/>
  <c r="D1028" i="17"/>
  <c r="D1029" i="17"/>
  <c r="D1030" i="17"/>
  <c r="D1031" i="17"/>
  <c r="C105" i="17"/>
  <c r="C106" i="17" s="1"/>
  <c r="D106" i="17" s="1"/>
  <c r="C1001" i="17"/>
  <c r="C1002" i="17" s="1"/>
  <c r="C971" i="17"/>
  <c r="C972" i="17" s="1"/>
  <c r="C970" i="17"/>
  <c r="C969" i="17"/>
  <c r="C937" i="17"/>
  <c r="C938" i="17" s="1"/>
  <c r="C905" i="17"/>
  <c r="C906" i="17" s="1"/>
  <c r="C874" i="17"/>
  <c r="C873" i="17"/>
  <c r="C841" i="17"/>
  <c r="C842" i="17" s="1"/>
  <c r="C809" i="17"/>
  <c r="C777" i="17"/>
  <c r="C778" i="17" s="1"/>
  <c r="C747" i="17"/>
  <c r="C746" i="17"/>
  <c r="C745" i="17"/>
  <c r="C714" i="17"/>
  <c r="C715" i="17" s="1"/>
  <c r="C713" i="17"/>
  <c r="C681" i="17"/>
  <c r="C650" i="17"/>
  <c r="C649" i="17"/>
  <c r="C618" i="17"/>
  <c r="C619" i="17" s="1"/>
  <c r="C617" i="17"/>
  <c r="C585" i="17"/>
  <c r="C586" i="17" s="1"/>
  <c r="C553" i="17"/>
  <c r="C554" i="17" s="1"/>
  <c r="C521" i="17"/>
  <c r="C522" i="17" s="1"/>
  <c r="C491" i="17"/>
  <c r="C492" i="17" s="1"/>
  <c r="C490" i="17"/>
  <c r="C489" i="17"/>
  <c r="C457" i="17"/>
  <c r="C458" i="17" s="1"/>
  <c r="C426" i="17"/>
  <c r="C427" i="17" s="1"/>
  <c r="C425" i="17"/>
  <c r="C395" i="17"/>
  <c r="C396" i="17" s="1"/>
  <c r="C394" i="17"/>
  <c r="C393" i="17"/>
  <c r="C361" i="17"/>
  <c r="C329" i="17"/>
  <c r="C330" i="17" s="1"/>
  <c r="C297" i="17"/>
  <c r="C298" i="17" s="1"/>
  <c r="C266" i="17"/>
  <c r="C267" i="17" s="1"/>
  <c r="C265" i="17"/>
  <c r="C235" i="17"/>
  <c r="C234" i="17"/>
  <c r="C233" i="17"/>
  <c r="C201" i="17"/>
  <c r="C170" i="17"/>
  <c r="C169" i="17"/>
  <c r="C137" i="17"/>
  <c r="C138" i="17" s="1"/>
  <c r="C73" i="17"/>
  <c r="D73" i="17" s="1"/>
  <c r="C74" i="17"/>
  <c r="D74" i="17" s="1"/>
  <c r="C75" i="17"/>
  <c r="D75" i="17" s="1"/>
  <c r="C76" i="17"/>
  <c r="D76" i="17" s="1"/>
  <c r="C77" i="17"/>
  <c r="D77" i="17" s="1"/>
  <c r="C78" i="17"/>
  <c r="D78" i="17" s="1"/>
  <c r="C79" i="17"/>
  <c r="D79" i="17" s="1"/>
  <c r="C80" i="17"/>
  <c r="D80" i="17" s="1"/>
  <c r="C81" i="17"/>
  <c r="D81" i="17" s="1"/>
  <c r="C82" i="17"/>
  <c r="D82" i="17" s="1"/>
  <c r="C83" i="17"/>
  <c r="D83" i="17" s="1"/>
  <c r="C84" i="17"/>
  <c r="D84" i="17" s="1"/>
  <c r="C85" i="17"/>
  <c r="D85" i="17" s="1"/>
  <c r="C86" i="17"/>
  <c r="D86" i="17" s="1"/>
  <c r="C87" i="17"/>
  <c r="D87" i="17" s="1"/>
  <c r="C88" i="17"/>
  <c r="D88" i="17" s="1"/>
  <c r="C89" i="17"/>
  <c r="D89" i="17" s="1"/>
  <c r="C90" i="17"/>
  <c r="D90" i="17" s="1"/>
  <c r="C91" i="17"/>
  <c r="D91" i="17" s="1"/>
  <c r="C92" i="17"/>
  <c r="D92" i="17" s="1"/>
  <c r="C93" i="17"/>
  <c r="D93" i="17" s="1"/>
  <c r="C94" i="17"/>
  <c r="D94" i="17" s="1"/>
  <c r="C95" i="17"/>
  <c r="D95" i="17" s="1"/>
  <c r="C96" i="17"/>
  <c r="D96" i="17" s="1"/>
  <c r="C97" i="17"/>
  <c r="D97" i="17" s="1"/>
  <c r="C98" i="17"/>
  <c r="D98" i="17" s="1"/>
  <c r="C99" i="17"/>
  <c r="D99" i="17" s="1"/>
  <c r="C100" i="17"/>
  <c r="D100" i="17" s="1"/>
  <c r="C101" i="17"/>
  <c r="D101" i="17" s="1"/>
  <c r="C102" i="17"/>
  <c r="D102" i="17" s="1"/>
  <c r="C103" i="17"/>
  <c r="D103" i="17" s="1"/>
  <c r="C72" i="17"/>
  <c r="D72" i="17" s="1"/>
  <c r="C42" i="17"/>
  <c r="C43" i="17"/>
  <c r="C44" i="17"/>
  <c r="C45" i="17" s="1"/>
  <c r="C46" i="17" s="1"/>
  <c r="C47" i="17" s="1"/>
  <c r="C48" i="17" s="1"/>
  <c r="C49" i="17" s="1"/>
  <c r="C50" i="17" s="1"/>
  <c r="C51" i="17" s="1"/>
  <c r="C52" i="17" s="1"/>
  <c r="C53" i="17" s="1"/>
  <c r="C54" i="17" s="1"/>
  <c r="C55" i="17" s="1"/>
  <c r="C56" i="17" s="1"/>
  <c r="C57" i="17" s="1"/>
  <c r="C58" i="17" s="1"/>
  <c r="C59" i="17" s="1"/>
  <c r="C60" i="17" s="1"/>
  <c r="C61" i="17" s="1"/>
  <c r="C62" i="17" s="1"/>
  <c r="C63" i="17" s="1"/>
  <c r="C64" i="17" s="1"/>
  <c r="C65" i="17" s="1"/>
  <c r="C66" i="17" s="1"/>
  <c r="C67" i="17" s="1"/>
  <c r="C68" i="17" s="1"/>
  <c r="C69" i="17" s="1"/>
  <c r="C70" i="17" s="1"/>
  <c r="C41" i="17"/>
  <c r="B9" i="17"/>
  <c r="B10" i="17"/>
  <c r="B11" i="17"/>
  <c r="B12" i="17"/>
  <c r="B13" i="17"/>
  <c r="B14" i="17"/>
  <c r="B15" i="17"/>
  <c r="B16" i="17"/>
  <c r="B17" i="17"/>
  <c r="B18" i="17"/>
  <c r="B19" i="17"/>
  <c r="B20" i="17"/>
  <c r="B21" i="17"/>
  <c r="B22" i="17"/>
  <c r="B23" i="17"/>
  <c r="B24" i="17"/>
  <c r="B25" i="17"/>
  <c r="B26" i="17"/>
  <c r="B27" i="17"/>
  <c r="B28" i="17"/>
  <c r="B29" i="17"/>
  <c r="B30" i="17"/>
  <c r="B31" i="17"/>
  <c r="B32" i="17"/>
  <c r="B33" i="17"/>
  <c r="B34" i="17"/>
  <c r="B35" i="17"/>
  <c r="B36" i="17"/>
  <c r="B37" i="17"/>
  <c r="B38" i="17"/>
  <c r="B39" i="17"/>
  <c r="B40" i="17"/>
  <c r="B41" i="17"/>
  <c r="B42" i="17"/>
  <c r="B43" i="17"/>
  <c r="B44" i="17"/>
  <c r="B45" i="17"/>
  <c r="B46" i="17"/>
  <c r="B47" i="17"/>
  <c r="B48" i="17"/>
  <c r="B49" i="17"/>
  <c r="B50" i="17"/>
  <c r="B51" i="17"/>
  <c r="B52" i="17"/>
  <c r="B53" i="17"/>
  <c r="B54" i="17"/>
  <c r="B55" i="17"/>
  <c r="B56" i="17"/>
  <c r="B57" i="17"/>
  <c r="B58" i="17"/>
  <c r="B59" i="17"/>
  <c r="B60" i="17"/>
  <c r="B61" i="17"/>
  <c r="B62" i="17"/>
  <c r="B63" i="17"/>
  <c r="B64" i="17"/>
  <c r="B65" i="17"/>
  <c r="B66" i="17"/>
  <c r="B67" i="17"/>
  <c r="B68" i="17"/>
  <c r="B69" i="17"/>
  <c r="B70" i="17"/>
  <c r="B71" i="17"/>
  <c r="B72" i="17"/>
  <c r="B73" i="17"/>
  <c r="B74" i="17"/>
  <c r="B75" i="17"/>
  <c r="B76" i="17"/>
  <c r="B77" i="17"/>
  <c r="B78" i="17"/>
  <c r="B79" i="17"/>
  <c r="B80" i="17"/>
  <c r="B81" i="17"/>
  <c r="B82" i="17"/>
  <c r="B83" i="17"/>
  <c r="B84" i="17"/>
  <c r="B85" i="17"/>
  <c r="B86" i="17"/>
  <c r="B87" i="17"/>
  <c r="B88" i="17"/>
  <c r="B89" i="17"/>
  <c r="B90" i="17"/>
  <c r="B91" i="17"/>
  <c r="B92" i="17"/>
  <c r="B93" i="17"/>
  <c r="B94" i="17"/>
  <c r="B95" i="17"/>
  <c r="B96" i="17"/>
  <c r="B97" i="17"/>
  <c r="B98" i="17"/>
  <c r="B99" i="17"/>
  <c r="B100" i="17"/>
  <c r="B101" i="17"/>
  <c r="B102" i="17"/>
  <c r="B103" i="17"/>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03" i="17"/>
  <c r="B204" i="17"/>
  <c r="B205" i="17"/>
  <c r="B206" i="17"/>
  <c r="B207" i="17"/>
  <c r="B208" i="17"/>
  <c r="B209" i="17"/>
  <c r="B210" i="17"/>
  <c r="B211" i="17"/>
  <c r="B212" i="17"/>
  <c r="B213" i="17"/>
  <c r="B214" i="17"/>
  <c r="B215" i="17"/>
  <c r="B216" i="17"/>
  <c r="B217" i="17"/>
  <c r="B218" i="17"/>
  <c r="B219" i="17"/>
  <c r="B220" i="17"/>
  <c r="B221" i="17"/>
  <c r="B222" i="17"/>
  <c r="B223" i="17"/>
  <c r="B224" i="17"/>
  <c r="B225" i="17"/>
  <c r="B226" i="17"/>
  <c r="B227" i="17"/>
  <c r="B228" i="17"/>
  <c r="B229" i="17"/>
  <c r="B230" i="17"/>
  <c r="B231" i="17"/>
  <c r="B232" i="17"/>
  <c r="B233" i="17"/>
  <c r="B234" i="17"/>
  <c r="B235" i="17"/>
  <c r="B236" i="17"/>
  <c r="B237" i="17"/>
  <c r="B238" i="17"/>
  <c r="B239" i="17"/>
  <c r="B240" i="17"/>
  <c r="B241" i="17"/>
  <c r="B242" i="17"/>
  <c r="B243" i="17"/>
  <c r="B244" i="17"/>
  <c r="B245" i="17"/>
  <c r="B246" i="17"/>
  <c r="B247" i="17"/>
  <c r="B248" i="17"/>
  <c r="B249" i="17"/>
  <c r="B250" i="17"/>
  <c r="B251" i="17"/>
  <c r="B252" i="17"/>
  <c r="B253" i="17"/>
  <c r="B254" i="17"/>
  <c r="B255" i="17"/>
  <c r="B256" i="17"/>
  <c r="B257" i="17"/>
  <c r="B258" i="17"/>
  <c r="B259" i="17"/>
  <c r="B260" i="17"/>
  <c r="B261" i="17"/>
  <c r="B262" i="17"/>
  <c r="B263" i="17"/>
  <c r="B264" i="17"/>
  <c r="B265" i="17"/>
  <c r="B266" i="17"/>
  <c r="B267" i="17"/>
  <c r="B268" i="17"/>
  <c r="B269" i="17"/>
  <c r="B270" i="17"/>
  <c r="B271" i="17"/>
  <c r="B272" i="17"/>
  <c r="B273" i="17"/>
  <c r="B274" i="17"/>
  <c r="B275" i="17"/>
  <c r="B276" i="17"/>
  <c r="B277" i="17"/>
  <c r="B278" i="17"/>
  <c r="B279" i="17"/>
  <c r="B280" i="17"/>
  <c r="B281" i="17"/>
  <c r="B282" i="17"/>
  <c r="B283" i="17"/>
  <c r="B284" i="17"/>
  <c r="B285" i="17"/>
  <c r="B286" i="17"/>
  <c r="B287" i="17"/>
  <c r="B288" i="17"/>
  <c r="B289" i="17"/>
  <c r="B290" i="17"/>
  <c r="B291" i="17"/>
  <c r="B292" i="17"/>
  <c r="B293" i="17"/>
  <c r="B294" i="17"/>
  <c r="B295" i="17"/>
  <c r="B296" i="17"/>
  <c r="B297" i="17"/>
  <c r="B298" i="17"/>
  <c r="B299" i="17"/>
  <c r="B300" i="17"/>
  <c r="B301" i="17"/>
  <c r="B302" i="17"/>
  <c r="B303" i="17"/>
  <c r="B304" i="17"/>
  <c r="B305" i="17"/>
  <c r="B306" i="17"/>
  <c r="B307" i="17"/>
  <c r="B308" i="17"/>
  <c r="B309" i="17"/>
  <c r="B310" i="17"/>
  <c r="B311" i="17"/>
  <c r="B312" i="17"/>
  <c r="B313" i="17"/>
  <c r="B314" i="17"/>
  <c r="B315" i="17"/>
  <c r="B316" i="17"/>
  <c r="B317" i="17"/>
  <c r="B318" i="17"/>
  <c r="B319" i="17"/>
  <c r="B320" i="17"/>
  <c r="B321" i="17"/>
  <c r="B322" i="17"/>
  <c r="B323" i="17"/>
  <c r="B324" i="17"/>
  <c r="B325" i="17"/>
  <c r="B326" i="17"/>
  <c r="B327" i="17"/>
  <c r="B328" i="17"/>
  <c r="B329" i="17"/>
  <c r="B330" i="17"/>
  <c r="B331" i="17"/>
  <c r="B332" i="17"/>
  <c r="B333" i="17"/>
  <c r="B334" i="17"/>
  <c r="B335" i="17"/>
  <c r="B336" i="17"/>
  <c r="B337" i="17"/>
  <c r="B338" i="17"/>
  <c r="B339" i="17"/>
  <c r="B340" i="17"/>
  <c r="B341" i="17"/>
  <c r="B342" i="17"/>
  <c r="B343" i="17"/>
  <c r="B344" i="17"/>
  <c r="B345" i="17"/>
  <c r="B346" i="17"/>
  <c r="B347" i="17"/>
  <c r="B348" i="17"/>
  <c r="B349" i="17"/>
  <c r="B350" i="17"/>
  <c r="B351" i="17"/>
  <c r="B352" i="17"/>
  <c r="B353" i="17"/>
  <c r="B354" i="17"/>
  <c r="B355" i="17"/>
  <c r="B356" i="17"/>
  <c r="B357" i="17"/>
  <c r="B358" i="17"/>
  <c r="B359" i="17"/>
  <c r="B360" i="17"/>
  <c r="B361" i="17"/>
  <c r="B362" i="17"/>
  <c r="B363" i="17"/>
  <c r="B364" i="17"/>
  <c r="B365" i="17"/>
  <c r="B366" i="17"/>
  <c r="B367" i="17"/>
  <c r="B368" i="17"/>
  <c r="B369" i="17"/>
  <c r="B370" i="17"/>
  <c r="B371" i="17"/>
  <c r="B372" i="17"/>
  <c r="B373" i="17"/>
  <c r="B374" i="17"/>
  <c r="B375" i="17"/>
  <c r="B376" i="17"/>
  <c r="B377" i="17"/>
  <c r="B378" i="17"/>
  <c r="B379" i="17"/>
  <c r="B380" i="17"/>
  <c r="B381" i="17"/>
  <c r="B382" i="17"/>
  <c r="B383" i="17"/>
  <c r="B384" i="17"/>
  <c r="B385" i="17"/>
  <c r="B386" i="17"/>
  <c r="B387" i="17"/>
  <c r="B388" i="17"/>
  <c r="B389" i="17"/>
  <c r="B390" i="17"/>
  <c r="B391" i="17"/>
  <c r="B392" i="17"/>
  <c r="B393" i="17"/>
  <c r="B394" i="17"/>
  <c r="B395" i="17"/>
  <c r="B396" i="17"/>
  <c r="B397" i="17"/>
  <c r="B398" i="17"/>
  <c r="B399" i="17"/>
  <c r="B400" i="17"/>
  <c r="B401" i="17"/>
  <c r="B402" i="17"/>
  <c r="B403" i="17"/>
  <c r="B404" i="17"/>
  <c r="B405" i="17"/>
  <c r="B406" i="17"/>
  <c r="B407" i="17"/>
  <c r="B408" i="17"/>
  <c r="B409" i="17"/>
  <c r="B410" i="17"/>
  <c r="B411" i="17"/>
  <c r="B412" i="17"/>
  <c r="B413" i="17"/>
  <c r="B414" i="17"/>
  <c r="B415" i="17"/>
  <c r="B416" i="17"/>
  <c r="B417" i="17"/>
  <c r="B418" i="17"/>
  <c r="B419" i="17"/>
  <c r="B420" i="17"/>
  <c r="B421" i="17"/>
  <c r="B422" i="17"/>
  <c r="B423" i="17"/>
  <c r="B424" i="17"/>
  <c r="B425" i="17"/>
  <c r="B426" i="17"/>
  <c r="B427" i="17"/>
  <c r="B428" i="17"/>
  <c r="B429" i="17"/>
  <c r="B430" i="17"/>
  <c r="B431" i="17"/>
  <c r="B432" i="17"/>
  <c r="B433" i="17"/>
  <c r="B434" i="17"/>
  <c r="B435" i="17"/>
  <c r="B436" i="17"/>
  <c r="B437" i="17"/>
  <c r="B438" i="17"/>
  <c r="B439" i="17"/>
  <c r="B440" i="17"/>
  <c r="B441" i="17"/>
  <c r="B442" i="17"/>
  <c r="B443" i="17"/>
  <c r="B444" i="17"/>
  <c r="B445" i="17"/>
  <c r="B446" i="17"/>
  <c r="B447" i="17"/>
  <c r="B448" i="17"/>
  <c r="B449" i="17"/>
  <c r="B450" i="17"/>
  <c r="B451" i="17"/>
  <c r="B452" i="17"/>
  <c r="B453" i="17"/>
  <c r="B454" i="17"/>
  <c r="B455" i="17"/>
  <c r="B456" i="17"/>
  <c r="B457" i="17"/>
  <c r="B458" i="17"/>
  <c r="B459" i="17"/>
  <c r="B460" i="17"/>
  <c r="B461" i="17"/>
  <c r="B462" i="17"/>
  <c r="B463" i="17"/>
  <c r="B464" i="17"/>
  <c r="B465" i="17"/>
  <c r="B466" i="17"/>
  <c r="B467" i="17"/>
  <c r="B468" i="17"/>
  <c r="B469" i="17"/>
  <c r="B470" i="17"/>
  <c r="B471" i="17"/>
  <c r="B472" i="17"/>
  <c r="B473" i="17"/>
  <c r="B474" i="17"/>
  <c r="B475" i="17"/>
  <c r="B476" i="17"/>
  <c r="B477" i="17"/>
  <c r="B478" i="17"/>
  <c r="B479" i="17"/>
  <c r="B480" i="17"/>
  <c r="B481" i="17"/>
  <c r="B482" i="17"/>
  <c r="B483" i="17"/>
  <c r="B484" i="17"/>
  <c r="B485" i="17"/>
  <c r="B486" i="17"/>
  <c r="B487" i="17"/>
  <c r="B488" i="17"/>
  <c r="B489" i="17"/>
  <c r="B490" i="17"/>
  <c r="B491" i="17"/>
  <c r="B492" i="17"/>
  <c r="B493" i="17"/>
  <c r="B494" i="17"/>
  <c r="B495" i="17"/>
  <c r="B496" i="17"/>
  <c r="B497" i="17"/>
  <c r="B498" i="17"/>
  <c r="B499" i="17"/>
  <c r="B500" i="17"/>
  <c r="B501" i="17"/>
  <c r="B502" i="17"/>
  <c r="B503" i="17"/>
  <c r="B504" i="17"/>
  <c r="B505" i="17"/>
  <c r="B506" i="17"/>
  <c r="B507" i="17"/>
  <c r="B508" i="17"/>
  <c r="B509" i="17"/>
  <c r="B510" i="17"/>
  <c r="B511" i="17"/>
  <c r="B512" i="17"/>
  <c r="B513" i="17"/>
  <c r="B514" i="17"/>
  <c r="B515" i="17"/>
  <c r="B516" i="17"/>
  <c r="B517" i="17"/>
  <c r="B518" i="17"/>
  <c r="B519" i="17"/>
  <c r="B520" i="17"/>
  <c r="B521" i="17"/>
  <c r="B522" i="17"/>
  <c r="B523" i="17"/>
  <c r="B524" i="17"/>
  <c r="B525" i="17"/>
  <c r="B526" i="17"/>
  <c r="B527" i="17"/>
  <c r="B528" i="17"/>
  <c r="B529" i="17"/>
  <c r="B530" i="17"/>
  <c r="B531" i="17"/>
  <c r="B532" i="17"/>
  <c r="B533" i="17"/>
  <c r="B534" i="17"/>
  <c r="B535" i="17"/>
  <c r="B536" i="17"/>
  <c r="B537" i="17"/>
  <c r="B538" i="17"/>
  <c r="B539" i="17"/>
  <c r="B540" i="17"/>
  <c r="B541" i="17"/>
  <c r="B542" i="17"/>
  <c r="B543" i="17"/>
  <c r="B544" i="17"/>
  <c r="B545" i="17"/>
  <c r="B546" i="17"/>
  <c r="B547" i="17"/>
  <c r="B548" i="17"/>
  <c r="B549" i="17"/>
  <c r="B550" i="17"/>
  <c r="B551" i="17"/>
  <c r="B552" i="17"/>
  <c r="B553" i="17"/>
  <c r="B554" i="17"/>
  <c r="B555" i="17"/>
  <c r="B556" i="17"/>
  <c r="B557" i="17"/>
  <c r="B558" i="17"/>
  <c r="B559" i="17"/>
  <c r="B560" i="17"/>
  <c r="B561" i="17"/>
  <c r="B562" i="17"/>
  <c r="B563" i="17"/>
  <c r="B564" i="17"/>
  <c r="B565" i="17"/>
  <c r="B566" i="17"/>
  <c r="B567" i="17"/>
  <c r="B568" i="17"/>
  <c r="B569" i="17"/>
  <c r="B570" i="17"/>
  <c r="B571" i="17"/>
  <c r="B572" i="17"/>
  <c r="B573" i="17"/>
  <c r="B574" i="17"/>
  <c r="B575" i="17"/>
  <c r="B576" i="17"/>
  <c r="B577" i="17"/>
  <c r="B578" i="17"/>
  <c r="B579" i="17"/>
  <c r="B580" i="17"/>
  <c r="B581" i="17"/>
  <c r="B582" i="17"/>
  <c r="B583" i="17"/>
  <c r="B584" i="17"/>
  <c r="B585" i="17"/>
  <c r="B586" i="17"/>
  <c r="B587" i="17"/>
  <c r="B588" i="17"/>
  <c r="B589" i="17"/>
  <c r="B590" i="17"/>
  <c r="B591" i="17"/>
  <c r="B592" i="17"/>
  <c r="B593" i="17"/>
  <c r="B594" i="17"/>
  <c r="B595" i="17"/>
  <c r="B596" i="17"/>
  <c r="B597" i="17"/>
  <c r="B598" i="17"/>
  <c r="B599" i="17"/>
  <c r="B600" i="17"/>
  <c r="B601" i="17"/>
  <c r="B602" i="17"/>
  <c r="B603" i="17"/>
  <c r="B604" i="17"/>
  <c r="B605" i="17"/>
  <c r="B606" i="17"/>
  <c r="B607" i="17"/>
  <c r="B608" i="17"/>
  <c r="B609" i="17"/>
  <c r="B610" i="17"/>
  <c r="B611" i="17"/>
  <c r="B612" i="17"/>
  <c r="B613" i="17"/>
  <c r="B614" i="17"/>
  <c r="B615" i="17"/>
  <c r="B616" i="17"/>
  <c r="B617" i="17"/>
  <c r="B618" i="17"/>
  <c r="B619" i="17"/>
  <c r="B620" i="17"/>
  <c r="B621" i="17"/>
  <c r="B622" i="17"/>
  <c r="B623" i="17"/>
  <c r="B624" i="17"/>
  <c r="B625" i="17"/>
  <c r="B626" i="17"/>
  <c r="B627" i="17"/>
  <c r="B628" i="17"/>
  <c r="B629" i="17"/>
  <c r="B630" i="17"/>
  <c r="B631" i="17"/>
  <c r="B632" i="17"/>
  <c r="B633" i="17"/>
  <c r="B634" i="17"/>
  <c r="B635" i="17"/>
  <c r="B636" i="17"/>
  <c r="B637" i="17"/>
  <c r="B638" i="17"/>
  <c r="B639" i="17"/>
  <c r="B640" i="17"/>
  <c r="B641" i="17"/>
  <c r="B642" i="17"/>
  <c r="B643" i="17"/>
  <c r="B644" i="17"/>
  <c r="B645" i="17"/>
  <c r="B646" i="17"/>
  <c r="B647" i="17"/>
  <c r="B648" i="17"/>
  <c r="B649" i="17"/>
  <c r="B650" i="17"/>
  <c r="B651" i="17"/>
  <c r="B652" i="17"/>
  <c r="B653" i="17"/>
  <c r="B654" i="17"/>
  <c r="B655" i="17"/>
  <c r="B656" i="17"/>
  <c r="B657" i="17"/>
  <c r="B658" i="17"/>
  <c r="B659" i="17"/>
  <c r="B660" i="17"/>
  <c r="B661" i="17"/>
  <c r="B662" i="17"/>
  <c r="B663" i="17"/>
  <c r="B664" i="17"/>
  <c r="B665" i="17"/>
  <c r="B666" i="17"/>
  <c r="B667" i="17"/>
  <c r="B668" i="17"/>
  <c r="B669" i="17"/>
  <c r="B670" i="17"/>
  <c r="B671" i="17"/>
  <c r="B672" i="17"/>
  <c r="B673" i="17"/>
  <c r="B674" i="17"/>
  <c r="B675" i="17"/>
  <c r="B676" i="17"/>
  <c r="B677" i="17"/>
  <c r="B678" i="17"/>
  <c r="B679" i="17"/>
  <c r="B680" i="17"/>
  <c r="B681" i="17"/>
  <c r="B682" i="17"/>
  <c r="B683" i="17"/>
  <c r="B684" i="17"/>
  <c r="B685" i="17"/>
  <c r="B686" i="17"/>
  <c r="B687" i="17"/>
  <c r="B688" i="17"/>
  <c r="B689" i="17"/>
  <c r="B690" i="17"/>
  <c r="B691" i="17"/>
  <c r="B692" i="17"/>
  <c r="B693" i="17"/>
  <c r="B694" i="17"/>
  <c r="B695" i="17"/>
  <c r="B696" i="17"/>
  <c r="B697" i="17"/>
  <c r="B698" i="17"/>
  <c r="B699" i="17"/>
  <c r="B700" i="17"/>
  <c r="B701" i="17"/>
  <c r="B702" i="17"/>
  <c r="B703" i="17"/>
  <c r="B704" i="17"/>
  <c r="B705" i="17"/>
  <c r="B706" i="17"/>
  <c r="B707" i="17"/>
  <c r="B708" i="17"/>
  <c r="B709" i="17"/>
  <c r="B710" i="17"/>
  <c r="B711" i="17"/>
  <c r="B712" i="17"/>
  <c r="B713" i="17"/>
  <c r="B714" i="17"/>
  <c r="B715" i="17"/>
  <c r="B716" i="17"/>
  <c r="B717" i="17"/>
  <c r="B718" i="17"/>
  <c r="B719" i="17"/>
  <c r="B720" i="17"/>
  <c r="B721" i="17"/>
  <c r="B722" i="17"/>
  <c r="B723" i="17"/>
  <c r="B724" i="17"/>
  <c r="B725" i="17"/>
  <c r="B726" i="17"/>
  <c r="B727" i="17"/>
  <c r="B728" i="17"/>
  <c r="B729" i="17"/>
  <c r="B730" i="17"/>
  <c r="B731" i="17"/>
  <c r="B732" i="17"/>
  <c r="B733" i="17"/>
  <c r="B734" i="17"/>
  <c r="B735" i="17"/>
  <c r="B736" i="17"/>
  <c r="B737" i="17"/>
  <c r="B738" i="17"/>
  <c r="B739" i="17"/>
  <c r="B740" i="17"/>
  <c r="B741" i="17"/>
  <c r="B742" i="17"/>
  <c r="B743" i="17"/>
  <c r="B744" i="17"/>
  <c r="B745" i="17"/>
  <c r="B746" i="17"/>
  <c r="B747" i="17"/>
  <c r="B748" i="17"/>
  <c r="B749" i="17"/>
  <c r="B750" i="17"/>
  <c r="B751" i="17"/>
  <c r="B752" i="17"/>
  <c r="B753" i="17"/>
  <c r="B754" i="17"/>
  <c r="B755" i="17"/>
  <c r="B756" i="17"/>
  <c r="B757" i="17"/>
  <c r="B758" i="17"/>
  <c r="B759" i="17"/>
  <c r="B760" i="17"/>
  <c r="B761" i="17"/>
  <c r="B762" i="17"/>
  <c r="B763" i="17"/>
  <c r="B764" i="17"/>
  <c r="B765" i="17"/>
  <c r="B766" i="17"/>
  <c r="B767" i="17"/>
  <c r="B768" i="17"/>
  <c r="B769" i="17"/>
  <c r="B770" i="17"/>
  <c r="B771" i="17"/>
  <c r="B772" i="17"/>
  <c r="B773" i="17"/>
  <c r="B774" i="17"/>
  <c r="B775" i="17"/>
  <c r="B776" i="17"/>
  <c r="B777" i="17"/>
  <c r="B778" i="17"/>
  <c r="B779" i="17"/>
  <c r="B780" i="17"/>
  <c r="B781" i="17"/>
  <c r="B782" i="17"/>
  <c r="B783" i="17"/>
  <c r="B784" i="17"/>
  <c r="B785" i="17"/>
  <c r="B786" i="17"/>
  <c r="B787" i="17"/>
  <c r="B788" i="17"/>
  <c r="B789" i="17"/>
  <c r="B790" i="17"/>
  <c r="B791" i="17"/>
  <c r="B792" i="17"/>
  <c r="B793" i="17"/>
  <c r="B794" i="17"/>
  <c r="B795" i="17"/>
  <c r="B796" i="17"/>
  <c r="B797" i="17"/>
  <c r="B798" i="17"/>
  <c r="B799" i="17"/>
  <c r="B800" i="17"/>
  <c r="B801" i="17"/>
  <c r="B802" i="17"/>
  <c r="B803" i="17"/>
  <c r="B804" i="17"/>
  <c r="B805" i="17"/>
  <c r="B806" i="17"/>
  <c r="B807" i="17"/>
  <c r="B808" i="17"/>
  <c r="B809" i="17"/>
  <c r="B810" i="17"/>
  <c r="B811" i="17"/>
  <c r="B812" i="17"/>
  <c r="B813" i="17"/>
  <c r="B814" i="17"/>
  <c r="B815" i="17"/>
  <c r="B816" i="17"/>
  <c r="B817" i="17"/>
  <c r="B818" i="17"/>
  <c r="B819" i="17"/>
  <c r="B820" i="17"/>
  <c r="B821" i="17"/>
  <c r="B822" i="17"/>
  <c r="B823" i="17"/>
  <c r="B824" i="17"/>
  <c r="B825" i="17"/>
  <c r="B826" i="17"/>
  <c r="B827" i="17"/>
  <c r="B828" i="17"/>
  <c r="B829" i="17"/>
  <c r="B830" i="17"/>
  <c r="B831" i="17"/>
  <c r="B832" i="17"/>
  <c r="B833" i="17"/>
  <c r="B834" i="17"/>
  <c r="B835" i="17"/>
  <c r="B836" i="17"/>
  <c r="B837" i="17"/>
  <c r="B838" i="17"/>
  <c r="B839" i="17"/>
  <c r="B840" i="17"/>
  <c r="B841" i="17"/>
  <c r="B842" i="17"/>
  <c r="B843" i="17"/>
  <c r="B844" i="17"/>
  <c r="B845" i="17"/>
  <c r="B846" i="17"/>
  <c r="B847" i="17"/>
  <c r="B848" i="17"/>
  <c r="B849" i="17"/>
  <c r="B850" i="17"/>
  <c r="B851" i="17"/>
  <c r="B852" i="17"/>
  <c r="B853" i="17"/>
  <c r="B854" i="17"/>
  <c r="B855" i="17"/>
  <c r="B856" i="17"/>
  <c r="B857" i="17"/>
  <c r="B858" i="17"/>
  <c r="B859" i="17"/>
  <c r="B860" i="17"/>
  <c r="B861" i="17"/>
  <c r="B862" i="17"/>
  <c r="B863" i="17"/>
  <c r="B864" i="17"/>
  <c r="B865" i="17"/>
  <c r="B866" i="17"/>
  <c r="B867" i="17"/>
  <c r="B868" i="17"/>
  <c r="B869" i="17"/>
  <c r="B870" i="17"/>
  <c r="B871" i="17"/>
  <c r="B872" i="17"/>
  <c r="B873" i="17"/>
  <c r="B874" i="17"/>
  <c r="B875" i="17"/>
  <c r="B876" i="17"/>
  <c r="B877" i="17"/>
  <c r="B878" i="17"/>
  <c r="B879" i="17"/>
  <c r="B880" i="17"/>
  <c r="B881" i="17"/>
  <c r="B882" i="17"/>
  <c r="B883" i="17"/>
  <c r="B884" i="17"/>
  <c r="B885" i="17"/>
  <c r="B886" i="17"/>
  <c r="B887" i="17"/>
  <c r="B888" i="17"/>
  <c r="B889" i="17"/>
  <c r="B890" i="17"/>
  <c r="B891" i="17"/>
  <c r="B892" i="17"/>
  <c r="B893" i="17"/>
  <c r="B894" i="17"/>
  <c r="B895" i="17"/>
  <c r="B896" i="17"/>
  <c r="B897" i="17"/>
  <c r="B898" i="17"/>
  <c r="B899" i="17"/>
  <c r="B900" i="17"/>
  <c r="B901" i="17"/>
  <c r="B902" i="17"/>
  <c r="B903" i="17"/>
  <c r="B904" i="17"/>
  <c r="B905" i="17"/>
  <c r="B906" i="17"/>
  <c r="B907" i="17"/>
  <c r="B908" i="17"/>
  <c r="B909" i="17"/>
  <c r="B910" i="17"/>
  <c r="B911" i="17"/>
  <c r="B912" i="17"/>
  <c r="B913" i="17"/>
  <c r="B914" i="17"/>
  <c r="B915" i="17"/>
  <c r="B916" i="17"/>
  <c r="B917" i="17"/>
  <c r="B918" i="17"/>
  <c r="B919" i="17"/>
  <c r="B920" i="17"/>
  <c r="B921" i="17"/>
  <c r="B922" i="17"/>
  <c r="B923" i="17"/>
  <c r="B924" i="17"/>
  <c r="B925" i="17"/>
  <c r="B926" i="17"/>
  <c r="B927" i="17"/>
  <c r="B928" i="17"/>
  <c r="B929" i="17"/>
  <c r="B930" i="17"/>
  <c r="B931" i="17"/>
  <c r="B932" i="17"/>
  <c r="B933" i="17"/>
  <c r="B934" i="17"/>
  <c r="B935" i="17"/>
  <c r="B936" i="17"/>
  <c r="B937" i="17"/>
  <c r="B938" i="17"/>
  <c r="B939" i="17"/>
  <c r="B940" i="17"/>
  <c r="B941" i="17"/>
  <c r="B942" i="17"/>
  <c r="B943" i="17"/>
  <c r="B944" i="17"/>
  <c r="B945" i="17"/>
  <c r="B946" i="17"/>
  <c r="B947" i="17"/>
  <c r="B948" i="17"/>
  <c r="B949" i="17"/>
  <c r="B950" i="17"/>
  <c r="B951" i="17"/>
  <c r="B952" i="17"/>
  <c r="B953" i="17"/>
  <c r="B954" i="17"/>
  <c r="B955" i="17"/>
  <c r="B956" i="17"/>
  <c r="B957" i="17"/>
  <c r="B958" i="17"/>
  <c r="B959" i="17"/>
  <c r="B960" i="17"/>
  <c r="B961" i="17"/>
  <c r="B962" i="17"/>
  <c r="B963" i="17"/>
  <c r="B964" i="17"/>
  <c r="B965" i="17"/>
  <c r="B966" i="17"/>
  <c r="B967" i="17"/>
  <c r="B968" i="17"/>
  <c r="B969" i="17"/>
  <c r="B970" i="17"/>
  <c r="B971" i="17"/>
  <c r="B972" i="17"/>
  <c r="B973" i="17"/>
  <c r="B974" i="17"/>
  <c r="B975" i="17"/>
  <c r="B976" i="17"/>
  <c r="B977" i="17"/>
  <c r="B978" i="17"/>
  <c r="B979" i="17"/>
  <c r="B980" i="17"/>
  <c r="B981" i="17"/>
  <c r="B982" i="17"/>
  <c r="B983" i="17"/>
  <c r="B984" i="17"/>
  <c r="B985" i="17"/>
  <c r="B986" i="17"/>
  <c r="B987" i="17"/>
  <c r="B988" i="17"/>
  <c r="B989" i="17"/>
  <c r="B990" i="17"/>
  <c r="B991" i="17"/>
  <c r="B992" i="17"/>
  <c r="B993" i="17"/>
  <c r="B994" i="17"/>
  <c r="B995" i="17"/>
  <c r="B996" i="17"/>
  <c r="B997" i="17"/>
  <c r="B998" i="17"/>
  <c r="B999" i="17"/>
  <c r="B1000" i="17"/>
  <c r="B1001" i="17"/>
  <c r="B1002" i="17"/>
  <c r="B1003" i="17"/>
  <c r="B1004" i="17"/>
  <c r="B1005" i="17"/>
  <c r="B1006" i="17"/>
  <c r="B1007" i="17"/>
  <c r="B1008" i="17"/>
  <c r="B1009" i="17"/>
  <c r="B1010" i="17"/>
  <c r="B1011" i="17"/>
  <c r="B1012" i="17"/>
  <c r="B1013" i="17"/>
  <c r="B1014" i="17"/>
  <c r="B1015" i="17"/>
  <c r="B1016" i="17"/>
  <c r="B1017" i="17"/>
  <c r="B1018" i="17"/>
  <c r="B1019" i="17"/>
  <c r="B1020" i="17"/>
  <c r="B1021" i="17"/>
  <c r="B1022" i="17"/>
  <c r="B1023" i="17"/>
  <c r="B1024" i="17"/>
  <c r="B1025" i="17"/>
  <c r="B1026" i="17"/>
  <c r="B1027" i="17"/>
  <c r="B1028" i="17"/>
  <c r="B1029" i="17"/>
  <c r="B1030" i="17"/>
  <c r="B1031" i="17"/>
  <c r="B8" i="17"/>
  <c r="A1025" i="17"/>
  <c r="A1026" i="17"/>
  <c r="A1027" i="17"/>
  <c r="A1028" i="17" s="1"/>
  <c r="A1029" i="17" s="1"/>
  <c r="A1030" i="17" s="1"/>
  <c r="A1031" i="17" s="1"/>
  <c r="A10" i="17"/>
  <c r="A11" i="17"/>
  <c r="A12" i="17" s="1"/>
  <c r="A13" i="17" s="1"/>
  <c r="A14" i="17" s="1"/>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36" i="17" s="1"/>
  <c r="A37" i="17" s="1"/>
  <c r="A38" i="17" s="1"/>
  <c r="A39" i="17" s="1"/>
  <c r="A40" i="17" s="1"/>
  <c r="A41" i="17" s="1"/>
  <c r="A42" i="17" s="1"/>
  <c r="A43" i="17" s="1"/>
  <c r="A44" i="17" s="1"/>
  <c r="A45" i="17" s="1"/>
  <c r="A46" i="17" s="1"/>
  <c r="A47" i="17" s="1"/>
  <c r="A48" i="17" s="1"/>
  <c r="A49" i="17" s="1"/>
  <c r="A50" i="17" s="1"/>
  <c r="A51" i="17" s="1"/>
  <c r="A52" i="17" s="1"/>
  <c r="A53" i="17" s="1"/>
  <c r="A54" i="17" s="1"/>
  <c r="A55" i="17" s="1"/>
  <c r="A56" i="17" s="1"/>
  <c r="A57" i="17" s="1"/>
  <c r="A58" i="17" s="1"/>
  <c r="A59" i="17" s="1"/>
  <c r="A60" i="17" s="1"/>
  <c r="A61" i="17" s="1"/>
  <c r="A62" i="17" s="1"/>
  <c r="A63" i="17" s="1"/>
  <c r="A64" i="17" s="1"/>
  <c r="A65" i="17" s="1"/>
  <c r="A66" i="17" s="1"/>
  <c r="A67" i="17" s="1"/>
  <c r="A68" i="17" s="1"/>
  <c r="A69" i="17" s="1"/>
  <c r="A70" i="17" s="1"/>
  <c r="A71" i="17" s="1"/>
  <c r="A72" i="17" s="1"/>
  <c r="A73" i="17" s="1"/>
  <c r="A74" i="17" s="1"/>
  <c r="A75" i="17" s="1"/>
  <c r="A76" i="17" s="1"/>
  <c r="A77" i="17" s="1"/>
  <c r="A78" i="17" s="1"/>
  <c r="A79" i="17" s="1"/>
  <c r="A80" i="17" s="1"/>
  <c r="A81" i="17" s="1"/>
  <c r="A82" i="17" s="1"/>
  <c r="A83" i="17" s="1"/>
  <c r="A84" i="17" s="1"/>
  <c r="A85" i="17" s="1"/>
  <c r="A86" i="17" s="1"/>
  <c r="A87" i="17" s="1"/>
  <c r="A88" i="17" s="1"/>
  <c r="A89" i="17" s="1"/>
  <c r="A90" i="17" s="1"/>
  <c r="A91" i="17" s="1"/>
  <c r="A92" i="17" s="1"/>
  <c r="A93" i="17" s="1"/>
  <c r="A94" i="17" s="1"/>
  <c r="A95" i="17" s="1"/>
  <c r="A96" i="17" s="1"/>
  <c r="A97" i="17" s="1"/>
  <c r="A98" i="17" s="1"/>
  <c r="A99" i="17" s="1"/>
  <c r="A100" i="17" s="1"/>
  <c r="A101" i="17" s="1"/>
  <c r="A102" i="17" s="1"/>
  <c r="A103" i="17" s="1"/>
  <c r="A104" i="17" s="1"/>
  <c r="A105" i="17" s="1"/>
  <c r="A106" i="17" s="1"/>
  <c r="A107" i="17" s="1"/>
  <c r="A108" i="17" s="1"/>
  <c r="A109" i="17" s="1"/>
  <c r="A110" i="17" s="1"/>
  <c r="A111" i="17" s="1"/>
  <c r="A112" i="17" s="1"/>
  <c r="A113" i="17" s="1"/>
  <c r="A114" i="17" s="1"/>
  <c r="A115" i="17" s="1"/>
  <c r="A116" i="17" s="1"/>
  <c r="A117" i="17" s="1"/>
  <c r="A118" i="17" s="1"/>
  <c r="A119" i="17" s="1"/>
  <c r="A120" i="17" s="1"/>
  <c r="A121" i="17" s="1"/>
  <c r="A122" i="17" s="1"/>
  <c r="A123" i="17" s="1"/>
  <c r="A124" i="17" s="1"/>
  <c r="A125" i="17" s="1"/>
  <c r="A126" i="17" s="1"/>
  <c r="A127" i="17" s="1"/>
  <c r="A128" i="17" s="1"/>
  <c r="A129" i="17" s="1"/>
  <c r="A130" i="17" s="1"/>
  <c r="A131" i="17" s="1"/>
  <c r="A132" i="17" s="1"/>
  <c r="A133" i="17" s="1"/>
  <c r="A134" i="17" s="1"/>
  <c r="A135" i="17" s="1"/>
  <c r="A136" i="17" s="1"/>
  <c r="A137" i="17" s="1"/>
  <c r="A138" i="17" s="1"/>
  <c r="A139" i="17" s="1"/>
  <c r="A140" i="17" s="1"/>
  <c r="A141" i="17" s="1"/>
  <c r="A142" i="17" s="1"/>
  <c r="A143" i="17" s="1"/>
  <c r="A144" i="17" s="1"/>
  <c r="A145" i="17" s="1"/>
  <c r="A146" i="17" s="1"/>
  <c r="A147" i="17" s="1"/>
  <c r="A148" i="17" s="1"/>
  <c r="A149" i="17" s="1"/>
  <c r="A150" i="17" s="1"/>
  <c r="A151" i="17" s="1"/>
  <c r="A152" i="17" s="1"/>
  <c r="A153" i="17" s="1"/>
  <c r="A154" i="17" s="1"/>
  <c r="A155" i="17" s="1"/>
  <c r="A156" i="17" s="1"/>
  <c r="A157" i="17" s="1"/>
  <c r="A158" i="17" s="1"/>
  <c r="A159" i="17" s="1"/>
  <c r="A160" i="17" s="1"/>
  <c r="A161" i="17" s="1"/>
  <c r="A162" i="17" s="1"/>
  <c r="A163" i="17" s="1"/>
  <c r="A164" i="17" s="1"/>
  <c r="A165" i="17" s="1"/>
  <c r="A166" i="17" s="1"/>
  <c r="A167" i="17" s="1"/>
  <c r="A168" i="17" s="1"/>
  <c r="A169" i="17" s="1"/>
  <c r="A170" i="17" s="1"/>
  <c r="A171" i="17" s="1"/>
  <c r="A172" i="17" s="1"/>
  <c r="A173" i="17" s="1"/>
  <c r="A174" i="17" s="1"/>
  <c r="A175" i="17" s="1"/>
  <c r="A176" i="17" s="1"/>
  <c r="A177" i="17" s="1"/>
  <c r="A178" i="17" s="1"/>
  <c r="A179" i="17" s="1"/>
  <c r="A180" i="17" s="1"/>
  <c r="A181" i="17" s="1"/>
  <c r="A182" i="17" s="1"/>
  <c r="A183" i="17" s="1"/>
  <c r="A184" i="17" s="1"/>
  <c r="A185" i="17" s="1"/>
  <c r="A186" i="17" s="1"/>
  <c r="A187" i="17" s="1"/>
  <c r="A188" i="17" s="1"/>
  <c r="A189" i="17" s="1"/>
  <c r="A190" i="17" s="1"/>
  <c r="A191" i="17" s="1"/>
  <c r="A192" i="17" s="1"/>
  <c r="A193" i="17" s="1"/>
  <c r="A194" i="17" s="1"/>
  <c r="A195" i="17" s="1"/>
  <c r="A196" i="17" s="1"/>
  <c r="A197" i="17" s="1"/>
  <c r="A198" i="17" s="1"/>
  <c r="A199" i="17" s="1"/>
  <c r="A200" i="17" s="1"/>
  <c r="A201" i="17" s="1"/>
  <c r="A202" i="17" s="1"/>
  <c r="A203" i="17" s="1"/>
  <c r="A204" i="17" s="1"/>
  <c r="A205" i="17" s="1"/>
  <c r="A206" i="17" s="1"/>
  <c r="A207" i="17" s="1"/>
  <c r="A208" i="17" s="1"/>
  <c r="A209" i="17" s="1"/>
  <c r="A210" i="17" s="1"/>
  <c r="A211" i="17" s="1"/>
  <c r="A212" i="17" s="1"/>
  <c r="A213" i="17" s="1"/>
  <c r="A214" i="17" s="1"/>
  <c r="A215" i="17" s="1"/>
  <c r="A216" i="17" s="1"/>
  <c r="A217" i="17" s="1"/>
  <c r="A218" i="17" s="1"/>
  <c r="A219" i="17" s="1"/>
  <c r="A220" i="17" s="1"/>
  <c r="A221" i="17" s="1"/>
  <c r="A222" i="17" s="1"/>
  <c r="A223" i="17" s="1"/>
  <c r="A224" i="17" s="1"/>
  <c r="A225" i="17" s="1"/>
  <c r="A226" i="17" s="1"/>
  <c r="A227" i="17" s="1"/>
  <c r="A228" i="17" s="1"/>
  <c r="A229" i="17" s="1"/>
  <c r="A230" i="17" s="1"/>
  <c r="A231" i="17" s="1"/>
  <c r="A232" i="17" s="1"/>
  <c r="A233" i="17" s="1"/>
  <c r="A234" i="17" s="1"/>
  <c r="A235" i="17" s="1"/>
  <c r="A236" i="17" s="1"/>
  <c r="A237" i="17" s="1"/>
  <c r="A238" i="17" s="1"/>
  <c r="A239" i="17" s="1"/>
  <c r="A240" i="17" s="1"/>
  <c r="A241" i="17" s="1"/>
  <c r="A242" i="17" s="1"/>
  <c r="A243" i="17" s="1"/>
  <c r="A244" i="17" s="1"/>
  <c r="A245" i="17" s="1"/>
  <c r="A246" i="17" s="1"/>
  <c r="A247" i="17" s="1"/>
  <c r="A248" i="17" s="1"/>
  <c r="A249" i="17" s="1"/>
  <c r="A250" i="17" s="1"/>
  <c r="A251" i="17" s="1"/>
  <c r="A252" i="17" s="1"/>
  <c r="A253" i="17" s="1"/>
  <c r="A254" i="17" s="1"/>
  <c r="A255" i="17" s="1"/>
  <c r="A256" i="17" s="1"/>
  <c r="A257" i="17" s="1"/>
  <c r="A258" i="17" s="1"/>
  <c r="A259" i="17" s="1"/>
  <c r="A260" i="17" s="1"/>
  <c r="A261" i="17" s="1"/>
  <c r="A262" i="17" s="1"/>
  <c r="A263" i="17" s="1"/>
  <c r="A264" i="17" s="1"/>
  <c r="A265" i="17" s="1"/>
  <c r="A266" i="17" s="1"/>
  <c r="A267" i="17" s="1"/>
  <c r="A268" i="17" s="1"/>
  <c r="A269" i="17" s="1"/>
  <c r="A270" i="17" s="1"/>
  <c r="A271" i="17" s="1"/>
  <c r="A272" i="17" s="1"/>
  <c r="A273" i="17" s="1"/>
  <c r="A274" i="17" s="1"/>
  <c r="A275" i="17" s="1"/>
  <c r="A276" i="17" s="1"/>
  <c r="A277" i="17" s="1"/>
  <c r="A278" i="17" s="1"/>
  <c r="A279" i="17" s="1"/>
  <c r="A280" i="17" s="1"/>
  <c r="A281" i="17" s="1"/>
  <c r="A282" i="17" s="1"/>
  <c r="A283" i="17" s="1"/>
  <c r="A284" i="17" s="1"/>
  <c r="A285" i="17" s="1"/>
  <c r="A286" i="17" s="1"/>
  <c r="A287" i="17" s="1"/>
  <c r="A288" i="17" s="1"/>
  <c r="A289" i="17" s="1"/>
  <c r="A290" i="17" s="1"/>
  <c r="A291" i="17" s="1"/>
  <c r="A292" i="17" s="1"/>
  <c r="A293" i="17" s="1"/>
  <c r="A294" i="17" s="1"/>
  <c r="A295" i="17" s="1"/>
  <c r="A296" i="17" s="1"/>
  <c r="A297" i="17" s="1"/>
  <c r="A298" i="17" s="1"/>
  <c r="A299" i="17" s="1"/>
  <c r="A300" i="17" s="1"/>
  <c r="A301" i="17" s="1"/>
  <c r="A302" i="17" s="1"/>
  <c r="A303" i="17" s="1"/>
  <c r="A304" i="17" s="1"/>
  <c r="A305" i="17" s="1"/>
  <c r="A306" i="17" s="1"/>
  <c r="A307" i="17" s="1"/>
  <c r="A308" i="17" s="1"/>
  <c r="A309" i="17" s="1"/>
  <c r="A310" i="17" s="1"/>
  <c r="A311" i="17" s="1"/>
  <c r="A312" i="17" s="1"/>
  <c r="A313" i="17" s="1"/>
  <c r="A314" i="17" s="1"/>
  <c r="A315" i="17" s="1"/>
  <c r="A316" i="17" s="1"/>
  <c r="A317" i="17" s="1"/>
  <c r="A318" i="17" s="1"/>
  <c r="A319" i="17" s="1"/>
  <c r="A320" i="17" s="1"/>
  <c r="A321" i="17" s="1"/>
  <c r="A322" i="17" s="1"/>
  <c r="A323" i="17" s="1"/>
  <c r="A324" i="17" s="1"/>
  <c r="A325" i="17" s="1"/>
  <c r="A326" i="17" s="1"/>
  <c r="A327" i="17" s="1"/>
  <c r="A328" i="17" s="1"/>
  <c r="A329" i="17" s="1"/>
  <c r="A330" i="17" s="1"/>
  <c r="A331" i="17" s="1"/>
  <c r="A332" i="17" s="1"/>
  <c r="A333" i="17" s="1"/>
  <c r="A334" i="17" s="1"/>
  <c r="A335" i="17" s="1"/>
  <c r="A336" i="17" s="1"/>
  <c r="A337" i="17" s="1"/>
  <c r="A338" i="17" s="1"/>
  <c r="A339" i="17" s="1"/>
  <c r="A340" i="17" s="1"/>
  <c r="A341" i="17" s="1"/>
  <c r="A342" i="17" s="1"/>
  <c r="A343" i="17" s="1"/>
  <c r="A344" i="17" s="1"/>
  <c r="A345" i="17" s="1"/>
  <c r="A346" i="17" s="1"/>
  <c r="A347" i="17" s="1"/>
  <c r="A348" i="17" s="1"/>
  <c r="A349" i="17" s="1"/>
  <c r="A350" i="17" s="1"/>
  <c r="A351" i="17" s="1"/>
  <c r="A352" i="17" s="1"/>
  <c r="A353" i="17" s="1"/>
  <c r="A354" i="17" s="1"/>
  <c r="A355" i="17" s="1"/>
  <c r="A356" i="17" s="1"/>
  <c r="A357" i="17" s="1"/>
  <c r="A358" i="17" s="1"/>
  <c r="A359" i="17" s="1"/>
  <c r="A360" i="17" s="1"/>
  <c r="A361" i="17" s="1"/>
  <c r="A362" i="17" s="1"/>
  <c r="A363" i="17" s="1"/>
  <c r="A364" i="17" s="1"/>
  <c r="A365" i="17" s="1"/>
  <c r="A366" i="17" s="1"/>
  <c r="A367" i="17" s="1"/>
  <c r="A368" i="17" s="1"/>
  <c r="A369" i="17" s="1"/>
  <c r="A370" i="17" s="1"/>
  <c r="A371" i="17" s="1"/>
  <c r="A372" i="17" s="1"/>
  <c r="A373" i="17" s="1"/>
  <c r="A374" i="17" s="1"/>
  <c r="A375" i="17" s="1"/>
  <c r="A376" i="17" s="1"/>
  <c r="A377" i="17" s="1"/>
  <c r="A378" i="17" s="1"/>
  <c r="A379" i="17" s="1"/>
  <c r="A380" i="17" s="1"/>
  <c r="A381" i="17" s="1"/>
  <c r="A382" i="17" s="1"/>
  <c r="A383" i="17" s="1"/>
  <c r="A384" i="17" s="1"/>
  <c r="A385" i="17" s="1"/>
  <c r="A386" i="17" s="1"/>
  <c r="A387" i="17" s="1"/>
  <c r="A388" i="17" s="1"/>
  <c r="A389" i="17" s="1"/>
  <c r="A390" i="17" s="1"/>
  <c r="A391" i="17" s="1"/>
  <c r="A392" i="17" s="1"/>
  <c r="A393" i="17" s="1"/>
  <c r="A394" i="17" s="1"/>
  <c r="A395" i="17" s="1"/>
  <c r="A396" i="17" s="1"/>
  <c r="A397" i="17" s="1"/>
  <c r="A398" i="17" s="1"/>
  <c r="A399" i="17" s="1"/>
  <c r="A400" i="17" s="1"/>
  <c r="A401" i="17" s="1"/>
  <c r="A402" i="17" s="1"/>
  <c r="A403" i="17" s="1"/>
  <c r="A404" i="17" s="1"/>
  <c r="A405" i="17" s="1"/>
  <c r="A406" i="17" s="1"/>
  <c r="A407" i="17" s="1"/>
  <c r="A408" i="17" s="1"/>
  <c r="A409" i="17" s="1"/>
  <c r="A410" i="17" s="1"/>
  <c r="A411" i="17" s="1"/>
  <c r="A412" i="17" s="1"/>
  <c r="A413" i="17" s="1"/>
  <c r="A414" i="17" s="1"/>
  <c r="A415" i="17" s="1"/>
  <c r="A416" i="17" s="1"/>
  <c r="A417" i="17" s="1"/>
  <c r="A418" i="17" s="1"/>
  <c r="A419" i="17" s="1"/>
  <c r="A420" i="17" s="1"/>
  <c r="A421" i="17" s="1"/>
  <c r="A422" i="17" s="1"/>
  <c r="A423" i="17" s="1"/>
  <c r="A424" i="17" s="1"/>
  <c r="A425" i="17" s="1"/>
  <c r="A426" i="17" s="1"/>
  <c r="A427" i="17" s="1"/>
  <c r="A428" i="17" s="1"/>
  <c r="A429" i="17" s="1"/>
  <c r="A430" i="17" s="1"/>
  <c r="A431" i="17" s="1"/>
  <c r="A432" i="17" s="1"/>
  <c r="A433" i="17" s="1"/>
  <c r="A434" i="17" s="1"/>
  <c r="A435" i="17" s="1"/>
  <c r="A436" i="17" s="1"/>
  <c r="A437" i="17" s="1"/>
  <c r="A438" i="17" s="1"/>
  <c r="A439" i="17" s="1"/>
  <c r="A440" i="17" s="1"/>
  <c r="A441" i="17" s="1"/>
  <c r="A442" i="17" s="1"/>
  <c r="A443" i="17" s="1"/>
  <c r="A444" i="17" s="1"/>
  <c r="A445" i="17" s="1"/>
  <c r="A446" i="17" s="1"/>
  <c r="A447" i="17" s="1"/>
  <c r="A448" i="17" s="1"/>
  <c r="A449" i="17" s="1"/>
  <c r="A450" i="17" s="1"/>
  <c r="A451" i="17" s="1"/>
  <c r="A452" i="17" s="1"/>
  <c r="A453" i="17" s="1"/>
  <c r="A454" i="17" s="1"/>
  <c r="A455" i="17" s="1"/>
  <c r="A456" i="17" s="1"/>
  <c r="A457" i="17" s="1"/>
  <c r="A458" i="17" s="1"/>
  <c r="A459" i="17" s="1"/>
  <c r="A460" i="17" s="1"/>
  <c r="A461" i="17" s="1"/>
  <c r="A462" i="17" s="1"/>
  <c r="A463" i="17" s="1"/>
  <c r="A464" i="17" s="1"/>
  <c r="A465" i="17" s="1"/>
  <c r="A466" i="17" s="1"/>
  <c r="A467" i="17" s="1"/>
  <c r="A468" i="17" s="1"/>
  <c r="A469" i="17" s="1"/>
  <c r="A470" i="17" s="1"/>
  <c r="A471" i="17" s="1"/>
  <c r="A472" i="17" s="1"/>
  <c r="A473" i="17" s="1"/>
  <c r="A474" i="17" s="1"/>
  <c r="A475" i="17" s="1"/>
  <c r="A476" i="17" s="1"/>
  <c r="A477" i="17" s="1"/>
  <c r="A478" i="17" s="1"/>
  <c r="A479" i="17" s="1"/>
  <c r="A480" i="17" s="1"/>
  <c r="A481" i="17" s="1"/>
  <c r="A482" i="17" s="1"/>
  <c r="A483" i="17" s="1"/>
  <c r="A484" i="17" s="1"/>
  <c r="A485" i="17" s="1"/>
  <c r="A486" i="17" s="1"/>
  <c r="A487" i="17" s="1"/>
  <c r="A488" i="17" s="1"/>
  <c r="A489" i="17" s="1"/>
  <c r="A490" i="17" s="1"/>
  <c r="A491" i="17" s="1"/>
  <c r="A492" i="17" s="1"/>
  <c r="A493" i="17" s="1"/>
  <c r="A494" i="17" s="1"/>
  <c r="A495" i="17" s="1"/>
  <c r="A496" i="17" s="1"/>
  <c r="A497" i="17" s="1"/>
  <c r="A498" i="17" s="1"/>
  <c r="A499" i="17" s="1"/>
  <c r="A500" i="17" s="1"/>
  <c r="A501" i="17" s="1"/>
  <c r="A502" i="17" s="1"/>
  <c r="A503" i="17" s="1"/>
  <c r="A504" i="17" s="1"/>
  <c r="A505" i="17" s="1"/>
  <c r="A506" i="17" s="1"/>
  <c r="A507" i="17" s="1"/>
  <c r="A508" i="17" s="1"/>
  <c r="A509" i="17" s="1"/>
  <c r="A510" i="17" s="1"/>
  <c r="A511" i="17" s="1"/>
  <c r="A512" i="17" s="1"/>
  <c r="A513" i="17" s="1"/>
  <c r="A514" i="17" s="1"/>
  <c r="A515" i="17" s="1"/>
  <c r="A516" i="17" s="1"/>
  <c r="A517" i="17" s="1"/>
  <c r="A518" i="17" s="1"/>
  <c r="A519" i="17" s="1"/>
  <c r="A520" i="17" s="1"/>
  <c r="A521" i="17" s="1"/>
  <c r="A522" i="17" s="1"/>
  <c r="A523" i="17" s="1"/>
  <c r="A524" i="17" s="1"/>
  <c r="A525" i="17" s="1"/>
  <c r="A526" i="17" s="1"/>
  <c r="A527" i="17" s="1"/>
  <c r="A528" i="17" s="1"/>
  <c r="A529" i="17" s="1"/>
  <c r="A530" i="17" s="1"/>
  <c r="A531" i="17" s="1"/>
  <c r="A532" i="17" s="1"/>
  <c r="A533" i="17" s="1"/>
  <c r="A534" i="17" s="1"/>
  <c r="A535" i="17" s="1"/>
  <c r="A536" i="17" s="1"/>
  <c r="A537" i="17" s="1"/>
  <c r="A538" i="17" s="1"/>
  <c r="A539" i="17" s="1"/>
  <c r="A540" i="17" s="1"/>
  <c r="A541" i="17" s="1"/>
  <c r="A542" i="17" s="1"/>
  <c r="A543" i="17" s="1"/>
  <c r="A544" i="17" s="1"/>
  <c r="A545" i="17" s="1"/>
  <c r="A546" i="17" s="1"/>
  <c r="A547" i="17" s="1"/>
  <c r="A548" i="17" s="1"/>
  <c r="A549" i="17" s="1"/>
  <c r="A550" i="17" s="1"/>
  <c r="A551" i="17" s="1"/>
  <c r="A552" i="17" s="1"/>
  <c r="A553" i="17" s="1"/>
  <c r="A554" i="17" s="1"/>
  <c r="A555" i="17" s="1"/>
  <c r="A556" i="17" s="1"/>
  <c r="A557" i="17" s="1"/>
  <c r="A558" i="17" s="1"/>
  <c r="A559" i="17" s="1"/>
  <c r="A560" i="17" s="1"/>
  <c r="A561" i="17" s="1"/>
  <c r="A562" i="17" s="1"/>
  <c r="A563" i="17" s="1"/>
  <c r="A564" i="17" s="1"/>
  <c r="A565" i="17" s="1"/>
  <c r="A566" i="17" s="1"/>
  <c r="A567" i="17" s="1"/>
  <c r="A568" i="17" s="1"/>
  <c r="A569" i="17" s="1"/>
  <c r="A570" i="17" s="1"/>
  <c r="A571" i="17" s="1"/>
  <c r="A572" i="17" s="1"/>
  <c r="A573" i="17" s="1"/>
  <c r="A574" i="17" s="1"/>
  <c r="A575" i="17" s="1"/>
  <c r="A576" i="17" s="1"/>
  <c r="A577" i="17" s="1"/>
  <c r="A578" i="17" s="1"/>
  <c r="A579" i="17" s="1"/>
  <c r="A580" i="17" s="1"/>
  <c r="A581" i="17" s="1"/>
  <c r="A582" i="17" s="1"/>
  <c r="A583" i="17" s="1"/>
  <c r="A584" i="17" s="1"/>
  <c r="A585" i="17" s="1"/>
  <c r="A586" i="17" s="1"/>
  <c r="A587" i="17" s="1"/>
  <c r="A588" i="17" s="1"/>
  <c r="A589" i="17" s="1"/>
  <c r="A590" i="17" s="1"/>
  <c r="A591" i="17" s="1"/>
  <c r="A592" i="17" s="1"/>
  <c r="A593" i="17" s="1"/>
  <c r="A594" i="17" s="1"/>
  <c r="A595" i="17" s="1"/>
  <c r="A596" i="17" s="1"/>
  <c r="A597" i="17" s="1"/>
  <c r="A598" i="17" s="1"/>
  <c r="A599" i="17" s="1"/>
  <c r="A600" i="17" s="1"/>
  <c r="A601" i="17" s="1"/>
  <c r="A602" i="17" s="1"/>
  <c r="A603" i="17" s="1"/>
  <c r="A604" i="17" s="1"/>
  <c r="A605" i="17" s="1"/>
  <c r="A606" i="17" s="1"/>
  <c r="A607" i="17" s="1"/>
  <c r="A608" i="17" s="1"/>
  <c r="A609" i="17" s="1"/>
  <c r="A610" i="17" s="1"/>
  <c r="A611" i="17" s="1"/>
  <c r="A612" i="17" s="1"/>
  <c r="A613" i="17" s="1"/>
  <c r="A614" i="17" s="1"/>
  <c r="A615" i="17" s="1"/>
  <c r="A616" i="17" s="1"/>
  <c r="A617" i="17" s="1"/>
  <c r="A618" i="17" s="1"/>
  <c r="A619" i="17" s="1"/>
  <c r="A620" i="17" s="1"/>
  <c r="A621" i="17" s="1"/>
  <c r="A622" i="17" s="1"/>
  <c r="A623" i="17" s="1"/>
  <c r="A624" i="17" s="1"/>
  <c r="A625" i="17" s="1"/>
  <c r="A626" i="17" s="1"/>
  <c r="A627" i="17" s="1"/>
  <c r="A628" i="17" s="1"/>
  <c r="A629" i="17" s="1"/>
  <c r="A630" i="17" s="1"/>
  <c r="A631" i="17" s="1"/>
  <c r="A632" i="17" s="1"/>
  <c r="A633" i="17" s="1"/>
  <c r="A634" i="17" s="1"/>
  <c r="A635" i="17" s="1"/>
  <c r="A636" i="17" s="1"/>
  <c r="A637" i="17" s="1"/>
  <c r="A638" i="17" s="1"/>
  <c r="A639" i="17" s="1"/>
  <c r="A640" i="17" s="1"/>
  <c r="A641" i="17" s="1"/>
  <c r="A642" i="17" s="1"/>
  <c r="A643" i="17" s="1"/>
  <c r="A644" i="17" s="1"/>
  <c r="A645" i="17" s="1"/>
  <c r="A646" i="17" s="1"/>
  <c r="A647" i="17" s="1"/>
  <c r="A648" i="17" s="1"/>
  <c r="A649" i="17" s="1"/>
  <c r="A650" i="17" s="1"/>
  <c r="A651" i="17" s="1"/>
  <c r="A652" i="17" s="1"/>
  <c r="A653" i="17" s="1"/>
  <c r="A654" i="17" s="1"/>
  <c r="A655" i="17" s="1"/>
  <c r="A656" i="17" s="1"/>
  <c r="A657" i="17" s="1"/>
  <c r="A658" i="17" s="1"/>
  <c r="A659" i="17" s="1"/>
  <c r="A660" i="17" s="1"/>
  <c r="A661" i="17" s="1"/>
  <c r="A662" i="17" s="1"/>
  <c r="A663" i="17" s="1"/>
  <c r="A664" i="17" s="1"/>
  <c r="A665" i="17" s="1"/>
  <c r="A666" i="17" s="1"/>
  <c r="A667" i="17" s="1"/>
  <c r="A668" i="17" s="1"/>
  <c r="A669" i="17" s="1"/>
  <c r="A670" i="17" s="1"/>
  <c r="A671" i="17" s="1"/>
  <c r="A672" i="17" s="1"/>
  <c r="A673" i="17" s="1"/>
  <c r="A674" i="17" s="1"/>
  <c r="A675" i="17" s="1"/>
  <c r="A676" i="17" s="1"/>
  <c r="A677" i="17" s="1"/>
  <c r="A678" i="17" s="1"/>
  <c r="A679" i="17" s="1"/>
  <c r="A680" i="17" s="1"/>
  <c r="A681" i="17" s="1"/>
  <c r="A682" i="17" s="1"/>
  <c r="A683" i="17" s="1"/>
  <c r="A684" i="17" s="1"/>
  <c r="A685" i="17" s="1"/>
  <c r="A686" i="17" s="1"/>
  <c r="A687" i="17" s="1"/>
  <c r="A688" i="17" s="1"/>
  <c r="A689" i="17" s="1"/>
  <c r="A690" i="17" s="1"/>
  <c r="A691" i="17" s="1"/>
  <c r="A692" i="17" s="1"/>
  <c r="A693" i="17" s="1"/>
  <c r="A694" i="17" s="1"/>
  <c r="A695" i="17" s="1"/>
  <c r="A696" i="17" s="1"/>
  <c r="A697" i="17" s="1"/>
  <c r="A698" i="17" s="1"/>
  <c r="A699" i="17" s="1"/>
  <c r="A700" i="17" s="1"/>
  <c r="A701" i="17" s="1"/>
  <c r="A702" i="17" s="1"/>
  <c r="A703" i="17" s="1"/>
  <c r="A704" i="17" s="1"/>
  <c r="A705" i="17" s="1"/>
  <c r="A706" i="17" s="1"/>
  <c r="A707" i="17" s="1"/>
  <c r="A708" i="17" s="1"/>
  <c r="A709" i="17" s="1"/>
  <c r="A710" i="17" s="1"/>
  <c r="A711" i="17" s="1"/>
  <c r="A712" i="17" s="1"/>
  <c r="A713" i="17" s="1"/>
  <c r="A714" i="17" s="1"/>
  <c r="A715" i="17" s="1"/>
  <c r="A716" i="17" s="1"/>
  <c r="A717" i="17" s="1"/>
  <c r="A718" i="17" s="1"/>
  <c r="A719" i="17" s="1"/>
  <c r="A720" i="17" s="1"/>
  <c r="A721" i="17" s="1"/>
  <c r="A722" i="17" s="1"/>
  <c r="A723" i="17" s="1"/>
  <c r="A724" i="17" s="1"/>
  <c r="A725" i="17" s="1"/>
  <c r="A726" i="17" s="1"/>
  <c r="A727" i="17" s="1"/>
  <c r="A728" i="17" s="1"/>
  <c r="A729" i="17" s="1"/>
  <c r="A730" i="17" s="1"/>
  <c r="A731" i="17" s="1"/>
  <c r="A732" i="17" s="1"/>
  <c r="A733" i="17" s="1"/>
  <c r="A734" i="17" s="1"/>
  <c r="A735" i="17" s="1"/>
  <c r="A736" i="17" s="1"/>
  <c r="A737" i="17" s="1"/>
  <c r="A738" i="17" s="1"/>
  <c r="A739" i="17" s="1"/>
  <c r="A740" i="17" s="1"/>
  <c r="A741" i="17" s="1"/>
  <c r="A742" i="17" s="1"/>
  <c r="A743" i="17" s="1"/>
  <c r="A744" i="17" s="1"/>
  <c r="A745" i="17" s="1"/>
  <c r="A746" i="17" s="1"/>
  <c r="A747" i="17" s="1"/>
  <c r="A748" i="17" s="1"/>
  <c r="A749" i="17" s="1"/>
  <c r="A750" i="17" s="1"/>
  <c r="A751" i="17" s="1"/>
  <c r="A752" i="17" s="1"/>
  <c r="A753" i="17" s="1"/>
  <c r="A754" i="17" s="1"/>
  <c r="A755" i="17" s="1"/>
  <c r="A756" i="17" s="1"/>
  <c r="A757" i="17" s="1"/>
  <c r="A758" i="17" s="1"/>
  <c r="A759" i="17" s="1"/>
  <c r="A760" i="17" s="1"/>
  <c r="A761" i="17" s="1"/>
  <c r="A762" i="17" s="1"/>
  <c r="A763" i="17" s="1"/>
  <c r="A764" i="17" s="1"/>
  <c r="A765" i="17" s="1"/>
  <c r="A766" i="17" s="1"/>
  <c r="A767" i="17" s="1"/>
  <c r="A768" i="17" s="1"/>
  <c r="A769" i="17" s="1"/>
  <c r="A770" i="17" s="1"/>
  <c r="A771" i="17" s="1"/>
  <c r="A772" i="17" s="1"/>
  <c r="A773" i="17" s="1"/>
  <c r="A774" i="17" s="1"/>
  <c r="A775" i="17" s="1"/>
  <c r="A776" i="17" s="1"/>
  <c r="A777" i="17" s="1"/>
  <c r="A778" i="17" s="1"/>
  <c r="A779" i="17" s="1"/>
  <c r="A780" i="17" s="1"/>
  <c r="A781" i="17" s="1"/>
  <c r="A782" i="17" s="1"/>
  <c r="A783" i="17" s="1"/>
  <c r="A784" i="17" s="1"/>
  <c r="A785" i="17" s="1"/>
  <c r="A786" i="17" s="1"/>
  <c r="A787" i="17" s="1"/>
  <c r="A788" i="17" s="1"/>
  <c r="A789" i="17" s="1"/>
  <c r="A790" i="17" s="1"/>
  <c r="A791" i="17" s="1"/>
  <c r="A792" i="17" s="1"/>
  <c r="A793" i="17" s="1"/>
  <c r="A794" i="17" s="1"/>
  <c r="A795" i="17" s="1"/>
  <c r="A796" i="17" s="1"/>
  <c r="A797" i="17" s="1"/>
  <c r="A798" i="17" s="1"/>
  <c r="A799" i="17" s="1"/>
  <c r="A800" i="17" s="1"/>
  <c r="A801" i="17" s="1"/>
  <c r="A802" i="17" s="1"/>
  <c r="A803" i="17" s="1"/>
  <c r="A804" i="17" s="1"/>
  <c r="A805" i="17" s="1"/>
  <c r="A806" i="17" s="1"/>
  <c r="A807" i="17" s="1"/>
  <c r="A808" i="17" s="1"/>
  <c r="A809" i="17" s="1"/>
  <c r="A810" i="17" s="1"/>
  <c r="A811" i="17" s="1"/>
  <c r="A812" i="17" s="1"/>
  <c r="A813" i="17" s="1"/>
  <c r="A814" i="17" s="1"/>
  <c r="A815" i="17" s="1"/>
  <c r="A816" i="17" s="1"/>
  <c r="A817" i="17" s="1"/>
  <c r="A818" i="17" s="1"/>
  <c r="A819" i="17" s="1"/>
  <c r="A820" i="17" s="1"/>
  <c r="A821" i="17" s="1"/>
  <c r="A822" i="17" s="1"/>
  <c r="A823" i="17" s="1"/>
  <c r="A824" i="17" s="1"/>
  <c r="A825" i="17" s="1"/>
  <c r="A826" i="17" s="1"/>
  <c r="A827" i="17" s="1"/>
  <c r="A828" i="17" s="1"/>
  <c r="A829" i="17" s="1"/>
  <c r="A830" i="17" s="1"/>
  <c r="A831" i="17" s="1"/>
  <c r="A832" i="17" s="1"/>
  <c r="A833" i="17" s="1"/>
  <c r="A834" i="17" s="1"/>
  <c r="A835" i="17" s="1"/>
  <c r="A836" i="17" s="1"/>
  <c r="A837" i="17" s="1"/>
  <c r="A838" i="17" s="1"/>
  <c r="A839" i="17" s="1"/>
  <c r="A840" i="17" s="1"/>
  <c r="A841" i="17" s="1"/>
  <c r="A842" i="17" s="1"/>
  <c r="A843" i="17" s="1"/>
  <c r="A844" i="17" s="1"/>
  <c r="A845" i="17" s="1"/>
  <c r="A846" i="17" s="1"/>
  <c r="A847" i="17" s="1"/>
  <c r="A848" i="17" s="1"/>
  <c r="A849" i="17" s="1"/>
  <c r="A850" i="17" s="1"/>
  <c r="A851" i="17" s="1"/>
  <c r="A852" i="17" s="1"/>
  <c r="A853" i="17" s="1"/>
  <c r="A854" i="17" s="1"/>
  <c r="A855" i="17" s="1"/>
  <c r="A856" i="17" s="1"/>
  <c r="A857" i="17" s="1"/>
  <c r="A858" i="17" s="1"/>
  <c r="A859" i="17" s="1"/>
  <c r="A860" i="17" s="1"/>
  <c r="A861" i="17" s="1"/>
  <c r="A862" i="17" s="1"/>
  <c r="A863" i="17" s="1"/>
  <c r="A864" i="17" s="1"/>
  <c r="A865" i="17" s="1"/>
  <c r="A866" i="17" s="1"/>
  <c r="A867" i="17" s="1"/>
  <c r="A868" i="17" s="1"/>
  <c r="A869" i="17" s="1"/>
  <c r="A870" i="17" s="1"/>
  <c r="A871" i="17" s="1"/>
  <c r="A872" i="17" s="1"/>
  <c r="A873" i="17" s="1"/>
  <c r="A874" i="17" s="1"/>
  <c r="A875" i="17" s="1"/>
  <c r="A876" i="17" s="1"/>
  <c r="A877" i="17" s="1"/>
  <c r="A878" i="17" s="1"/>
  <c r="A879" i="17" s="1"/>
  <c r="A880" i="17" s="1"/>
  <c r="A881" i="17" s="1"/>
  <c r="A882" i="17" s="1"/>
  <c r="A883" i="17" s="1"/>
  <c r="A884" i="17" s="1"/>
  <c r="A885" i="17" s="1"/>
  <c r="A886" i="17" s="1"/>
  <c r="A887" i="17" s="1"/>
  <c r="A888" i="17" s="1"/>
  <c r="A889" i="17" s="1"/>
  <c r="A890" i="17" s="1"/>
  <c r="A891" i="17" s="1"/>
  <c r="A892" i="17" s="1"/>
  <c r="A893" i="17" s="1"/>
  <c r="A894" i="17" s="1"/>
  <c r="A895" i="17" s="1"/>
  <c r="A896" i="17" s="1"/>
  <c r="A897" i="17" s="1"/>
  <c r="A898" i="17" s="1"/>
  <c r="A899" i="17" s="1"/>
  <c r="A900" i="17" s="1"/>
  <c r="A901" i="17" s="1"/>
  <c r="A902" i="17" s="1"/>
  <c r="A903" i="17" s="1"/>
  <c r="A904" i="17" s="1"/>
  <c r="A905" i="17" s="1"/>
  <c r="A906" i="17" s="1"/>
  <c r="A907" i="17" s="1"/>
  <c r="A908" i="17" s="1"/>
  <c r="A909" i="17" s="1"/>
  <c r="A910" i="17" s="1"/>
  <c r="A911" i="17" s="1"/>
  <c r="A912" i="17" s="1"/>
  <c r="A913" i="17" s="1"/>
  <c r="A914" i="17" s="1"/>
  <c r="A915" i="17" s="1"/>
  <c r="A916" i="17" s="1"/>
  <c r="A917" i="17" s="1"/>
  <c r="A918" i="17" s="1"/>
  <c r="A919" i="17" s="1"/>
  <c r="A920" i="17" s="1"/>
  <c r="A921" i="17" s="1"/>
  <c r="A922" i="17" s="1"/>
  <c r="A923" i="17" s="1"/>
  <c r="A924" i="17" s="1"/>
  <c r="A925" i="17" s="1"/>
  <c r="A926" i="17" s="1"/>
  <c r="A927" i="17" s="1"/>
  <c r="A928" i="17" s="1"/>
  <c r="A929" i="17" s="1"/>
  <c r="A930" i="17" s="1"/>
  <c r="A931" i="17" s="1"/>
  <c r="A932" i="17" s="1"/>
  <c r="A933" i="17" s="1"/>
  <c r="A934" i="17" s="1"/>
  <c r="A935" i="17" s="1"/>
  <c r="A936" i="17" s="1"/>
  <c r="A937" i="17" s="1"/>
  <c r="A938" i="17" s="1"/>
  <c r="A939" i="17" s="1"/>
  <c r="A940" i="17" s="1"/>
  <c r="A941" i="17" s="1"/>
  <c r="A942" i="17" s="1"/>
  <c r="A943" i="17" s="1"/>
  <c r="A944" i="17" s="1"/>
  <c r="A945" i="17" s="1"/>
  <c r="A946" i="17" s="1"/>
  <c r="A947" i="17" s="1"/>
  <c r="A948" i="17" s="1"/>
  <c r="A949" i="17" s="1"/>
  <c r="A950" i="17" s="1"/>
  <c r="A951" i="17" s="1"/>
  <c r="A952" i="17" s="1"/>
  <c r="A953" i="17" s="1"/>
  <c r="A954" i="17" s="1"/>
  <c r="A955" i="17" s="1"/>
  <c r="A956" i="17" s="1"/>
  <c r="A957" i="17" s="1"/>
  <c r="A958" i="17" s="1"/>
  <c r="A959" i="17" s="1"/>
  <c r="A960" i="17" s="1"/>
  <c r="A961" i="17" s="1"/>
  <c r="A962" i="17" s="1"/>
  <c r="A963" i="17" s="1"/>
  <c r="A964" i="17" s="1"/>
  <c r="A965" i="17" s="1"/>
  <c r="A966" i="17" s="1"/>
  <c r="A967" i="17" s="1"/>
  <c r="A968" i="17" s="1"/>
  <c r="A969" i="17" s="1"/>
  <c r="A970" i="17" s="1"/>
  <c r="A971" i="17" s="1"/>
  <c r="A972" i="17" s="1"/>
  <c r="A973" i="17" s="1"/>
  <c r="A974" i="17" s="1"/>
  <c r="A975" i="17" s="1"/>
  <c r="A976" i="17" s="1"/>
  <c r="A977" i="17" s="1"/>
  <c r="A978" i="17" s="1"/>
  <c r="A979" i="17" s="1"/>
  <c r="A980" i="17" s="1"/>
  <c r="A981" i="17" s="1"/>
  <c r="A982" i="17" s="1"/>
  <c r="A983" i="17" s="1"/>
  <c r="A984" i="17" s="1"/>
  <c r="A985" i="17" s="1"/>
  <c r="A986" i="17" s="1"/>
  <c r="A987" i="17" s="1"/>
  <c r="A988" i="17" s="1"/>
  <c r="A989" i="17" s="1"/>
  <c r="A990" i="17" s="1"/>
  <c r="A991" i="17" s="1"/>
  <c r="A992" i="17" s="1"/>
  <c r="A993" i="17" s="1"/>
  <c r="A994" i="17" s="1"/>
  <c r="A995" i="17" s="1"/>
  <c r="A996" i="17" s="1"/>
  <c r="A997" i="17" s="1"/>
  <c r="A998" i="17" s="1"/>
  <c r="A999" i="17" s="1"/>
  <c r="A1000" i="17" s="1"/>
  <c r="A1001" i="17" s="1"/>
  <c r="A1002" i="17" s="1"/>
  <c r="A1003" i="17" s="1"/>
  <c r="A1004" i="17" s="1"/>
  <c r="A1005" i="17" s="1"/>
  <c r="A1006" i="17" s="1"/>
  <c r="A1007" i="17" s="1"/>
  <c r="A1008" i="17" s="1"/>
  <c r="A1009" i="17" s="1"/>
  <c r="A1010" i="17" s="1"/>
  <c r="A1011" i="17" s="1"/>
  <c r="A1012" i="17" s="1"/>
  <c r="A1013" i="17" s="1"/>
  <c r="A1014" i="17" s="1"/>
  <c r="A1015" i="17" s="1"/>
  <c r="A1016" i="17" s="1"/>
  <c r="A1017" i="17" s="1"/>
  <c r="A1018" i="17" s="1"/>
  <c r="A1019" i="17" s="1"/>
  <c r="A1020" i="17" s="1"/>
  <c r="A1021" i="17" s="1"/>
  <c r="A1022" i="17" s="1"/>
  <c r="A1023" i="17" s="1"/>
  <c r="A1024" i="17" s="1"/>
  <c r="A9" i="17"/>
  <c r="I4" i="17"/>
  <c r="A15" i="18" l="1"/>
  <c r="B15" i="18" s="1"/>
  <c r="A5" i="22" s="1"/>
  <c r="X22" i="2"/>
  <c r="D22" i="2"/>
  <c r="X8" i="2"/>
  <c r="D8" i="2"/>
  <c r="U2" i="23"/>
  <c r="T1" i="23"/>
  <c r="D15" i="24"/>
  <c r="C16" i="24"/>
  <c r="B17" i="24"/>
  <c r="C17" i="24" s="1"/>
  <c r="A23" i="21"/>
  <c r="D22" i="21"/>
  <c r="E22" i="21" s="1"/>
  <c r="A76" i="21"/>
  <c r="D75" i="21"/>
  <c r="E75" i="21" s="1"/>
  <c r="A107" i="21"/>
  <c r="D106" i="21"/>
  <c r="E106" i="21" s="1"/>
  <c r="D41" i="21"/>
  <c r="E41" i="21" s="1"/>
  <c r="A42" i="21"/>
  <c r="C10" i="19"/>
  <c r="E9" i="19"/>
  <c r="AA22" i="2"/>
  <c r="Z22" i="2"/>
  <c r="AA8" i="2"/>
  <c r="Z8" i="2"/>
  <c r="B9" i="2"/>
  <c r="C9" i="2" s="1"/>
  <c r="B23" i="2"/>
  <c r="C23" i="2" s="1"/>
  <c r="A16" i="18"/>
  <c r="B16" i="18" s="1"/>
  <c r="B5" i="22" s="1"/>
  <c r="D105" i="17"/>
  <c r="C107" i="17"/>
  <c r="D107" i="17" s="1"/>
  <c r="C1003" i="17"/>
  <c r="C973" i="17"/>
  <c r="C939" i="17"/>
  <c r="C907" i="17"/>
  <c r="C875" i="17"/>
  <c r="C843" i="17"/>
  <c r="C810" i="17"/>
  <c r="C779" i="17"/>
  <c r="C748" i="17"/>
  <c r="C716" i="17"/>
  <c r="C682" i="17"/>
  <c r="C651" i="17"/>
  <c r="C620" i="17"/>
  <c r="C587" i="17"/>
  <c r="C555" i="17"/>
  <c r="C523" i="17"/>
  <c r="C493" i="17"/>
  <c r="C459" i="17"/>
  <c r="C428" i="17"/>
  <c r="C397" i="17"/>
  <c r="C362" i="17"/>
  <c r="C331" i="17"/>
  <c r="C299" i="17"/>
  <c r="C268" i="17"/>
  <c r="C236" i="17"/>
  <c r="C202" i="17"/>
  <c r="C171" i="17"/>
  <c r="C139" i="17"/>
  <c r="X9" i="2" l="1"/>
  <c r="D9" i="2"/>
  <c r="X23" i="2"/>
  <c r="D23" i="2"/>
  <c r="V2" i="23"/>
  <c r="U1" i="23"/>
  <c r="D17" i="24"/>
  <c r="D16" i="24"/>
  <c r="A24" i="21"/>
  <c r="D23" i="21"/>
  <c r="E23" i="21" s="1"/>
  <c r="A108" i="21"/>
  <c r="D107" i="21"/>
  <c r="E107" i="21" s="1"/>
  <c r="A77" i="21"/>
  <c r="D76" i="21"/>
  <c r="E76" i="21" s="1"/>
  <c r="A43" i="21"/>
  <c r="D42" i="21"/>
  <c r="E42" i="21" s="1"/>
  <c r="C11" i="19"/>
  <c r="E10" i="19"/>
  <c r="AA9" i="2"/>
  <c r="Z9" i="2"/>
  <c r="AA23" i="2"/>
  <c r="Z23" i="2"/>
  <c r="B10" i="2"/>
  <c r="C10" i="2" s="1"/>
  <c r="B24" i="2"/>
  <c r="C24" i="2" s="1"/>
  <c r="A17" i="18"/>
  <c r="B17" i="18" s="1"/>
  <c r="A6" i="22" s="1"/>
  <c r="C108" i="17"/>
  <c r="D108" i="17" s="1"/>
  <c r="C1004" i="17"/>
  <c r="C974" i="17"/>
  <c r="C940" i="17"/>
  <c r="C908" i="17"/>
  <c r="C876" i="17"/>
  <c r="C844" i="17"/>
  <c r="C811" i="17"/>
  <c r="C780" i="17"/>
  <c r="C749" i="17"/>
  <c r="C717" i="17"/>
  <c r="C683" i="17"/>
  <c r="C652" i="17"/>
  <c r="C621" i="17"/>
  <c r="C588" i="17"/>
  <c r="C556" i="17"/>
  <c r="C524" i="17"/>
  <c r="C494" i="17"/>
  <c r="C460" i="17"/>
  <c r="C429" i="17"/>
  <c r="C398" i="17"/>
  <c r="C363" i="17"/>
  <c r="C332" i="17"/>
  <c r="C300" i="17"/>
  <c r="C269" i="17"/>
  <c r="C237" i="17"/>
  <c r="C203" i="17"/>
  <c r="C172" i="17"/>
  <c r="C140" i="17"/>
  <c r="X24" i="2" l="1"/>
  <c r="D24" i="2"/>
  <c r="X10" i="2"/>
  <c r="D10" i="2"/>
  <c r="V1" i="23"/>
  <c r="W2" i="23"/>
  <c r="A25" i="21"/>
  <c r="D24" i="21"/>
  <c r="E24" i="21" s="1"/>
  <c r="D77" i="21"/>
  <c r="E77" i="21" s="1"/>
  <c r="A78" i="21"/>
  <c r="D108" i="21"/>
  <c r="E108" i="21" s="1"/>
  <c r="A109" i="21"/>
  <c r="A44" i="21"/>
  <c r="D43" i="21"/>
  <c r="E43" i="21" s="1"/>
  <c r="C12" i="19"/>
  <c r="E11" i="19"/>
  <c r="AA10" i="2"/>
  <c r="Z10" i="2"/>
  <c r="AA24" i="2"/>
  <c r="Z24" i="2"/>
  <c r="B11" i="2"/>
  <c r="C11" i="2" s="1"/>
  <c r="B25" i="2"/>
  <c r="C25" i="2" s="1"/>
  <c r="A18" i="18"/>
  <c r="B18" i="18" s="1"/>
  <c r="B6" i="22" s="1"/>
  <c r="C109" i="17"/>
  <c r="D109" i="17" s="1"/>
  <c r="C1005" i="17"/>
  <c r="C975" i="17"/>
  <c r="C941" i="17"/>
  <c r="C909" i="17"/>
  <c r="C877" i="17"/>
  <c r="C845" i="17"/>
  <c r="C812" i="17"/>
  <c r="C781" i="17"/>
  <c r="C750" i="17"/>
  <c r="C718" i="17"/>
  <c r="C684" i="17"/>
  <c r="C653" i="17"/>
  <c r="C622" i="17"/>
  <c r="C589" i="17"/>
  <c r="C557" i="17"/>
  <c r="C525" i="17"/>
  <c r="C495" i="17"/>
  <c r="C461" i="17"/>
  <c r="C430" i="17"/>
  <c r="C399" i="17"/>
  <c r="C364" i="17"/>
  <c r="C333" i="17"/>
  <c r="C301" i="17"/>
  <c r="C270" i="17"/>
  <c r="C238" i="17"/>
  <c r="C204" i="17"/>
  <c r="C173" i="17"/>
  <c r="C141" i="17"/>
  <c r="X11" i="2" l="1"/>
  <c r="D11" i="2"/>
  <c r="X25" i="2"/>
  <c r="D25" i="2"/>
  <c r="X2" i="23"/>
  <c r="W1" i="23"/>
  <c r="A26" i="21"/>
  <c r="D25" i="21"/>
  <c r="E25" i="21" s="1"/>
  <c r="D109" i="21"/>
  <c r="E109" i="21" s="1"/>
  <c r="A110" i="21"/>
  <c r="A79" i="21"/>
  <c r="D78" i="21"/>
  <c r="E78" i="21" s="1"/>
  <c r="A45" i="21"/>
  <c r="D44" i="21"/>
  <c r="E44" i="21" s="1"/>
  <c r="C13" i="19"/>
  <c r="E12" i="19"/>
  <c r="AA25" i="2"/>
  <c r="Z25" i="2"/>
  <c r="AA11" i="2"/>
  <c r="Z11" i="2"/>
  <c r="B12" i="2"/>
  <c r="C12" i="2" s="1"/>
  <c r="B26" i="2"/>
  <c r="C26" i="2" s="1"/>
  <c r="A19" i="18"/>
  <c r="B19" i="18" s="1"/>
  <c r="A7" i="22" s="1"/>
  <c r="C110" i="17"/>
  <c r="D110" i="17" s="1"/>
  <c r="C1006" i="17"/>
  <c r="C976" i="17"/>
  <c r="C942" i="17"/>
  <c r="C910" i="17"/>
  <c r="C878" i="17"/>
  <c r="C846" i="17"/>
  <c r="C813" i="17"/>
  <c r="C782" i="17"/>
  <c r="C751" i="17"/>
  <c r="C719" i="17"/>
  <c r="C685" i="17"/>
  <c r="C654" i="17"/>
  <c r="C623" i="17"/>
  <c r="C590" i="17"/>
  <c r="C558" i="17"/>
  <c r="C526" i="17"/>
  <c r="C496" i="17"/>
  <c r="C462" i="17"/>
  <c r="C431" i="17"/>
  <c r="C400" i="17"/>
  <c r="C365" i="17"/>
  <c r="C334" i="17"/>
  <c r="C302" i="17"/>
  <c r="C271" i="17"/>
  <c r="C239" i="17"/>
  <c r="C205" i="17"/>
  <c r="C174" i="17"/>
  <c r="C142" i="17"/>
  <c r="X26" i="2" l="1"/>
  <c r="D26" i="2"/>
  <c r="X12" i="2"/>
  <c r="D12" i="2"/>
  <c r="Y2" i="23"/>
  <c r="X1" i="23"/>
  <c r="A27" i="21"/>
  <c r="D26" i="21"/>
  <c r="E26" i="21" s="1"/>
  <c r="A80" i="21"/>
  <c r="D79" i="21"/>
  <c r="E79" i="21" s="1"/>
  <c r="A111" i="21"/>
  <c r="D110" i="21"/>
  <c r="E110" i="21" s="1"/>
  <c r="A46" i="21"/>
  <c r="D45" i="21"/>
  <c r="E45" i="21" s="1"/>
  <c r="C14" i="19"/>
  <c r="E13" i="19"/>
  <c r="AA26" i="2"/>
  <c r="Z26" i="2"/>
  <c r="B13" i="2"/>
  <c r="B27" i="2"/>
  <c r="C27" i="2" s="1"/>
  <c r="A20" i="18"/>
  <c r="B20" i="18" s="1"/>
  <c r="B7" i="22" s="1"/>
  <c r="C111" i="17"/>
  <c r="D111" i="17" s="1"/>
  <c r="C1007" i="17"/>
  <c r="C977" i="17"/>
  <c r="C943" i="17"/>
  <c r="C911" i="17"/>
  <c r="C879" i="17"/>
  <c r="C847" i="17"/>
  <c r="C814" i="17"/>
  <c r="C783" i="17"/>
  <c r="C752" i="17"/>
  <c r="C720" i="17"/>
  <c r="C686" i="17"/>
  <c r="C655" i="17"/>
  <c r="C624" i="17"/>
  <c r="C591" i="17"/>
  <c r="C559" i="17"/>
  <c r="C527" i="17"/>
  <c r="C497" i="17"/>
  <c r="C463" i="17"/>
  <c r="C432" i="17"/>
  <c r="C401" i="17"/>
  <c r="C366" i="17"/>
  <c r="C335" i="17"/>
  <c r="C303" i="17"/>
  <c r="C272" i="17"/>
  <c r="C240" i="17"/>
  <c r="C206" i="17"/>
  <c r="C175" i="17"/>
  <c r="C143" i="17"/>
  <c r="X27" i="2" l="1"/>
  <c r="D27" i="2"/>
  <c r="C13" i="2"/>
  <c r="B14" i="2"/>
  <c r="Z2" i="23"/>
  <c r="Y1" i="23"/>
  <c r="A28" i="21"/>
  <c r="D27" i="21"/>
  <c r="E27" i="21" s="1"/>
  <c r="A112" i="21"/>
  <c r="D111" i="21"/>
  <c r="E111" i="21" s="1"/>
  <c r="A81" i="21"/>
  <c r="D80" i="21"/>
  <c r="E80" i="21" s="1"/>
  <c r="D46" i="21"/>
  <c r="E46" i="21" s="1"/>
  <c r="A47" i="21"/>
  <c r="C15" i="19"/>
  <c r="E14" i="19"/>
  <c r="AA12" i="2"/>
  <c r="Z12" i="2"/>
  <c r="AA27" i="2"/>
  <c r="Z27" i="2"/>
  <c r="B28" i="2"/>
  <c r="C28" i="2" s="1"/>
  <c r="A21" i="18"/>
  <c r="B21" i="18" s="1"/>
  <c r="A8" i="22" s="1"/>
  <c r="C112" i="17"/>
  <c r="D112" i="17" s="1"/>
  <c r="C1008" i="17"/>
  <c r="C978" i="17"/>
  <c r="C944" i="17"/>
  <c r="C912" i="17"/>
  <c r="C880" i="17"/>
  <c r="C848" i="17"/>
  <c r="C815" i="17"/>
  <c r="C784" i="17"/>
  <c r="C753" i="17"/>
  <c r="C721" i="17"/>
  <c r="C687" i="17"/>
  <c r="C656" i="17"/>
  <c r="C625" i="17"/>
  <c r="C592" i="17"/>
  <c r="C560" i="17"/>
  <c r="C528" i="17"/>
  <c r="C498" i="17"/>
  <c r="C464" i="17"/>
  <c r="C433" i="17"/>
  <c r="C402" i="17"/>
  <c r="C367" i="17"/>
  <c r="C336" i="17"/>
  <c r="C304" i="17"/>
  <c r="C273" i="17"/>
  <c r="C241" i="17"/>
  <c r="C207" i="17"/>
  <c r="C176" i="17"/>
  <c r="C144" i="17"/>
  <c r="B15" i="2" l="1"/>
  <c r="C14" i="2"/>
  <c r="X28" i="2"/>
  <c r="D28" i="2"/>
  <c r="X13" i="2"/>
  <c r="D13" i="2"/>
  <c r="AA13" i="2"/>
  <c r="Z13" i="2"/>
  <c r="AA2" i="23"/>
  <c r="Z1" i="23"/>
  <c r="A29" i="21"/>
  <c r="D28" i="21"/>
  <c r="E28" i="21" s="1"/>
  <c r="D81" i="21"/>
  <c r="E81" i="21" s="1"/>
  <c r="A82" i="21"/>
  <c r="D112" i="21"/>
  <c r="E112" i="21" s="1"/>
  <c r="A113" i="21"/>
  <c r="D47" i="21"/>
  <c r="E47" i="21" s="1"/>
  <c r="A48" i="21"/>
  <c r="C16" i="19"/>
  <c r="E15" i="19"/>
  <c r="B29" i="2"/>
  <c r="C29" i="2" s="1"/>
  <c r="A22" i="18"/>
  <c r="B22" i="18" s="1"/>
  <c r="B8" i="22" s="1"/>
  <c r="C113" i="17"/>
  <c r="D113" i="17" s="1"/>
  <c r="C1009" i="17"/>
  <c r="C979" i="17"/>
  <c r="C945" i="17"/>
  <c r="C913" i="17"/>
  <c r="C881" i="17"/>
  <c r="C849" i="17"/>
  <c r="C816" i="17"/>
  <c r="C785" i="17"/>
  <c r="C754" i="17"/>
  <c r="C722" i="17"/>
  <c r="C688" i="17"/>
  <c r="C657" i="17"/>
  <c r="C626" i="17"/>
  <c r="C593" i="17"/>
  <c r="C561" i="17"/>
  <c r="C529" i="17"/>
  <c r="C499" i="17"/>
  <c r="C465" i="17"/>
  <c r="C434" i="17"/>
  <c r="C403" i="17"/>
  <c r="C368" i="17"/>
  <c r="C337" i="17"/>
  <c r="C305" i="17"/>
  <c r="C274" i="17"/>
  <c r="C242" i="17"/>
  <c r="C208" i="17"/>
  <c r="C177" i="17"/>
  <c r="C145" i="17"/>
  <c r="X29" i="2" l="1"/>
  <c r="D29" i="2"/>
  <c r="X14" i="2"/>
  <c r="D14" i="2"/>
  <c r="Z14" i="2"/>
  <c r="AA14" i="2"/>
  <c r="C15" i="2"/>
  <c r="B16" i="2"/>
  <c r="AB2" i="23"/>
  <c r="AA1" i="23"/>
  <c r="A30" i="21"/>
  <c r="D29" i="21"/>
  <c r="E29" i="21" s="1"/>
  <c r="D113" i="21"/>
  <c r="E113" i="21" s="1"/>
  <c r="A114" i="21"/>
  <c r="A83" i="21"/>
  <c r="D82" i="21"/>
  <c r="E82" i="21" s="1"/>
  <c r="A49" i="21"/>
  <c r="D48" i="21"/>
  <c r="E48" i="21" s="1"/>
  <c r="C17" i="19"/>
  <c r="E17" i="19" s="1"/>
  <c r="E16" i="19"/>
  <c r="AA28" i="2"/>
  <c r="Z28" i="2"/>
  <c r="B30" i="2"/>
  <c r="C30" i="2" s="1"/>
  <c r="A23" i="18"/>
  <c r="B23" i="18" s="1"/>
  <c r="A9" i="22" s="1"/>
  <c r="C114" i="17"/>
  <c r="D114" i="17" s="1"/>
  <c r="C1010" i="17"/>
  <c r="C980" i="17"/>
  <c r="C946" i="17"/>
  <c r="C914" i="17"/>
  <c r="C882" i="17"/>
  <c r="C850" i="17"/>
  <c r="C817" i="17"/>
  <c r="C786" i="17"/>
  <c r="C755" i="17"/>
  <c r="C723" i="17"/>
  <c r="C689" i="17"/>
  <c r="C658" i="17"/>
  <c r="C627" i="17"/>
  <c r="C594" i="17"/>
  <c r="C562" i="17"/>
  <c r="C530" i="17"/>
  <c r="C500" i="17"/>
  <c r="C466" i="17"/>
  <c r="C435" i="17"/>
  <c r="C404" i="17"/>
  <c r="C369" i="17"/>
  <c r="C338" i="17"/>
  <c r="C306" i="17"/>
  <c r="C275" i="17"/>
  <c r="C243" i="17"/>
  <c r="C209" i="17"/>
  <c r="C178" i="17"/>
  <c r="C146" i="17"/>
  <c r="X30" i="2" l="1"/>
  <c r="D30" i="2"/>
  <c r="C16" i="2"/>
  <c r="B17" i="2"/>
  <c r="C17" i="2" s="1"/>
  <c r="X15" i="2"/>
  <c r="D15" i="2"/>
  <c r="AA15" i="2"/>
  <c r="Z15" i="2"/>
  <c r="AB1" i="23"/>
  <c r="AC2" i="23"/>
  <c r="A31" i="21"/>
  <c r="D30" i="21"/>
  <c r="E30" i="21" s="1"/>
  <c r="A84" i="21"/>
  <c r="D83" i="21"/>
  <c r="E83" i="21" s="1"/>
  <c r="A115" i="21"/>
  <c r="D114" i="21"/>
  <c r="E114" i="21" s="1"/>
  <c r="A50" i="21"/>
  <c r="D49" i="21"/>
  <c r="E49" i="21" s="1"/>
  <c r="Z29" i="2"/>
  <c r="AA29" i="2"/>
  <c r="B31" i="2"/>
  <c r="C31" i="2" s="1"/>
  <c r="B35" i="2"/>
  <c r="C35" i="2" s="1"/>
  <c r="A24" i="18"/>
  <c r="B24" i="18" s="1"/>
  <c r="B9" i="22" s="1"/>
  <c r="C115" i="17"/>
  <c r="D115" i="17" s="1"/>
  <c r="C1011" i="17"/>
  <c r="C981" i="17"/>
  <c r="C947" i="17"/>
  <c r="C915" i="17"/>
  <c r="C883" i="17"/>
  <c r="C851" i="17"/>
  <c r="C818" i="17"/>
  <c r="C787" i="17"/>
  <c r="C756" i="17"/>
  <c r="C724" i="17"/>
  <c r="C690" i="17"/>
  <c r="C659" i="17"/>
  <c r="C628" i="17"/>
  <c r="C595" i="17"/>
  <c r="C563" i="17"/>
  <c r="C531" i="17"/>
  <c r="C501" i="17"/>
  <c r="C467" i="17"/>
  <c r="C436" i="17"/>
  <c r="C405" i="17"/>
  <c r="C370" i="17"/>
  <c r="C339" i="17"/>
  <c r="C307" i="17"/>
  <c r="C276" i="17"/>
  <c r="C244" i="17"/>
  <c r="C210" i="17"/>
  <c r="C179" i="17"/>
  <c r="C147" i="17"/>
  <c r="X31" i="2" l="1"/>
  <c r="D31" i="2"/>
  <c r="X17" i="2"/>
  <c r="D17" i="2"/>
  <c r="AA17" i="2"/>
  <c r="Z17" i="2"/>
  <c r="X35" i="2"/>
  <c r="D35" i="2"/>
  <c r="X16" i="2"/>
  <c r="D16" i="2"/>
  <c r="AA16" i="2"/>
  <c r="Z16" i="2"/>
  <c r="AC1" i="23"/>
  <c r="AD2" i="23"/>
  <c r="A32" i="21"/>
  <c r="D31" i="21"/>
  <c r="E31" i="21" s="1"/>
  <c r="A116" i="21"/>
  <c r="D115" i="21"/>
  <c r="E115" i="21" s="1"/>
  <c r="A85" i="21"/>
  <c r="D84" i="21"/>
  <c r="E84" i="21" s="1"/>
  <c r="D50" i="21"/>
  <c r="E50" i="21" s="1"/>
  <c r="A51" i="21"/>
  <c r="Z30" i="2"/>
  <c r="AA30" i="2"/>
  <c r="B32" i="2"/>
  <c r="C32" i="2" s="1"/>
  <c r="AA35" i="2"/>
  <c r="Z35" i="2"/>
  <c r="B36" i="2"/>
  <c r="C36" i="2" s="1"/>
  <c r="A25" i="18"/>
  <c r="B25" i="18" s="1"/>
  <c r="A10" i="22" s="1"/>
  <c r="C116" i="17"/>
  <c r="D116" i="17" s="1"/>
  <c r="C1012" i="17"/>
  <c r="C982" i="17"/>
  <c r="C948" i="17"/>
  <c r="C916" i="17"/>
  <c r="C884" i="17"/>
  <c r="C852" i="17"/>
  <c r="C819" i="17"/>
  <c r="C788" i="17"/>
  <c r="C757" i="17"/>
  <c r="C725" i="17"/>
  <c r="C691" i="17"/>
  <c r="C660" i="17"/>
  <c r="C629" i="17"/>
  <c r="C596" i="17"/>
  <c r="C564" i="17"/>
  <c r="C532" i="17"/>
  <c r="C502" i="17"/>
  <c r="C468" i="17"/>
  <c r="C437" i="17"/>
  <c r="C406" i="17"/>
  <c r="C371" i="17"/>
  <c r="C340" i="17"/>
  <c r="C308" i="17"/>
  <c r="C277" i="17"/>
  <c r="C245" i="17"/>
  <c r="C211" i="17"/>
  <c r="C180" i="17"/>
  <c r="C148" i="17"/>
  <c r="X36" i="2" l="1"/>
  <c r="D36" i="2"/>
  <c r="X32" i="2"/>
  <c r="D32" i="2"/>
  <c r="AD1" i="23"/>
  <c r="AE2" i="23"/>
  <c r="A33" i="21"/>
  <c r="D33" i="21" s="1"/>
  <c r="E33" i="21" s="1"/>
  <c r="D32" i="21"/>
  <c r="E32" i="21" s="1"/>
  <c r="D85" i="21"/>
  <c r="E85" i="21" s="1"/>
  <c r="A86" i="21"/>
  <c r="D116" i="21"/>
  <c r="E116" i="21" s="1"/>
  <c r="A117" i="21"/>
  <c r="A52" i="21"/>
  <c r="D51" i="21"/>
  <c r="E51" i="21" s="1"/>
  <c r="AA31" i="2"/>
  <c r="Z31" i="2"/>
  <c r="AA36" i="2"/>
  <c r="Z36" i="2"/>
  <c r="B33" i="2"/>
  <c r="C33" i="2" s="1"/>
  <c r="B37" i="2"/>
  <c r="C37" i="2" s="1"/>
  <c r="A26" i="18"/>
  <c r="B26" i="18" s="1"/>
  <c r="B10" i="22" s="1"/>
  <c r="C117" i="17"/>
  <c r="D117" i="17" s="1"/>
  <c r="C1013" i="17"/>
  <c r="C983" i="17"/>
  <c r="C949" i="17"/>
  <c r="C917" i="17"/>
  <c r="C885" i="17"/>
  <c r="C853" i="17"/>
  <c r="C820" i="17"/>
  <c r="C789" i="17"/>
  <c r="C758" i="17"/>
  <c r="C726" i="17"/>
  <c r="C692" i="17"/>
  <c r="C661" i="17"/>
  <c r="C630" i="17"/>
  <c r="C597" i="17"/>
  <c r="C565" i="17"/>
  <c r="C533" i="17"/>
  <c r="C503" i="17"/>
  <c r="C469" i="17"/>
  <c r="C438" i="17"/>
  <c r="C407" i="17"/>
  <c r="C372" i="17"/>
  <c r="C341" i="17"/>
  <c r="C309" i="17"/>
  <c r="C278" i="17"/>
  <c r="C246" i="17"/>
  <c r="C212" i="17"/>
  <c r="C181" i="17"/>
  <c r="C149" i="17"/>
  <c r="X37" i="2" l="1"/>
  <c r="D37" i="2"/>
  <c r="X33" i="2"/>
  <c r="D33" i="2"/>
  <c r="AF2" i="23"/>
  <c r="AE1" i="23"/>
  <c r="D117" i="21"/>
  <c r="E117" i="21" s="1"/>
  <c r="A118" i="21"/>
  <c r="A87" i="21"/>
  <c r="D86" i="21"/>
  <c r="E86" i="21" s="1"/>
  <c r="D52" i="21"/>
  <c r="E52" i="21" s="1"/>
  <c r="A53" i="21"/>
  <c r="AA37" i="2"/>
  <c r="Z37" i="2"/>
  <c r="AA32" i="2"/>
  <c r="Z32" i="2"/>
  <c r="AA33" i="2"/>
  <c r="Z33" i="2"/>
  <c r="B38" i="2"/>
  <c r="C38" i="2" s="1"/>
  <c r="A27" i="18"/>
  <c r="B27" i="18" s="1"/>
  <c r="A11" i="22" s="1"/>
  <c r="C118" i="17"/>
  <c r="D118" i="17" s="1"/>
  <c r="C1014" i="17"/>
  <c r="C984" i="17"/>
  <c r="C950" i="17"/>
  <c r="C918" i="17"/>
  <c r="C886" i="17"/>
  <c r="C854" i="17"/>
  <c r="C821" i="17"/>
  <c r="C790" i="17"/>
  <c r="C759" i="17"/>
  <c r="C727" i="17"/>
  <c r="C693" i="17"/>
  <c r="C662" i="17"/>
  <c r="C631" i="17"/>
  <c r="C598" i="17"/>
  <c r="C566" i="17"/>
  <c r="C534" i="17"/>
  <c r="C504" i="17"/>
  <c r="C470" i="17"/>
  <c r="C439" i="17"/>
  <c r="C408" i="17"/>
  <c r="C373" i="17"/>
  <c r="C342" i="17"/>
  <c r="C310" i="17"/>
  <c r="C279" i="17"/>
  <c r="C247" i="17"/>
  <c r="C213" i="17"/>
  <c r="C182" i="17"/>
  <c r="C150" i="17"/>
  <c r="X38" i="2" l="1"/>
  <c r="D38" i="2"/>
  <c r="AF1" i="23"/>
  <c r="AG2" i="23"/>
  <c r="A88" i="21"/>
  <c r="D87" i="21"/>
  <c r="E87" i="21" s="1"/>
  <c r="A119" i="21"/>
  <c r="D118" i="21"/>
  <c r="E118" i="21" s="1"/>
  <c r="D53" i="21"/>
  <c r="E53" i="21" s="1"/>
  <c r="A54" i="21"/>
  <c r="AA38" i="2"/>
  <c r="Z38" i="2"/>
  <c r="B39" i="2"/>
  <c r="C39" i="2" s="1"/>
  <c r="A28" i="18"/>
  <c r="B28" i="18" s="1"/>
  <c r="B11" i="22" s="1"/>
  <c r="C119" i="17"/>
  <c r="D119" i="17" s="1"/>
  <c r="C1015" i="17"/>
  <c r="C985" i="17"/>
  <c r="C951" i="17"/>
  <c r="C919" i="17"/>
  <c r="C887" i="17"/>
  <c r="C855" i="17"/>
  <c r="C822" i="17"/>
  <c r="C791" i="17"/>
  <c r="C760" i="17"/>
  <c r="C728" i="17"/>
  <c r="C694" i="17"/>
  <c r="C663" i="17"/>
  <c r="C632" i="17"/>
  <c r="C599" i="17"/>
  <c r="C567" i="17"/>
  <c r="C535" i="17"/>
  <c r="C505" i="17"/>
  <c r="C471" i="17"/>
  <c r="C440" i="17"/>
  <c r="C409" i="17"/>
  <c r="C374" i="17"/>
  <c r="C343" i="17"/>
  <c r="C311" i="17"/>
  <c r="C280" i="17"/>
  <c r="C248" i="17"/>
  <c r="C214" i="17"/>
  <c r="C183" i="17"/>
  <c r="C151" i="17"/>
  <c r="X39" i="2" l="1"/>
  <c r="D39" i="2"/>
  <c r="AH2" i="23"/>
  <c r="AG1" i="23"/>
  <c r="A120" i="21"/>
  <c r="D119" i="21"/>
  <c r="E119" i="21" s="1"/>
  <c r="A89" i="21"/>
  <c r="D88" i="21"/>
  <c r="E88" i="21" s="1"/>
  <c r="A55" i="21"/>
  <c r="D54" i="21"/>
  <c r="E54" i="21" s="1"/>
  <c r="Z39" i="2"/>
  <c r="AA39" i="2"/>
  <c r="B40" i="2"/>
  <c r="C40" i="2" s="1"/>
  <c r="A29" i="18"/>
  <c r="B29" i="18" s="1"/>
  <c r="A12" i="22" s="1"/>
  <c r="C120" i="17"/>
  <c r="D120" i="17" s="1"/>
  <c r="C1016" i="17"/>
  <c r="C986" i="17"/>
  <c r="C952" i="17"/>
  <c r="C920" i="17"/>
  <c r="C888" i="17"/>
  <c r="C856" i="17"/>
  <c r="C823" i="17"/>
  <c r="C792" i="17"/>
  <c r="C761" i="17"/>
  <c r="C729" i="17"/>
  <c r="C695" i="17"/>
  <c r="C664" i="17"/>
  <c r="C633" i="17"/>
  <c r="C600" i="17"/>
  <c r="C568" i="17"/>
  <c r="C536" i="17"/>
  <c r="C506" i="17"/>
  <c r="C472" i="17"/>
  <c r="C441" i="17"/>
  <c r="C410" i="17"/>
  <c r="C375" i="17"/>
  <c r="C344" i="17"/>
  <c r="C312" i="17"/>
  <c r="C281" i="17"/>
  <c r="C249" i="17"/>
  <c r="C215" i="17"/>
  <c r="C184" i="17"/>
  <c r="C152" i="17"/>
  <c r="X40" i="2" l="1"/>
  <c r="D40" i="2"/>
  <c r="AH1" i="23"/>
  <c r="AI2" i="23"/>
  <c r="D89" i="21"/>
  <c r="E89" i="21" s="1"/>
  <c r="A90" i="21"/>
  <c r="D120" i="21"/>
  <c r="E120" i="21" s="1"/>
  <c r="A121" i="21"/>
  <c r="A56" i="21"/>
  <c r="D55" i="21"/>
  <c r="E55" i="21" s="1"/>
  <c r="Z40" i="2"/>
  <c r="AA40" i="2"/>
  <c r="B41" i="2"/>
  <c r="C41" i="2" s="1"/>
  <c r="A30" i="18"/>
  <c r="B30" i="18" s="1"/>
  <c r="B12" i="22" s="1"/>
  <c r="C121" i="17"/>
  <c r="D121" i="17" s="1"/>
  <c r="C1017" i="17"/>
  <c r="C987" i="17"/>
  <c r="C953" i="17"/>
  <c r="C921" i="17"/>
  <c r="C889" i="17"/>
  <c r="C857" i="17"/>
  <c r="C824" i="17"/>
  <c r="C793" i="17"/>
  <c r="C762" i="17"/>
  <c r="C730" i="17"/>
  <c r="C696" i="17"/>
  <c r="C665" i="17"/>
  <c r="C634" i="17"/>
  <c r="C601" i="17"/>
  <c r="C569" i="17"/>
  <c r="C537" i="17"/>
  <c r="C507" i="17"/>
  <c r="C473" i="17"/>
  <c r="C442" i="17"/>
  <c r="C411" i="17"/>
  <c r="C376" i="17"/>
  <c r="C345" i="17"/>
  <c r="C313" i="17"/>
  <c r="C282" i="17"/>
  <c r="C250" i="17"/>
  <c r="C216" i="17"/>
  <c r="C185" i="17"/>
  <c r="C153" i="17"/>
  <c r="X41" i="2" l="1"/>
  <c r="D41" i="2"/>
  <c r="AJ2" i="23"/>
  <c r="AI1" i="23"/>
  <c r="D121" i="21"/>
  <c r="E121" i="21" s="1"/>
  <c r="A122" i="21"/>
  <c r="A91" i="21"/>
  <c r="D90" i="21"/>
  <c r="E90" i="21" s="1"/>
  <c r="D56" i="21"/>
  <c r="E56" i="21" s="1"/>
  <c r="A57" i="21"/>
  <c r="AA41" i="2"/>
  <c r="Z41" i="2"/>
  <c r="B42" i="2"/>
  <c r="C42" i="2" s="1"/>
  <c r="A31" i="18"/>
  <c r="B31" i="18" s="1"/>
  <c r="A13" i="22" s="1"/>
  <c r="C122" i="17"/>
  <c r="D122" i="17" s="1"/>
  <c r="C1018" i="17"/>
  <c r="C988" i="17"/>
  <c r="C954" i="17"/>
  <c r="C922" i="17"/>
  <c r="C890" i="17"/>
  <c r="C858" i="17"/>
  <c r="C825" i="17"/>
  <c r="C794" i="17"/>
  <c r="C763" i="17"/>
  <c r="C731" i="17"/>
  <c r="C697" i="17"/>
  <c r="C666" i="17"/>
  <c r="C635" i="17"/>
  <c r="C602" i="17"/>
  <c r="C570" i="17"/>
  <c r="C538" i="17"/>
  <c r="C508" i="17"/>
  <c r="C474" i="17"/>
  <c r="C443" i="17"/>
  <c r="C412" i="17"/>
  <c r="C377" i="17"/>
  <c r="C346" i="17"/>
  <c r="C314" i="17"/>
  <c r="C283" i="17"/>
  <c r="C251" i="17"/>
  <c r="C217" i="17"/>
  <c r="C186" i="17"/>
  <c r="C154" i="17"/>
  <c r="X42" i="2" l="1"/>
  <c r="D42" i="2"/>
  <c r="AJ1" i="23"/>
  <c r="AK2" i="23"/>
  <c r="A92" i="21"/>
  <c r="D91" i="21"/>
  <c r="E91" i="21" s="1"/>
  <c r="A123" i="21"/>
  <c r="D122" i="21"/>
  <c r="E122" i="21" s="1"/>
  <c r="A58" i="21"/>
  <c r="D57" i="21"/>
  <c r="E57" i="21" s="1"/>
  <c r="Z42" i="2"/>
  <c r="AA42" i="2"/>
  <c r="B43" i="2"/>
  <c r="C43" i="2" s="1"/>
  <c r="A32" i="18"/>
  <c r="B32" i="18" s="1"/>
  <c r="B13" i="22" s="1"/>
  <c r="C123" i="17"/>
  <c r="D123" i="17" s="1"/>
  <c r="C1019" i="17"/>
  <c r="C989" i="17"/>
  <c r="C955" i="17"/>
  <c r="C923" i="17"/>
  <c r="C891" i="17"/>
  <c r="C859" i="17"/>
  <c r="C826" i="17"/>
  <c r="C795" i="17"/>
  <c r="C764" i="17"/>
  <c r="C732" i="17"/>
  <c r="C698" i="17"/>
  <c r="C667" i="17"/>
  <c r="C636" i="17"/>
  <c r="C603" i="17"/>
  <c r="C571" i="17"/>
  <c r="C539" i="17"/>
  <c r="C509" i="17"/>
  <c r="C475" i="17"/>
  <c r="C444" i="17"/>
  <c r="C413" i="17"/>
  <c r="C378" i="17"/>
  <c r="C347" i="17"/>
  <c r="C315" i="17"/>
  <c r="C284" i="17"/>
  <c r="C252" i="17"/>
  <c r="C218" i="17"/>
  <c r="C187" i="17"/>
  <c r="C155" i="17"/>
  <c r="X43" i="2" l="1"/>
  <c r="D43" i="2"/>
  <c r="AK1" i="23"/>
  <c r="AL2" i="23"/>
  <c r="A124" i="21"/>
  <c r="D123" i="21"/>
  <c r="E123" i="21" s="1"/>
  <c r="A93" i="21"/>
  <c r="D92" i="21"/>
  <c r="E92" i="21" s="1"/>
  <c r="D58" i="21"/>
  <c r="E58" i="21" s="1"/>
  <c r="A59" i="21"/>
  <c r="AA43" i="2"/>
  <c r="Z43" i="2"/>
  <c r="B44" i="2"/>
  <c r="C44" i="2" s="1"/>
  <c r="A33" i="18"/>
  <c r="B33" i="18" s="1"/>
  <c r="A14" i="22" s="1"/>
  <c r="C124" i="17"/>
  <c r="D124" i="17" s="1"/>
  <c r="C1020" i="17"/>
  <c r="C990" i="17"/>
  <c r="C956" i="17"/>
  <c r="C924" i="17"/>
  <c r="C892" i="17"/>
  <c r="C860" i="17"/>
  <c r="C827" i="17"/>
  <c r="C796" i="17"/>
  <c r="C765" i="17"/>
  <c r="C733" i="17"/>
  <c r="C699" i="17"/>
  <c r="C668" i="17"/>
  <c r="C637" i="17"/>
  <c r="C604" i="17"/>
  <c r="C572" i="17"/>
  <c r="C540" i="17"/>
  <c r="C510" i="17"/>
  <c r="C476" i="17"/>
  <c r="C445" i="17"/>
  <c r="C414" i="17"/>
  <c r="C379" i="17"/>
  <c r="C348" i="17"/>
  <c r="C316" i="17"/>
  <c r="C285" i="17"/>
  <c r="C253" i="17"/>
  <c r="C219" i="17"/>
  <c r="C188" i="17"/>
  <c r="C156" i="17"/>
  <c r="X44" i="2" l="1"/>
  <c r="D44" i="2"/>
  <c r="AL1" i="23"/>
  <c r="AM2" i="23"/>
  <c r="D93" i="21"/>
  <c r="E93" i="21" s="1"/>
  <c r="A94" i="21"/>
  <c r="D124" i="21"/>
  <c r="E124" i="21" s="1"/>
  <c r="A125" i="21"/>
  <c r="D59" i="21"/>
  <c r="E59" i="21" s="1"/>
  <c r="A60" i="21"/>
  <c r="AA44" i="2"/>
  <c r="Z44" i="2"/>
  <c r="B45" i="2"/>
  <c r="C45" i="2" s="1"/>
  <c r="A34" i="18"/>
  <c r="B34" i="18" s="1"/>
  <c r="B14" i="22" s="1"/>
  <c r="C125" i="17"/>
  <c r="D125" i="17" s="1"/>
  <c r="C1021" i="17"/>
  <c r="C991" i="17"/>
  <c r="C957" i="17"/>
  <c r="C925" i="17"/>
  <c r="C893" i="17"/>
  <c r="C861" i="17"/>
  <c r="C828" i="17"/>
  <c r="C797" i="17"/>
  <c r="C766" i="17"/>
  <c r="C734" i="17"/>
  <c r="C700" i="17"/>
  <c r="C669" i="17"/>
  <c r="C638" i="17"/>
  <c r="C605" i="17"/>
  <c r="C573" i="17"/>
  <c r="C541" i="17"/>
  <c r="C511" i="17"/>
  <c r="C477" i="17"/>
  <c r="C446" i="17"/>
  <c r="C415" i="17"/>
  <c r="C380" i="17"/>
  <c r="C349" i="17"/>
  <c r="C317" i="17"/>
  <c r="C286" i="17"/>
  <c r="C254" i="17"/>
  <c r="C220" i="17"/>
  <c r="C189" i="17"/>
  <c r="C157" i="17"/>
  <c r="X45" i="2" l="1"/>
  <c r="D45" i="2"/>
  <c r="AM1" i="23"/>
  <c r="AN2" i="23"/>
  <c r="D125" i="21"/>
  <c r="E125" i="21" s="1"/>
  <c r="A126" i="21"/>
  <c r="A95" i="21"/>
  <c r="D94" i="21"/>
  <c r="E94" i="21" s="1"/>
  <c r="A61" i="21"/>
  <c r="D60" i="21"/>
  <c r="E60" i="21" s="1"/>
  <c r="AA45" i="2"/>
  <c r="Z45" i="2"/>
  <c r="B46" i="2"/>
  <c r="C46" i="2" s="1"/>
  <c r="A35" i="18"/>
  <c r="B35" i="18" s="1"/>
  <c r="A15" i="22" s="1"/>
  <c r="C126" i="17"/>
  <c r="D126" i="17" s="1"/>
  <c r="C1022" i="17"/>
  <c r="C992" i="17"/>
  <c r="C958" i="17"/>
  <c r="C926" i="17"/>
  <c r="C894" i="17"/>
  <c r="C862" i="17"/>
  <c r="C829" i="17"/>
  <c r="C798" i="17"/>
  <c r="C767" i="17"/>
  <c r="C735" i="17"/>
  <c r="C701" i="17"/>
  <c r="C670" i="17"/>
  <c r="C639" i="17"/>
  <c r="C606" i="17"/>
  <c r="C574" i="17"/>
  <c r="C542" i="17"/>
  <c r="C512" i="17"/>
  <c r="C478" i="17"/>
  <c r="C447" i="17"/>
  <c r="C416" i="17"/>
  <c r="C381" i="17"/>
  <c r="C350" i="17"/>
  <c r="C318" i="17"/>
  <c r="C287" i="17"/>
  <c r="C255" i="17"/>
  <c r="C221" i="17"/>
  <c r="C190" i="17"/>
  <c r="C158" i="17"/>
  <c r="X46" i="2" l="1"/>
  <c r="D46" i="2"/>
  <c r="AN1" i="23"/>
  <c r="AO2" i="23"/>
  <c r="A96" i="21"/>
  <c r="D95" i="21"/>
  <c r="E95" i="21" s="1"/>
  <c r="A127" i="21"/>
  <c r="D126" i="21"/>
  <c r="E126" i="21" s="1"/>
  <c r="A62" i="21"/>
  <c r="D61" i="21"/>
  <c r="E61" i="21" s="1"/>
  <c r="AA46" i="2"/>
  <c r="Z46" i="2"/>
  <c r="B47" i="2"/>
  <c r="C47" i="2" s="1"/>
  <c r="A36" i="18"/>
  <c r="B36" i="18" s="1"/>
  <c r="B15" i="22" s="1"/>
  <c r="C127" i="17"/>
  <c r="D127" i="17" s="1"/>
  <c r="C1023" i="17"/>
  <c r="C993" i="17"/>
  <c r="C959" i="17"/>
  <c r="C927" i="17"/>
  <c r="C895" i="17"/>
  <c r="C863" i="17"/>
  <c r="C830" i="17"/>
  <c r="C799" i="17"/>
  <c r="C768" i="17"/>
  <c r="C736" i="17"/>
  <c r="C702" i="17"/>
  <c r="C671" i="17"/>
  <c r="C640" i="17"/>
  <c r="C607" i="17"/>
  <c r="C575" i="17"/>
  <c r="C543" i="17"/>
  <c r="C513" i="17"/>
  <c r="C479" i="17"/>
  <c r="C448" i="17"/>
  <c r="C417" i="17"/>
  <c r="C382" i="17"/>
  <c r="C351" i="17"/>
  <c r="C319" i="17"/>
  <c r="C288" i="17"/>
  <c r="C256" i="17"/>
  <c r="C222" i="17"/>
  <c r="C191" i="17"/>
  <c r="C159" i="17"/>
  <c r="X47" i="2" l="1"/>
  <c r="D47" i="2"/>
  <c r="AP2" i="23"/>
  <c r="AO1" i="23"/>
  <c r="A128" i="21"/>
  <c r="D127" i="21"/>
  <c r="E127" i="21" s="1"/>
  <c r="A97" i="21"/>
  <c r="D97" i="21" s="1"/>
  <c r="E97" i="21" s="1"/>
  <c r="D96" i="21"/>
  <c r="E96" i="21" s="1"/>
  <c r="D62" i="21"/>
  <c r="E62" i="21" s="1"/>
  <c r="A63" i="21"/>
  <c r="AA47" i="2"/>
  <c r="Z47" i="2"/>
  <c r="B48" i="2"/>
  <c r="C48" i="2" s="1"/>
  <c r="A37" i="18"/>
  <c r="B37" i="18" s="1"/>
  <c r="A16" i="22" s="1"/>
  <c r="C128" i="17"/>
  <c r="D128" i="17" s="1"/>
  <c r="C1024" i="17"/>
  <c r="C994" i="17"/>
  <c r="C960" i="17"/>
  <c r="C928" i="17"/>
  <c r="C896" i="17"/>
  <c r="C864" i="17"/>
  <c r="C831" i="17"/>
  <c r="C800" i="17"/>
  <c r="C769" i="17"/>
  <c r="C737" i="17"/>
  <c r="C703" i="17"/>
  <c r="C672" i="17"/>
  <c r="C641" i="17"/>
  <c r="C608" i="17"/>
  <c r="C576" i="17"/>
  <c r="C544" i="17"/>
  <c r="C514" i="17"/>
  <c r="C480" i="17"/>
  <c r="C449" i="17"/>
  <c r="C418" i="17"/>
  <c r="C383" i="17"/>
  <c r="C352" i="17"/>
  <c r="C320" i="17"/>
  <c r="C289" i="17"/>
  <c r="C257" i="17"/>
  <c r="C223" i="17"/>
  <c r="C192" i="17"/>
  <c r="C160" i="17"/>
  <c r="X48" i="2" l="1"/>
  <c r="D48" i="2"/>
  <c r="AP1" i="23"/>
  <c r="D128" i="21"/>
  <c r="E128" i="21" s="1"/>
  <c r="A129" i="21"/>
  <c r="D129" i="21" s="1"/>
  <c r="E129" i="21" s="1"/>
  <c r="A64" i="21"/>
  <c r="D63" i="21"/>
  <c r="E63" i="21" s="1"/>
  <c r="AA48" i="2"/>
  <c r="Z48" i="2"/>
  <c r="B49" i="2"/>
  <c r="C49" i="2" s="1"/>
  <c r="A38" i="18"/>
  <c r="B38" i="18" s="1"/>
  <c r="B16" i="22" s="1"/>
  <c r="C129" i="17"/>
  <c r="D129" i="17" s="1"/>
  <c r="C1025" i="17"/>
  <c r="C995" i="17"/>
  <c r="C961" i="17"/>
  <c r="C929" i="17"/>
  <c r="C897" i="17"/>
  <c r="C865" i="17"/>
  <c r="C832" i="17"/>
  <c r="C801" i="17"/>
  <c r="C770" i="17"/>
  <c r="C738" i="17"/>
  <c r="C704" i="17"/>
  <c r="C673" i="17"/>
  <c r="C642" i="17"/>
  <c r="C609" i="17"/>
  <c r="C577" i="17"/>
  <c r="C545" i="17"/>
  <c r="C515" i="17"/>
  <c r="C481" i="17"/>
  <c r="C450" i="17"/>
  <c r="C419" i="17"/>
  <c r="C384" i="17"/>
  <c r="C353" i="17"/>
  <c r="C321" i="17"/>
  <c r="C290" i="17"/>
  <c r="C258" i="17"/>
  <c r="C224" i="17"/>
  <c r="C193" i="17"/>
  <c r="C161" i="17"/>
  <c r="X49" i="2" l="1"/>
  <c r="D49" i="2"/>
  <c r="AR2" i="23"/>
  <c r="AQ1" i="23"/>
  <c r="B50" i="2"/>
  <c r="C50" i="2" s="1"/>
  <c r="A65" i="21"/>
  <c r="D65" i="21" s="1"/>
  <c r="E65" i="21" s="1"/>
  <c r="D64" i="21"/>
  <c r="E64" i="21" s="1"/>
  <c r="AA49" i="2"/>
  <c r="Z49" i="2"/>
  <c r="A39" i="18"/>
  <c r="B39" i="18" s="1"/>
  <c r="A17" i="22" s="1"/>
  <c r="C130" i="17"/>
  <c r="D130" i="17" s="1"/>
  <c r="C1026" i="17"/>
  <c r="C996" i="17"/>
  <c r="C962" i="17"/>
  <c r="C930" i="17"/>
  <c r="C898" i="17"/>
  <c r="C866" i="17"/>
  <c r="C833" i="17"/>
  <c r="C802" i="17"/>
  <c r="C771" i="17"/>
  <c r="C739" i="17"/>
  <c r="C705" i="17"/>
  <c r="C674" i="17"/>
  <c r="C643" i="17"/>
  <c r="C610" i="17"/>
  <c r="C578" i="17"/>
  <c r="C546" i="17"/>
  <c r="C516" i="17"/>
  <c r="C482" i="17"/>
  <c r="C451" i="17"/>
  <c r="C420" i="17"/>
  <c r="C385" i="17"/>
  <c r="C354" i="17"/>
  <c r="C322" i="17"/>
  <c r="C291" i="17"/>
  <c r="C259" i="17"/>
  <c r="C225" i="17"/>
  <c r="C194" i="17"/>
  <c r="C162" i="17"/>
  <c r="X50" i="2" l="1"/>
  <c r="D50" i="2"/>
  <c r="AS2" i="23"/>
  <c r="AR1" i="23"/>
  <c r="B51" i="2"/>
  <c r="C51" i="2" s="1"/>
  <c r="A40" i="18"/>
  <c r="B40" i="18" s="1"/>
  <c r="B17" i="22" s="1"/>
  <c r="C131" i="17"/>
  <c r="D131" i="17" s="1"/>
  <c r="C1027" i="17"/>
  <c r="C997" i="17"/>
  <c r="C963" i="17"/>
  <c r="C931" i="17"/>
  <c r="C899" i="17"/>
  <c r="C867" i="17"/>
  <c r="C834" i="17"/>
  <c r="C803" i="17"/>
  <c r="C772" i="17"/>
  <c r="C740" i="17"/>
  <c r="C706" i="17"/>
  <c r="C675" i="17"/>
  <c r="C644" i="17"/>
  <c r="C611" i="17"/>
  <c r="C579" i="17"/>
  <c r="C547" i="17"/>
  <c r="C517" i="17"/>
  <c r="C483" i="17"/>
  <c r="C452" i="17"/>
  <c r="C421" i="17"/>
  <c r="C386" i="17"/>
  <c r="C355" i="17"/>
  <c r="C323" i="17"/>
  <c r="C292" i="17"/>
  <c r="C260" i="17"/>
  <c r="C226" i="17"/>
  <c r="C195" i="17"/>
  <c r="C163" i="17"/>
  <c r="X51" i="2" l="1"/>
  <c r="D51" i="2"/>
  <c r="AT2" i="23"/>
  <c r="AT1" i="23" s="1"/>
  <c r="AS1" i="23"/>
  <c r="Z50" i="2"/>
  <c r="AA50" i="2"/>
  <c r="B52" i="2"/>
  <c r="C52" i="2" s="1"/>
  <c r="A41" i="18"/>
  <c r="B41" i="18" s="1"/>
  <c r="A18" i="22" s="1"/>
  <c r="C132" i="17"/>
  <c r="D132" i="17" s="1"/>
  <c r="C1028" i="17"/>
  <c r="C998" i="17"/>
  <c r="C964" i="17"/>
  <c r="C932" i="17"/>
  <c r="C900" i="17"/>
  <c r="C868" i="17"/>
  <c r="C835" i="17"/>
  <c r="C804" i="17"/>
  <c r="C773" i="17"/>
  <c r="C741" i="17"/>
  <c r="C707" i="17"/>
  <c r="C676" i="17"/>
  <c r="C645" i="17"/>
  <c r="C612" i="17"/>
  <c r="C580" i="17"/>
  <c r="C548" i="17"/>
  <c r="C518" i="17"/>
  <c r="C484" i="17"/>
  <c r="C453" i="17"/>
  <c r="C422" i="17"/>
  <c r="C387" i="17"/>
  <c r="C356" i="17"/>
  <c r="C324" i="17"/>
  <c r="C293" i="17"/>
  <c r="C261" i="17"/>
  <c r="C227" i="17"/>
  <c r="C196" i="17"/>
  <c r="C164" i="17"/>
  <c r="X52" i="2" l="1"/>
  <c r="D52" i="2"/>
  <c r="B53" i="2"/>
  <c r="C53" i="2" s="1"/>
  <c r="Z51" i="2"/>
  <c r="AA51" i="2"/>
  <c r="A42" i="18"/>
  <c r="B42" i="18" s="1"/>
  <c r="B18" i="22" s="1"/>
  <c r="C133" i="17"/>
  <c r="D133" i="17" s="1"/>
  <c r="C1029" i="17"/>
  <c r="C999" i="17"/>
  <c r="C965" i="17"/>
  <c r="C933" i="17"/>
  <c r="C901" i="17"/>
  <c r="C869" i="17"/>
  <c r="C836" i="17"/>
  <c r="C805" i="17"/>
  <c r="C774" i="17"/>
  <c r="C742" i="17"/>
  <c r="C708" i="17"/>
  <c r="C677" i="17"/>
  <c r="C646" i="17"/>
  <c r="C613" i="17"/>
  <c r="C581" i="17"/>
  <c r="C549" i="17"/>
  <c r="C519" i="17"/>
  <c r="C485" i="17"/>
  <c r="C454" i="17"/>
  <c r="C423" i="17"/>
  <c r="C388" i="17"/>
  <c r="C357" i="17"/>
  <c r="C325" i="17"/>
  <c r="C294" i="17"/>
  <c r="C262" i="17"/>
  <c r="C228" i="17"/>
  <c r="C197" i="17"/>
  <c r="C165" i="17"/>
  <c r="X53" i="2" l="1"/>
  <c r="D53" i="2"/>
  <c r="Z52" i="2"/>
  <c r="AA52" i="2"/>
  <c r="B54" i="2"/>
  <c r="C54" i="2" s="1"/>
  <c r="A43" i="18"/>
  <c r="B43" i="18" s="1"/>
  <c r="A19" i="22" s="1"/>
  <c r="C134" i="17"/>
  <c r="D134" i="17" s="1"/>
  <c r="C1030" i="17"/>
  <c r="C966" i="17"/>
  <c r="C934" i="17"/>
  <c r="C902" i="17"/>
  <c r="C870" i="17"/>
  <c r="C837" i="17"/>
  <c r="C806" i="17"/>
  <c r="C775" i="17"/>
  <c r="C743" i="17"/>
  <c r="C709" i="17"/>
  <c r="C678" i="17"/>
  <c r="C647" i="17"/>
  <c r="C614" i="17"/>
  <c r="C582" i="17"/>
  <c r="C550" i="17"/>
  <c r="C486" i="17"/>
  <c r="C455" i="17"/>
  <c r="C389" i="17"/>
  <c r="C358" i="17"/>
  <c r="C326" i="17"/>
  <c r="C295" i="17"/>
  <c r="C263" i="17"/>
  <c r="C229" i="17"/>
  <c r="C198" i="17"/>
  <c r="C166" i="17"/>
  <c r="X54" i="2" l="1"/>
  <c r="D54" i="2"/>
  <c r="Z53" i="2"/>
  <c r="AA53" i="2"/>
  <c r="B55" i="2"/>
  <c r="C55" i="2" s="1"/>
  <c r="A44" i="18"/>
  <c r="B44" i="18" s="1"/>
  <c r="B19" i="22" s="1"/>
  <c r="C135" i="17"/>
  <c r="D135" i="17" s="1"/>
  <c r="C1031" i="17"/>
  <c r="C967" i="17"/>
  <c r="C935" i="17"/>
  <c r="C903" i="17"/>
  <c r="C871" i="17"/>
  <c r="C838" i="17"/>
  <c r="C807" i="17"/>
  <c r="C710" i="17"/>
  <c r="C679" i="17"/>
  <c r="C615" i="17"/>
  <c r="C583" i="17"/>
  <c r="C551" i="17"/>
  <c r="C487" i="17"/>
  <c r="C390" i="17"/>
  <c r="C359" i="17"/>
  <c r="C327" i="17"/>
  <c r="C230" i="17"/>
  <c r="C199" i="17"/>
  <c r="C167" i="17"/>
  <c r="X55" i="2" l="1"/>
  <c r="D55" i="2"/>
  <c r="Z54" i="2"/>
  <c r="AA54" i="2"/>
  <c r="B56" i="2"/>
  <c r="C56" i="2" s="1"/>
  <c r="A45" i="18"/>
  <c r="B45" i="18" s="1"/>
  <c r="A20" i="22" s="1"/>
  <c r="C839" i="17"/>
  <c r="C711" i="17"/>
  <c r="C391" i="17"/>
  <c r="C231" i="17"/>
  <c r="X56" i="2" l="1"/>
  <c r="D56" i="2"/>
  <c r="AA55" i="2"/>
  <c r="Z55" i="2"/>
  <c r="B57" i="2"/>
  <c r="C57" i="2" s="1"/>
  <c r="A46" i="18"/>
  <c r="B46" i="18" s="1"/>
  <c r="B20" i="22" s="1"/>
  <c r="X57" i="2" l="1"/>
  <c r="D57" i="2"/>
  <c r="Z57" i="2"/>
  <c r="B58" i="2"/>
  <c r="AA56" i="2"/>
  <c r="Z56" i="2"/>
  <c r="A47" i="18"/>
  <c r="B47" i="18" s="1"/>
  <c r="A21" i="22" s="1"/>
  <c r="C58" i="2" l="1"/>
  <c r="D58" i="2" s="1"/>
  <c r="B59" i="2"/>
  <c r="AA57" i="2"/>
  <c r="A48" i="18"/>
  <c r="B48" i="18" s="1"/>
  <c r="B21" i="22" s="1"/>
  <c r="C59" i="2" l="1"/>
  <c r="D59" i="2" s="1"/>
  <c r="B60" i="2"/>
  <c r="A49" i="18"/>
  <c r="B49" i="18" s="1"/>
  <c r="A22" i="22" s="1"/>
  <c r="B61" i="2" l="1"/>
  <c r="C60" i="2"/>
  <c r="D60" i="2" s="1"/>
  <c r="A50" i="18"/>
  <c r="B50" i="18" s="1"/>
  <c r="B22" i="22" s="1"/>
  <c r="B62" i="2" l="1"/>
  <c r="C61" i="2"/>
  <c r="D61" i="2" s="1"/>
  <c r="A51" i="18"/>
  <c r="B51" i="18" s="1"/>
  <c r="A23" i="22" s="1"/>
  <c r="B63" i="2" l="1"/>
  <c r="C62" i="2"/>
  <c r="D62" i="2" s="1"/>
  <c r="A52" i="18"/>
  <c r="B52" i="18" s="1"/>
  <c r="B23" i="22" s="1"/>
  <c r="B64" i="2" l="1"/>
  <c r="C63" i="2"/>
  <c r="D63" i="2" s="1"/>
  <c r="A53" i="18"/>
  <c r="B53" i="18" s="1"/>
  <c r="A24" i="22" s="1"/>
  <c r="B65" i="2" l="1"/>
  <c r="C65" i="2" s="1"/>
  <c r="D65" i="2" s="1"/>
  <c r="C64" i="2"/>
  <c r="D64" i="2" s="1"/>
  <c r="A54" i="18"/>
  <c r="B54" i="18" s="1"/>
  <c r="B24" i="22" s="1"/>
  <c r="A55" i="18" l="1"/>
  <c r="B55" i="18" s="1"/>
  <c r="A25" i="22" s="1"/>
  <c r="A56" i="18" l="1"/>
  <c r="B56" i="18" s="1"/>
  <c r="B25" i="22" s="1"/>
  <c r="A57" i="18" l="1"/>
  <c r="B57" i="18" s="1"/>
  <c r="A26" i="22" s="1"/>
  <c r="A58" i="18" l="1"/>
  <c r="B58" i="18" s="1"/>
  <c r="B26" i="22" s="1"/>
  <c r="A59" i="18" l="1"/>
  <c r="B59" i="18" s="1"/>
  <c r="A27" i="22" s="1"/>
  <c r="A60" i="18" l="1"/>
  <c r="B60" i="18" s="1"/>
  <c r="B27" i="22" s="1"/>
  <c r="A61" i="18" l="1"/>
  <c r="B61" i="18" s="1"/>
  <c r="A28" i="22" s="1"/>
  <c r="A62" i="18" l="1"/>
  <c r="B62" i="18" s="1"/>
  <c r="B28" i="22" s="1"/>
  <c r="A63" i="18" l="1"/>
  <c r="B63" i="18" s="1"/>
  <c r="A29" i="22" s="1"/>
  <c r="A64" i="18" l="1"/>
  <c r="B64" i="18" s="1"/>
  <c r="B29" i="22" s="1"/>
  <c r="A65" i="18" l="1"/>
  <c r="B65" i="18" s="1"/>
  <c r="A30" i="22" s="1"/>
  <c r="A66" i="18" l="1"/>
  <c r="B66" i="18" s="1"/>
  <c r="B30" i="22" s="1"/>
  <c r="A67" i="18" l="1"/>
  <c r="B67" i="18" s="1"/>
  <c r="A31" i="22" s="1"/>
  <c r="A68" i="18" l="1"/>
  <c r="B68" i="18" s="1"/>
  <c r="B31" i="22" s="1"/>
  <c r="A69" i="18" l="1"/>
  <c r="B69" i="18" s="1"/>
  <c r="A32" i="22" s="1"/>
  <c r="A70" i="18" l="1"/>
  <c r="B70" i="18" s="1"/>
  <c r="B32" i="22" s="1"/>
  <c r="A71" i="18" l="1"/>
  <c r="B71" i="18" s="1"/>
  <c r="A33" i="22" s="1"/>
  <c r="A72" i="18" l="1"/>
  <c r="B72" i="18" s="1"/>
  <c r="B33" i="22" s="1"/>
  <c r="A73" i="18" l="1"/>
  <c r="B73" i="18" s="1"/>
  <c r="A34" i="22" s="1"/>
  <c r="A74" i="18" l="1"/>
  <c r="B74" i="18" s="1"/>
  <c r="B34" i="22" s="1"/>
  <c r="G11" i="18" l="1"/>
  <c r="H11" i="18" s="1"/>
  <c r="A37" i="22" s="1"/>
  <c r="G12" i="18" l="1"/>
  <c r="H12" i="18" l="1"/>
  <c r="B37" i="22" s="1"/>
  <c r="C37" i="22"/>
  <c r="G13" i="18"/>
  <c r="H13" i="18" s="1"/>
  <c r="A38" i="22" s="1"/>
  <c r="G14" i="18" l="1"/>
  <c r="H14" i="18" l="1"/>
  <c r="B38" i="22" s="1"/>
  <c r="C38" i="22"/>
  <c r="G15" i="18"/>
  <c r="H15" i="18" s="1"/>
  <c r="A39" i="22" s="1"/>
  <c r="G16" i="18" l="1"/>
  <c r="H16" i="18" l="1"/>
  <c r="B39" i="22" s="1"/>
  <c r="C39" i="22"/>
  <c r="G17" i="18"/>
  <c r="H17" i="18" s="1"/>
  <c r="A40" i="22" s="1"/>
  <c r="G18" i="18" l="1"/>
  <c r="H18" i="18" l="1"/>
  <c r="B40" i="22" s="1"/>
  <c r="C40" i="22"/>
  <c r="G19" i="18"/>
  <c r="H19" i="18" s="1"/>
  <c r="A41" i="22" s="1"/>
  <c r="G20" i="18" l="1"/>
  <c r="H20" i="18" l="1"/>
  <c r="B41" i="22" s="1"/>
  <c r="C41" i="22"/>
  <c r="G21" i="18"/>
  <c r="H21" i="18" s="1"/>
  <c r="A42" i="22" s="1"/>
  <c r="G22" i="18" l="1"/>
  <c r="H22" i="18" l="1"/>
  <c r="B42" i="22" s="1"/>
  <c r="C42" i="22"/>
  <c r="G23" i="18"/>
  <c r="H23" i="18" s="1"/>
  <c r="A43" i="22" s="1"/>
  <c r="G24" i="18" l="1"/>
  <c r="H24" i="18" l="1"/>
  <c r="B43" i="22" s="1"/>
  <c r="C43" i="22"/>
  <c r="G25" i="18"/>
  <c r="H25" i="18" s="1"/>
  <c r="A44" i="22" s="1"/>
  <c r="G26" i="18" l="1"/>
  <c r="H26" i="18" l="1"/>
  <c r="B44" i="22" s="1"/>
  <c r="C44" i="22"/>
  <c r="G27" i="18"/>
  <c r="H27" i="18" s="1"/>
  <c r="A45" i="22" s="1"/>
  <c r="G28" i="18" l="1"/>
  <c r="H28" i="18" l="1"/>
  <c r="B45" i="22" s="1"/>
  <c r="C45" i="22"/>
  <c r="G29" i="18"/>
  <c r="H29" i="18" s="1"/>
  <c r="A46" i="22" s="1"/>
  <c r="G30" i="18" l="1"/>
  <c r="H30" i="18" l="1"/>
  <c r="B46" i="22" s="1"/>
  <c r="C46" i="22"/>
  <c r="G31" i="18"/>
  <c r="H31" i="18" s="1"/>
  <c r="A47" i="22" s="1"/>
  <c r="G32" i="18" l="1"/>
  <c r="H32" i="18" l="1"/>
  <c r="B47" i="22" s="1"/>
  <c r="C47" i="22"/>
  <c r="G33" i="18"/>
  <c r="H33" i="18" s="1"/>
  <c r="A48" i="22" s="1"/>
  <c r="G34" i="18" l="1"/>
  <c r="H34" i="18" l="1"/>
  <c r="B48" i="22" s="1"/>
  <c r="C48" i="22"/>
  <c r="G35" i="18"/>
  <c r="H35" i="18" s="1"/>
  <c r="A49" i="22" s="1"/>
  <c r="G36" i="18" l="1"/>
  <c r="H36" i="18" l="1"/>
  <c r="B49" i="22" s="1"/>
  <c r="C49" i="22"/>
  <c r="G37" i="18"/>
  <c r="H37" i="18" s="1"/>
  <c r="A50" i="22" s="1"/>
  <c r="G38" i="18" l="1"/>
  <c r="H38" i="18" l="1"/>
  <c r="B50" i="22" s="1"/>
  <c r="C50" i="22"/>
  <c r="G39" i="18"/>
  <c r="H39" i="18" s="1"/>
  <c r="A51" i="22" s="1"/>
  <c r="G40" i="18" l="1"/>
  <c r="H40" i="18" l="1"/>
  <c r="B51" i="22" s="1"/>
  <c r="C51" i="22"/>
  <c r="G41" i="18"/>
  <c r="H41" i="18" s="1"/>
  <c r="A52" i="22" s="1"/>
  <c r="G42" i="18" l="1"/>
  <c r="H42" i="18" l="1"/>
  <c r="B52" i="22" s="1"/>
  <c r="C52" i="22"/>
  <c r="G43" i="18"/>
  <c r="H43" i="18" s="1"/>
  <c r="A53" i="22" s="1"/>
  <c r="G44" i="18" l="1"/>
  <c r="H44" i="18" l="1"/>
  <c r="B53" i="22" s="1"/>
  <c r="C53" i="22"/>
  <c r="G45" i="18"/>
  <c r="H45" i="18" s="1"/>
  <c r="A54" i="22" s="1"/>
  <c r="G46" i="18" l="1"/>
  <c r="H46" i="18" l="1"/>
  <c r="B54" i="22" s="1"/>
  <c r="C54" i="22"/>
  <c r="G47" i="18"/>
  <c r="H47" i="18" s="1"/>
  <c r="A55" i="22" s="1"/>
  <c r="G48" i="18" l="1"/>
  <c r="H48" i="18" l="1"/>
  <c r="B55" i="22" s="1"/>
  <c r="C55" i="22"/>
  <c r="G49" i="18"/>
  <c r="H49" i="18" s="1"/>
  <c r="A56" i="22" s="1"/>
  <c r="G50" i="18" l="1"/>
  <c r="H50" i="18" l="1"/>
  <c r="B56" i="22" s="1"/>
  <c r="C56" i="22"/>
  <c r="G51" i="18"/>
  <c r="H51" i="18" s="1"/>
  <c r="A57" i="22" s="1"/>
  <c r="G52" i="18" l="1"/>
  <c r="H52" i="18" l="1"/>
  <c r="B57" i="22" s="1"/>
  <c r="C57" i="22"/>
  <c r="G53" i="18"/>
  <c r="H53" i="18" s="1"/>
  <c r="A58" i="22" s="1"/>
  <c r="G54" i="18" l="1"/>
  <c r="H54" i="18" l="1"/>
  <c r="B58" i="22" s="1"/>
  <c r="C58" i="22"/>
  <c r="G55" i="18"/>
  <c r="H55" i="18" s="1"/>
  <c r="A59" i="22" s="1"/>
  <c r="G56" i="18" l="1"/>
  <c r="H56" i="18" l="1"/>
  <c r="B59" i="22" s="1"/>
  <c r="C59" i="22"/>
  <c r="G57" i="18"/>
  <c r="H57" i="18" s="1"/>
  <c r="A60" i="22" s="1"/>
  <c r="G58" i="18" l="1"/>
  <c r="H58" i="18" l="1"/>
  <c r="B60" i="22" s="1"/>
  <c r="C60" i="22"/>
  <c r="G59" i="18"/>
  <c r="H59" i="18" s="1"/>
  <c r="A61" i="22" s="1"/>
  <c r="G60" i="18" l="1"/>
  <c r="H60" i="18" l="1"/>
  <c r="B61" i="22" s="1"/>
  <c r="C61" i="22"/>
  <c r="G61" i="18"/>
  <c r="H61" i="18" s="1"/>
  <c r="A62" i="22" s="1"/>
  <c r="G62" i="18" l="1"/>
  <c r="H62" i="18" l="1"/>
  <c r="B62" i="22" s="1"/>
  <c r="C62" i="22"/>
  <c r="G63" i="18"/>
  <c r="H63" i="18" s="1"/>
  <c r="A63" i="22" s="1"/>
  <c r="G64" i="18" l="1"/>
  <c r="H64" i="18" l="1"/>
  <c r="B63" i="22" s="1"/>
  <c r="C63" i="22"/>
  <c r="G65" i="18"/>
  <c r="H65" i="18" s="1"/>
  <c r="A64" i="22" s="1"/>
  <c r="G66" i="18" l="1"/>
  <c r="H66" i="18" l="1"/>
  <c r="B64" i="22" s="1"/>
  <c r="C64" i="22"/>
  <c r="G67" i="18"/>
  <c r="H67" i="18" s="1"/>
  <c r="A65" i="22" s="1"/>
  <c r="G68" i="18" l="1"/>
  <c r="H68" i="18" l="1"/>
  <c r="B65" i="22" s="1"/>
  <c r="C65" i="22"/>
  <c r="G69" i="18"/>
  <c r="H69" i="18" s="1"/>
  <c r="A66" i="22" s="1"/>
  <c r="G70" i="18" l="1"/>
  <c r="H70" i="18" l="1"/>
  <c r="B66" i="22" s="1"/>
  <c r="C66" i="22"/>
  <c r="G71" i="18"/>
  <c r="H71" i="18" s="1"/>
  <c r="A67" i="22" s="1"/>
  <c r="G72" i="18" l="1"/>
  <c r="H72" i="18" l="1"/>
  <c r="B67" i="22" s="1"/>
  <c r="C67" i="22"/>
  <c r="G73" i="18"/>
  <c r="H73" i="18" s="1"/>
  <c r="A68" i="22" s="1"/>
  <c r="G74" i="18" l="1"/>
  <c r="H74" i="18" l="1"/>
  <c r="B68" i="22" s="1"/>
  <c r="C68" i="22"/>
</calcChain>
</file>

<file path=xl/comments1.xml><?xml version="1.0" encoding="utf-8"?>
<comments xmlns="http://schemas.openxmlformats.org/spreadsheetml/2006/main">
  <authors>
    <author>Steven Ferraris</author>
    <author>ivor</author>
  </authors>
  <commentList>
    <comment ref="F59" authorId="0" shapeId="0">
      <text>
        <r>
          <rPr>
            <b/>
            <sz val="9"/>
            <color indexed="81"/>
            <rFont val="Tahoma"/>
            <family val="2"/>
          </rPr>
          <t>Steven Ferraris:</t>
        </r>
        <r>
          <rPr>
            <sz val="9"/>
            <color indexed="81"/>
            <rFont val="Tahoma"/>
            <family val="2"/>
          </rPr>
          <t xml:space="preserve">
50ms (increments of 500us)
</t>
        </r>
      </text>
    </comment>
    <comment ref="O107" authorId="1" shapeId="0">
      <text>
        <r>
          <rPr>
            <b/>
            <sz val="9"/>
            <color indexed="81"/>
            <rFont val="Tahoma"/>
            <family val="2"/>
          </rPr>
          <t>ivor:</t>
        </r>
        <r>
          <rPr>
            <sz val="9"/>
            <color indexed="81"/>
            <rFont val="Tahoma"/>
            <family val="2"/>
          </rPr>
          <t xml:space="preserve">
Was:
=(10.5+195*H43)*H44</t>
        </r>
      </text>
    </comment>
    <comment ref="U107" authorId="1" shapeId="0">
      <text>
        <r>
          <rPr>
            <b/>
            <sz val="9"/>
            <color indexed="81"/>
            <rFont val="Tahoma"/>
            <family val="2"/>
          </rPr>
          <t>ivor:</t>
        </r>
        <r>
          <rPr>
            <sz val="9"/>
            <color indexed="81"/>
            <rFont val="Tahoma"/>
            <family val="2"/>
          </rPr>
          <t xml:space="preserve">
Was:
=(10.5+195*H43)*H44</t>
        </r>
      </text>
    </comment>
  </commentList>
</comments>
</file>

<file path=xl/comments2.xml><?xml version="1.0" encoding="utf-8"?>
<comments xmlns="http://schemas.openxmlformats.org/spreadsheetml/2006/main">
  <authors>
    <author>Steven Ferraris</author>
  </authors>
  <commentList>
    <comment ref="K8" authorId="0" shapeId="0">
      <text>
        <r>
          <rPr>
            <b/>
            <sz val="9"/>
            <color indexed="81"/>
            <rFont val="Tahoma"/>
            <family val="2"/>
          </rPr>
          <t>Steven Ferraris:</t>
        </r>
        <r>
          <rPr>
            <sz val="9"/>
            <color indexed="81"/>
            <rFont val="Tahoma"/>
            <family val="2"/>
          </rPr>
          <t xml:space="preserve">
Use the configured address from reg 4 instead of detected address from the pins
</t>
        </r>
      </text>
    </comment>
  </commentList>
</comments>
</file>

<file path=xl/sharedStrings.xml><?xml version="1.0" encoding="utf-8"?>
<sst xmlns="http://schemas.openxmlformats.org/spreadsheetml/2006/main" count="2181" uniqueCount="704">
  <si>
    <t>Registers</t>
  </si>
  <si>
    <t>Read/Write</t>
  </si>
  <si>
    <t>Read</t>
  </si>
  <si>
    <t>Default</t>
  </si>
  <si>
    <t>D0</t>
  </si>
  <si>
    <t>D1</t>
  </si>
  <si>
    <t>D13</t>
  </si>
  <si>
    <t>D12</t>
  </si>
  <si>
    <t>D11</t>
  </si>
  <si>
    <t>D10</t>
  </si>
  <si>
    <t>D9</t>
  </si>
  <si>
    <t>D8</t>
  </si>
  <si>
    <t>D7</t>
  </si>
  <si>
    <t>D6</t>
  </si>
  <si>
    <t>D5</t>
  </si>
  <si>
    <t>D4</t>
  </si>
  <si>
    <t>D3</t>
  </si>
  <si>
    <t>D2</t>
  </si>
  <si>
    <t>D14</t>
  </si>
  <si>
    <t>D15</t>
  </si>
  <si>
    <t>Register deifnitions</t>
  </si>
  <si>
    <t>Add</t>
  </si>
  <si>
    <t>reg_err_inj_data</t>
  </si>
  <si>
    <t>reg_status</t>
  </si>
  <si>
    <t>reg_intr_mask</t>
  </si>
  <si>
    <t xml:space="preserve">Notes: </t>
  </si>
  <si>
    <t>Each subaddress message can contain 32 bytes of data.</t>
  </si>
  <si>
    <t>There can be 30 sub addresses (when terminal bit not used)</t>
  </si>
  <si>
    <t>Total RAM words</t>
  </si>
  <si>
    <t>Addr</t>
  </si>
  <si>
    <t>Description</t>
  </si>
  <si>
    <t>Hex</t>
  </si>
  <si>
    <t>Subaddr 1</t>
  </si>
  <si>
    <t>Subaddr 2</t>
  </si>
  <si>
    <t>Subaddr 3</t>
  </si>
  <si>
    <t>start</t>
  </si>
  <si>
    <t>End</t>
  </si>
  <si>
    <t>Test Data</t>
  </si>
  <si>
    <t>CmdProc0</t>
  </si>
  <si>
    <t>CmdProc1</t>
  </si>
  <si>
    <t>CmdProc2</t>
  </si>
  <si>
    <t>CmdProc3</t>
  </si>
  <si>
    <t>CmdProc4</t>
  </si>
  <si>
    <t>CmdProc5</t>
  </si>
  <si>
    <t>CmdProc6</t>
  </si>
  <si>
    <t>CmdProc7</t>
  </si>
  <si>
    <t>CmdProc8</t>
  </si>
  <si>
    <t>CmdProc9</t>
  </si>
  <si>
    <t>CmdProc10</t>
  </si>
  <si>
    <t>CmdProc11</t>
  </si>
  <si>
    <t>CmdProc12</t>
  </si>
  <si>
    <t>CmdProc13</t>
  </si>
  <si>
    <t>CmdProc14</t>
  </si>
  <si>
    <t>CmdProc15</t>
  </si>
  <si>
    <t>CmdProc16</t>
  </si>
  <si>
    <t>CmdProc17</t>
  </si>
  <si>
    <t>CmdProc18</t>
  </si>
  <si>
    <t>CmdProc19</t>
  </si>
  <si>
    <t>CmdProc20</t>
  </si>
  <si>
    <t>CmdProc21</t>
  </si>
  <si>
    <t>CmdProc22</t>
  </si>
  <si>
    <t>CmdProc23</t>
  </si>
  <si>
    <t>CmdProc24</t>
  </si>
  <si>
    <t>CmdProc25</t>
  </si>
  <si>
    <t>CmdProc26</t>
  </si>
  <si>
    <t>CmdProc27</t>
  </si>
  <si>
    <t>CmdProc28</t>
  </si>
  <si>
    <t>CmdProc29</t>
  </si>
  <si>
    <t>CmdProc30</t>
  </si>
  <si>
    <t>CmdProc31</t>
  </si>
  <si>
    <t>MODEDAT0</t>
  </si>
  <si>
    <t>MODEDAT1</t>
  </si>
  <si>
    <t>MODEDAT2</t>
  </si>
  <si>
    <t>MODEDAT3</t>
  </si>
  <si>
    <t>MODEDAT4</t>
  </si>
  <si>
    <t>MODEDAT5</t>
  </si>
  <si>
    <t>MODEDAT6</t>
  </si>
  <si>
    <t>MODEDAT7</t>
  </si>
  <si>
    <t>MODEDAT8</t>
  </si>
  <si>
    <t>MODEDAT9</t>
  </si>
  <si>
    <t>MODEDAT10</t>
  </si>
  <si>
    <t>MODEDAT11</t>
  </si>
  <si>
    <t>MODEDAT12</t>
  </si>
  <si>
    <t>MODEDAT13</t>
  </si>
  <si>
    <t>MODEDAT14</t>
  </si>
  <si>
    <t>MODEDAT15</t>
  </si>
  <si>
    <t>MODEDAT16</t>
  </si>
  <si>
    <t>MODEDAT17</t>
  </si>
  <si>
    <t>MODEDAT18</t>
  </si>
  <si>
    <t>MODEDAT19</t>
  </si>
  <si>
    <t>MODEDAT20</t>
  </si>
  <si>
    <t>MODEDAT21</t>
  </si>
  <si>
    <t>MODEDAT22</t>
  </si>
  <si>
    <t>MODEDAT23</t>
  </si>
  <si>
    <t>MODEDAT24</t>
  </si>
  <si>
    <t>MODEDAT25</t>
  </si>
  <si>
    <t>MODEDAT26</t>
  </si>
  <si>
    <t>MODEDAT27</t>
  </si>
  <si>
    <t>MODEDAT28</t>
  </si>
  <si>
    <t>MODEDAT29</t>
  </si>
  <si>
    <t>MODEDAT30</t>
  </si>
  <si>
    <t>MODEDAT31</t>
  </si>
  <si>
    <t>B83F</t>
  </si>
  <si>
    <t>BC5F</t>
  </si>
  <si>
    <t>1B87E</t>
  </si>
  <si>
    <t>C87E</t>
  </si>
  <si>
    <t>RT-RT (1)</t>
  </si>
  <si>
    <t>RT-RT (2)</t>
  </si>
  <si>
    <t>RT RX</t>
  </si>
  <si>
    <t>RT TX</t>
  </si>
  <si>
    <t>MODE no data</t>
  </si>
  <si>
    <t>Transmit status</t>
  </si>
  <si>
    <t>Synchronise</t>
  </si>
  <si>
    <t>MODE Tx data</t>
  </si>
  <si>
    <t>Transmit Vector Word</t>
  </si>
  <si>
    <t>MODE Rx Data</t>
  </si>
  <si>
    <t>Selected Tx Shutdown</t>
  </si>
  <si>
    <t>BC02</t>
  </si>
  <si>
    <t>BC01</t>
  </si>
  <si>
    <t>BC10</t>
  </si>
  <si>
    <t>BC14</t>
  </si>
  <si>
    <t>RT2RT</t>
  </si>
  <si>
    <t>SendMessage</t>
  </si>
  <si>
    <t>Start</t>
  </si>
  <si>
    <t>CmdProcRAM</t>
  </si>
  <si>
    <t>SubAddr1</t>
  </si>
  <si>
    <t>MODE Data</t>
  </si>
  <si>
    <t>SubAddr2</t>
  </si>
  <si>
    <t>SubAddr3</t>
  </si>
  <si>
    <t>SubAddr4</t>
  </si>
  <si>
    <t>SubAddr5</t>
  </si>
  <si>
    <t>SubAddr6</t>
  </si>
  <si>
    <t>SubAddr7</t>
  </si>
  <si>
    <t>SubAddr8</t>
  </si>
  <si>
    <t>SubAddr9</t>
  </si>
  <si>
    <t>SubAddr10</t>
  </si>
  <si>
    <t>SubAddr11</t>
  </si>
  <si>
    <t>SubAddr12</t>
  </si>
  <si>
    <t>SubAddr13</t>
  </si>
  <si>
    <t>SubAddr14</t>
  </si>
  <si>
    <t>SubAddr15</t>
  </si>
  <si>
    <t>SubAddr16</t>
  </si>
  <si>
    <t>SubAddr17</t>
  </si>
  <si>
    <t>SubAddr18</t>
  </si>
  <si>
    <t>SubAddr19</t>
  </si>
  <si>
    <t>SubAddr20</t>
  </si>
  <si>
    <t>SubAddr21</t>
  </si>
  <si>
    <t>SubAddr22</t>
  </si>
  <si>
    <t>SubAddr23</t>
  </si>
  <si>
    <t>SubAddr24</t>
  </si>
  <si>
    <t>SubAddr25</t>
  </si>
  <si>
    <t>SubAddr26</t>
  </si>
  <si>
    <t>SubAddr27</t>
  </si>
  <si>
    <t>SubAddr28</t>
  </si>
  <si>
    <t>SubAddr29</t>
  </si>
  <si>
    <t>SubAddr30</t>
  </si>
  <si>
    <t>Tx RAM</t>
  </si>
  <si>
    <t>Rx RAM</t>
  </si>
  <si>
    <t>Not used</t>
  </si>
  <si>
    <t>reg_tmr_1us</t>
  </si>
  <si>
    <t>reg_tmr_GAP</t>
  </si>
  <si>
    <t>reg_tmr_NRP</t>
  </si>
  <si>
    <t>Clock frequency</t>
  </si>
  <si>
    <t>Hz</t>
  </si>
  <si>
    <t>1/f</t>
  </si>
  <si>
    <t>Clock period</t>
  </si>
  <si>
    <t>tmr_NRP</t>
  </si>
  <si>
    <t>4us</t>
  </si>
  <si>
    <t>tmr_GAP</t>
  </si>
  <si>
    <t>tmr_1us</t>
  </si>
  <si>
    <t>1us</t>
  </si>
  <si>
    <t>Dec</t>
  </si>
  <si>
    <t>reg_tmr_REP</t>
  </si>
  <si>
    <t>14us</t>
  </si>
  <si>
    <t>tmr_REP</t>
  </si>
  <si>
    <t>Broadcast</t>
  </si>
  <si>
    <t>BC2RT</t>
  </si>
  <si>
    <t>Rx</t>
  </si>
  <si>
    <t>Word1</t>
  </si>
  <si>
    <t>Word2</t>
  </si>
  <si>
    <t>MODE no DAT</t>
  </si>
  <si>
    <t>Sync</t>
  </si>
  <si>
    <t>MODE RX DAT</t>
  </si>
  <si>
    <t>reg_legal_subaddr1</t>
  </si>
  <si>
    <t>reg_legal_subaddr2</t>
  </si>
  <si>
    <t>reg_tmr_SAF</t>
  </si>
  <si>
    <t>800us</t>
  </si>
  <si>
    <t>tmr_SAF (1us)</t>
  </si>
  <si>
    <t>BrdcstEn</t>
  </si>
  <si>
    <t>NewBCRTTX</t>
  </si>
  <si>
    <t>NewRT2RTRX</t>
  </si>
  <si>
    <t>NewRT2RTTX</t>
  </si>
  <si>
    <t>NewMode</t>
  </si>
  <si>
    <t>NewModeDatRx</t>
  </si>
  <si>
    <t>NewModeDatTx</t>
  </si>
  <si>
    <t>DBC</t>
  </si>
  <si>
    <t>DBC_accepted</t>
  </si>
  <si>
    <t>Synchronize</t>
  </si>
  <si>
    <t>reg_clear_bits</t>
  </si>
  <si>
    <t>InitiateBIT</t>
  </si>
  <si>
    <t>Transmit Status word</t>
  </si>
  <si>
    <t>Initiate BIT</t>
  </si>
  <si>
    <t>Tx2_Off</t>
  </si>
  <si>
    <t>Inhibit T/F</t>
  </si>
  <si>
    <t>reg_tx_control1</t>
  </si>
  <si>
    <t>reg_cmd_proc_start1</t>
  </si>
  <si>
    <t>reg_cmd_proc_length1</t>
  </si>
  <si>
    <t>TxAvail1</t>
  </si>
  <si>
    <t>TxAvail2</t>
  </si>
  <si>
    <t>Tx1_Off</t>
  </si>
  <si>
    <t>OtherTxOff</t>
  </si>
  <si>
    <t>RtAddr4</t>
  </si>
  <si>
    <t>RtAddr3</t>
  </si>
  <si>
    <t>RTAddr2</t>
  </si>
  <si>
    <t>RtAddr1</t>
  </si>
  <si>
    <t>RtAddr0</t>
  </si>
  <si>
    <t>MessageError</t>
  </si>
  <si>
    <t>Instrument</t>
  </si>
  <si>
    <t>ServiceReq</t>
  </si>
  <si>
    <t>Reserved</t>
  </si>
  <si>
    <t>Brdcst Rxes</t>
  </si>
  <si>
    <t>Busy</t>
  </si>
  <si>
    <t>SubSysFlag</t>
  </si>
  <si>
    <t>DBC Acpt</t>
  </si>
  <si>
    <t>TerminalFlag</t>
  </si>
  <si>
    <t>reg_status_rxed1</t>
  </si>
  <si>
    <t>reg_mode_cmd_rxed1</t>
  </si>
  <si>
    <t>reg_mode_data_rxed1</t>
  </si>
  <si>
    <t>Common registers</t>
  </si>
  <si>
    <t>Bus1 Registers</t>
  </si>
  <si>
    <t>Bus2 Registers</t>
  </si>
  <si>
    <t>0000</t>
  </si>
  <si>
    <t>0063</t>
  </si>
  <si>
    <t>reg_24</t>
  </si>
  <si>
    <t>reg_25</t>
  </si>
  <si>
    <t>reg_26</t>
  </si>
  <si>
    <t>reg_27</t>
  </si>
  <si>
    <t>reg_40</t>
  </si>
  <si>
    <t>reg_41</t>
  </si>
  <si>
    <t>reg_42</t>
  </si>
  <si>
    <t>reg_43</t>
  </si>
  <si>
    <t>reg_44</t>
  </si>
  <si>
    <t>reg_45</t>
  </si>
  <si>
    <t>reg_28</t>
  </si>
  <si>
    <t>reg_29</t>
  </si>
  <si>
    <t>018F</t>
  </si>
  <si>
    <t>0577</t>
  </si>
  <si>
    <t>031F</t>
  </si>
  <si>
    <t>FFFF</t>
  </si>
  <si>
    <t>01FF</t>
  </si>
  <si>
    <t>reg_status_rxed2</t>
  </si>
  <si>
    <t>reg_mode_cmd_rxed2</t>
  </si>
  <si>
    <t>reg_mode_data_rxed2</t>
  </si>
  <si>
    <t>reg_rx_cmd2</t>
  </si>
  <si>
    <t>reg_tx_control2</t>
  </si>
  <si>
    <t>reg_cmd_proc_start2</t>
  </si>
  <si>
    <t>reg_cmd_proc_length2</t>
  </si>
  <si>
    <t>Reset Assignment</t>
  </si>
  <si>
    <t>RD command</t>
  </si>
  <si>
    <t>Wr Command</t>
  </si>
  <si>
    <t>reg_gID</t>
  </si>
  <si>
    <t>reg_fw_version</t>
  </si>
  <si>
    <t>Timestamp3 MSB</t>
  </si>
  <si>
    <t>D63</t>
  </si>
  <si>
    <t>D62</t>
  </si>
  <si>
    <t>D61</t>
  </si>
  <si>
    <t>D60</t>
  </si>
  <si>
    <t>D59</t>
  </si>
  <si>
    <t>D58</t>
  </si>
  <si>
    <t>D57</t>
  </si>
  <si>
    <t>D56</t>
  </si>
  <si>
    <t>D55</t>
  </si>
  <si>
    <t>D54</t>
  </si>
  <si>
    <t>D53</t>
  </si>
  <si>
    <t>D52</t>
  </si>
  <si>
    <t>D51</t>
  </si>
  <si>
    <t>D50</t>
  </si>
  <si>
    <t>D49</t>
  </si>
  <si>
    <t>D48</t>
  </si>
  <si>
    <t>Timestamp2</t>
  </si>
  <si>
    <t>D47</t>
  </si>
  <si>
    <t>D46</t>
  </si>
  <si>
    <t>D45</t>
  </si>
  <si>
    <t>D44</t>
  </si>
  <si>
    <t>D43</t>
  </si>
  <si>
    <t>D42</t>
  </si>
  <si>
    <t>D41</t>
  </si>
  <si>
    <t>D40</t>
  </si>
  <si>
    <t>D39</t>
  </si>
  <si>
    <t>D38</t>
  </si>
  <si>
    <t>D37</t>
  </si>
  <si>
    <t>D36</t>
  </si>
  <si>
    <t>D35</t>
  </si>
  <si>
    <t>D34</t>
  </si>
  <si>
    <t>D33</t>
  </si>
  <si>
    <t>D32</t>
  </si>
  <si>
    <t>Timestamp1</t>
  </si>
  <si>
    <t>D31</t>
  </si>
  <si>
    <t>D30</t>
  </si>
  <si>
    <t>D29</t>
  </si>
  <si>
    <t>D28</t>
  </si>
  <si>
    <t>D27</t>
  </si>
  <si>
    <t>D26</t>
  </si>
  <si>
    <t>D25</t>
  </si>
  <si>
    <t>D24</t>
  </si>
  <si>
    <t>D23</t>
  </si>
  <si>
    <t>D22</t>
  </si>
  <si>
    <t>D21</t>
  </si>
  <si>
    <t>D20</t>
  </si>
  <si>
    <t>D19</t>
  </si>
  <si>
    <t>D18</t>
  </si>
  <si>
    <t>D17</t>
  </si>
  <si>
    <t>D16</t>
  </si>
  <si>
    <t>Timestamp0 LSB</t>
  </si>
  <si>
    <t>RT Addr</t>
  </si>
  <si>
    <t>Transmit/Receive</t>
  </si>
  <si>
    <t>SubAddr/Mode</t>
  </si>
  <si>
    <t>DatawordCount/Mode Code</t>
  </si>
  <si>
    <t>Valid 1 byte transmit</t>
  </si>
  <si>
    <t>Valid 1 byte receive</t>
  </si>
  <si>
    <t>Valid mode command, synchronise</t>
  </si>
  <si>
    <t>Valid RT2RT, RT1 to receive and RT2 to send (1)</t>
  </si>
  <si>
    <t>Valid RT2RT, RT1 to receive and RT2 to send (2)</t>
  </si>
  <si>
    <t>reg_bus1_status</t>
  </si>
  <si>
    <t>reg_bus1_mask</t>
  </si>
  <si>
    <t>reg_bus2_status</t>
  </si>
  <si>
    <t>reg_bus2_mask</t>
  </si>
  <si>
    <t>GAP</t>
  </si>
  <si>
    <t>REP</t>
  </si>
  <si>
    <t>NRP</t>
  </si>
  <si>
    <t>SAF</t>
  </si>
  <si>
    <t>StatusRxedFlag</t>
  </si>
  <si>
    <t>TxnRx</t>
  </si>
  <si>
    <t>Mode</t>
  </si>
  <si>
    <t>ModeMSB</t>
  </si>
  <si>
    <t>Dynamic Bus Control</t>
  </si>
  <si>
    <t>Transmit status word</t>
  </si>
  <si>
    <t>Initiate Self test</t>
  </si>
  <si>
    <t>Transmitter shutdown</t>
  </si>
  <si>
    <t>Override transmitter shutdown</t>
  </si>
  <si>
    <t>Inhibit Terminal flag</t>
  </si>
  <si>
    <t>Override inhibit terminal flag</t>
  </si>
  <si>
    <t>Reset Remote Terminal</t>
  </si>
  <si>
    <t>Selected transmitter shutdown</t>
  </si>
  <si>
    <t>Override selected transmitter shutdown</t>
  </si>
  <si>
    <t xml:space="preserve">Transmit service vector </t>
  </si>
  <si>
    <t>Transmit last command</t>
  </si>
  <si>
    <t>Transmit BIT</t>
  </si>
  <si>
    <t>Addressed RT Response</t>
  </si>
  <si>
    <t>Broadcast response</t>
  </si>
  <si>
    <t>Bin</t>
  </si>
  <si>
    <t>Selected Transmitter Shutdown</t>
  </si>
  <si>
    <t>Override Selected Transmitter Shutdown</t>
  </si>
  <si>
    <t>Invalid</t>
  </si>
  <si>
    <t>Transmit Status Word</t>
  </si>
  <si>
    <t>Initiate Self Test</t>
  </si>
  <si>
    <t>Transmitter Shutdown</t>
  </si>
  <si>
    <t>Override Transmitter Shutdown</t>
  </si>
  <si>
    <t>Inhibit Terminal Flag</t>
  </si>
  <si>
    <t>Override Inhibit Terminal Flag</t>
  </si>
  <si>
    <t>Transmit Last Command</t>
  </si>
  <si>
    <t>Transmit BIT word</t>
  </si>
  <si>
    <t>Concat</t>
  </si>
  <si>
    <t>Brdcst</t>
  </si>
  <si>
    <t>reg_legal_rx_mode1</t>
  </si>
  <si>
    <t>reg_legal_rx_mode2</t>
  </si>
  <si>
    <t>reg_legal_tx_mode1</t>
  </si>
  <si>
    <t>reg_legal_tx_mode2</t>
  </si>
  <si>
    <t>reg_legal_brdcst_mode2</t>
  </si>
  <si>
    <t>reg_legal_brdcst_mode1</t>
  </si>
  <si>
    <t>0032</t>
  </si>
  <si>
    <t>000D</t>
  </si>
  <si>
    <t>01FA</t>
  </si>
  <si>
    <t>DataReceived</t>
  </si>
  <si>
    <t>DataReq</t>
  </si>
  <si>
    <t>reg_rt_control</t>
  </si>
  <si>
    <t>BusBusy</t>
  </si>
  <si>
    <t>RTAddrError</t>
  </si>
  <si>
    <t>8000</t>
  </si>
  <si>
    <t>4000</t>
  </si>
  <si>
    <t>2000</t>
  </si>
  <si>
    <t>0001</t>
  </si>
  <si>
    <t>0002</t>
  </si>
  <si>
    <t>ModeCmd</t>
  </si>
  <si>
    <t>Bus1Irq</t>
  </si>
  <si>
    <t>Bus2Irq</t>
  </si>
  <si>
    <t>reg_rt_addr</t>
  </si>
  <si>
    <t>Size</t>
  </si>
  <si>
    <t>0x0040</t>
  </si>
  <si>
    <t>0x03FF</t>
  </si>
  <si>
    <t>0x0400</t>
  </si>
  <si>
    <t>Transmit RAM</t>
  </si>
  <si>
    <t>0x0800</t>
  </si>
  <si>
    <t>Receive RAM</t>
  </si>
  <si>
    <t>0x07FF</t>
  </si>
  <si>
    <t>0x0BFF</t>
  </si>
  <si>
    <t>Function</t>
  </si>
  <si>
    <t>Address</t>
  </si>
  <si>
    <t>reg_rx_cmd1</t>
  </si>
  <si>
    <t>Msg ID</t>
  </si>
  <si>
    <t>0x01</t>
  </si>
  <si>
    <t>HOST2MIL1553</t>
  </si>
  <si>
    <t>Read a Register</t>
  </si>
  <si>
    <t>SOM</t>
  </si>
  <si>
    <t>MSGID</t>
  </si>
  <si>
    <t>LEN</t>
  </si>
  <si>
    <t>BUS</t>
  </si>
  <si>
    <t>0x7E</t>
  </si>
  <si>
    <t>0x02</t>
  </si>
  <si>
    <t>0x03</t>
  </si>
  <si>
    <t>0x11</t>
  </si>
  <si>
    <t>MIL15532HOST</t>
  </si>
  <si>
    <t>0x04</t>
  </si>
  <si>
    <t>0x05</t>
  </si>
  <si>
    <t>Addr to Read</t>
  </si>
  <si>
    <t>Addr Read</t>
  </si>
  <si>
    <t>Data Read</t>
  </si>
  <si>
    <t>EOM</t>
  </si>
  <si>
    <t>0x12</t>
  </si>
  <si>
    <t>Write a Register</t>
  </si>
  <si>
    <t>Reply to Write register</t>
  </si>
  <si>
    <t>Reply to Read register</t>
  </si>
  <si>
    <t>Addr to Write</t>
  </si>
  <si>
    <t>Written Addr</t>
  </si>
  <si>
    <t>Data 2 Write</t>
  </si>
  <si>
    <t>Data Written</t>
  </si>
  <si>
    <t>0x13</t>
  </si>
  <si>
    <t>Buff Addr to Read</t>
  </si>
  <si>
    <t>Buf Addr Read</t>
  </si>
  <si>
    <t>Rd Num Words</t>
  </si>
  <si>
    <t>Dat 0</t>
  </si>
  <si>
    <t>Dat 1</t>
  </si>
  <si>
    <t>Dat 2</t>
  </si>
  <si>
    <t>Dat 3</t>
  </si>
  <si>
    <t>Dat 4</t>
  </si>
  <si>
    <t>Dat 5</t>
  </si>
  <si>
    <t>Dat 6</t>
  </si>
  <si>
    <t>Dat 7</t>
  </si>
  <si>
    <t>Dat 8</t>
  </si>
  <si>
    <t>Dat 9</t>
  </si>
  <si>
    <t>Dat 10</t>
  </si>
  <si>
    <t>Dat 11</t>
  </si>
  <si>
    <t>Dat 12</t>
  </si>
  <si>
    <t>Dat 13</t>
  </si>
  <si>
    <t>Dat 14</t>
  </si>
  <si>
    <t>Dat 15</t>
  </si>
  <si>
    <t>Dat 16</t>
  </si>
  <si>
    <t>Dat 17</t>
  </si>
  <si>
    <t>Dat 18</t>
  </si>
  <si>
    <t>Dat 19</t>
  </si>
  <si>
    <t>Dat 20</t>
  </si>
  <si>
    <t>Dat 21</t>
  </si>
  <si>
    <t>Dat 22</t>
  </si>
  <si>
    <t>Dat 23</t>
  </si>
  <si>
    <t>Dat 24</t>
  </si>
  <si>
    <t>Dat 25</t>
  </si>
  <si>
    <t>Dat 26</t>
  </si>
  <si>
    <t>Dat 27</t>
  </si>
  <si>
    <t>Dat 28</t>
  </si>
  <si>
    <t>Dat 29</t>
  </si>
  <si>
    <t>Dat 30</t>
  </si>
  <si>
    <t>Dat 31</t>
  </si>
  <si>
    <t>DAT0</t>
  </si>
  <si>
    <t>DAT1</t>
  </si>
  <si>
    <t>DAT2</t>
  </si>
  <si>
    <t>DAT3</t>
  </si>
  <si>
    <t>DAT4</t>
  </si>
  <si>
    <t>DAT5</t>
  </si>
  <si>
    <t>DAT6</t>
  </si>
  <si>
    <t>DAT7</t>
  </si>
  <si>
    <t>DAT8</t>
  </si>
  <si>
    <t>DAT9</t>
  </si>
  <si>
    <t>DAT10</t>
  </si>
  <si>
    <t>DAT11</t>
  </si>
  <si>
    <t>DAT12</t>
  </si>
  <si>
    <t>DAT13</t>
  </si>
  <si>
    <t>DAT14</t>
  </si>
  <si>
    <t>DAT15</t>
  </si>
  <si>
    <t>DAT16</t>
  </si>
  <si>
    <t>DAT17</t>
  </si>
  <si>
    <t>DAT18</t>
  </si>
  <si>
    <t>DAT19</t>
  </si>
  <si>
    <t>DAT20</t>
  </si>
  <si>
    <t>DAT21</t>
  </si>
  <si>
    <t>DAT22</t>
  </si>
  <si>
    <t>DAT23</t>
  </si>
  <si>
    <t>DAT24</t>
  </si>
  <si>
    <t>DAT25</t>
  </si>
  <si>
    <t>DAT26</t>
  </si>
  <si>
    <t>DAT27</t>
  </si>
  <si>
    <t>DAT28</t>
  </si>
  <si>
    <t>DAT29</t>
  </si>
  <si>
    <t>DAT30</t>
  </si>
  <si>
    <t>DAT31</t>
  </si>
  <si>
    <t>CHK</t>
  </si>
  <si>
    <t>0x14</t>
  </si>
  <si>
    <t>Write to Transmit Buffer</t>
  </si>
  <si>
    <t>Reply to Write Transmit Buffer</t>
  </si>
  <si>
    <t>Read Receive Buffer</t>
  </si>
  <si>
    <t>Reply to Read Receive Buffer</t>
  </si>
  <si>
    <t>Buf Addr to Write</t>
  </si>
  <si>
    <t>Wr Num Words</t>
  </si>
  <si>
    <t>Buf Addr Written</t>
  </si>
  <si>
    <t>0x15</t>
  </si>
  <si>
    <t>Mode/Addr</t>
  </si>
  <si>
    <t>Stat/Mode/Addr</t>
  </si>
  <si>
    <t>Always written as 0x7E</t>
  </si>
  <si>
    <t>Always written as 0xE7</t>
  </si>
  <si>
    <t>Return the Addr that was read from.</t>
  </si>
  <si>
    <t>Return the addr of the register written</t>
  </si>
  <si>
    <t>Addres of register to read. When bus is 0, the default register address can be used, when 1 or 2, the LSB byte of register can be used to read the register for the relevant bus. Range is from 0x00 to 0x3F. Please note that there are reserved registers in this range.</t>
  </si>
  <si>
    <t>Addres of register to write. When bus is 0, the default register address can be used, when 1 or 2, the LSB byte of register can be used to read the register for the relevant bus. Range is from 0x00 to 0x3F. Please note that there are reserved registers in this range.</t>
  </si>
  <si>
    <t>Transmit Buffers</t>
  </si>
  <si>
    <t>Receive Buffers</t>
  </si>
  <si>
    <t>Address of buffer to read. Refer to MemMap sheet.</t>
  </si>
  <si>
    <t>Returns the buffer address read</t>
  </si>
  <si>
    <t>Returns the buffer address written</t>
  </si>
  <si>
    <t>Address of buffer to write. Refer to MemMap sheet.</t>
  </si>
  <si>
    <t>Returns status and the mode of the converter, the address lines and the enables for unsolicted message for certain events</t>
  </si>
  <si>
    <t>Sets the mode of the converter, the address lines and the enables for unsolicted message for certain events</t>
  </si>
  <si>
    <t>MODE/ADDR</t>
  </si>
  <si>
    <t>Bit0</t>
  </si>
  <si>
    <t>Bit1</t>
  </si>
  <si>
    <t>Bit2</t>
  </si>
  <si>
    <t>Bit3</t>
  </si>
  <si>
    <t>Bit4</t>
  </si>
  <si>
    <t>Bit5</t>
  </si>
  <si>
    <t>Bit6</t>
  </si>
  <si>
    <t>Bit7</t>
  </si>
  <si>
    <t>Bit9</t>
  </si>
  <si>
    <t>Bit11</t>
  </si>
  <si>
    <t>Bit13</t>
  </si>
  <si>
    <t>Bit14</t>
  </si>
  <si>
    <t>Bit15</t>
  </si>
  <si>
    <t>MON</t>
  </si>
  <si>
    <t>RT</t>
  </si>
  <si>
    <t>BC</t>
  </si>
  <si>
    <t>RX MSG</t>
  </si>
  <si>
    <t>TX EMPTY</t>
  </si>
  <si>
    <t>INT</t>
  </si>
  <si>
    <t>PAR</t>
  </si>
  <si>
    <t>ADR0</t>
  </si>
  <si>
    <t>ADR3</t>
  </si>
  <si>
    <t>ADR2</t>
  </si>
  <si>
    <t>ADR1</t>
  </si>
  <si>
    <t>ADR4</t>
  </si>
  <si>
    <t>REL</t>
  </si>
  <si>
    <t>0 = core general, 1 = core bus 1, 2 = core bus 2, 3 = converter registers</t>
  </si>
  <si>
    <t>reg_8</t>
  </si>
  <si>
    <t>reg_9</t>
  </si>
  <si>
    <t>reg_10</t>
  </si>
  <si>
    <t>reg_11</t>
  </si>
  <si>
    <t>PORT</t>
  </si>
  <si>
    <t>28V1</t>
  </si>
  <si>
    <t>28V2</t>
  </si>
  <si>
    <t>STATUS</t>
  </si>
  <si>
    <t>reg_mode_addr_rd</t>
  </si>
  <si>
    <t>reg_mode_addr_wr</t>
  </si>
  <si>
    <t>reg_cmd_rxed1</t>
  </si>
  <si>
    <t>reg_cmd_rxed2</t>
  </si>
  <si>
    <t>SubAddr0</t>
  </si>
  <si>
    <t>DataLen0</t>
  </si>
  <si>
    <t>DataLen4</t>
  </si>
  <si>
    <t>DataLen3</t>
  </si>
  <si>
    <t>DataLen2</t>
  </si>
  <si>
    <t>DataLen1</t>
  </si>
  <si>
    <t>XOR Checksum of all bytes from MSGID to last data byte. Reset to 0x00 at start of message.</t>
  </si>
  <si>
    <t>SEQ</t>
  </si>
  <si>
    <t>Sequnece number running rom 0 to 255 and wrapping. Separate seqeunce numbers for transmit and receive</t>
  </si>
  <si>
    <t>reg_control</t>
  </si>
  <si>
    <t>FLASHLEDS</t>
  </si>
  <si>
    <t>Discrete outputs</t>
  </si>
  <si>
    <t>LED1 (when FLASHLEDS in reg_control=1)</t>
  </si>
  <si>
    <t>LED0 (when FLASHLEDS in reg_control=1)</t>
  </si>
  <si>
    <t>RT Drive</t>
  </si>
  <si>
    <t>BEEF</t>
  </si>
  <si>
    <t>0100</t>
  </si>
  <si>
    <t>CMD</t>
  </si>
  <si>
    <t>TIMESTAMP</t>
  </si>
  <si>
    <t>Write a MIL1553 Register</t>
  </si>
  <si>
    <t>Reply to Write MIL1553 register</t>
  </si>
  <si>
    <t>Length of bytes, from SEQ to CHK excluding EOM</t>
  </si>
  <si>
    <t>Message ID, MSB Nibble indicates direction 0 is to Converter, 1 is from converter</t>
  </si>
  <si>
    <t>Computer unix time when sending message, Converter does not use it. Converter timestamp on return message</t>
  </si>
  <si>
    <t>NUMWORDS</t>
  </si>
  <si>
    <t>Number of data words to follow. When register write this is set to 0</t>
  </si>
  <si>
    <t>REG ADDR</t>
  </si>
  <si>
    <t>REG VALUE</t>
  </si>
  <si>
    <t>Register address when writing to a registers</t>
  </si>
  <si>
    <t>Register value when writing to a register</t>
  </si>
  <si>
    <t>0/1/2/3</t>
  </si>
  <si>
    <t>1/2</t>
  </si>
  <si>
    <t>CMD/STAT</t>
  </si>
  <si>
    <t>0-255</t>
  </si>
  <si>
    <t>64bit time</t>
  </si>
  <si>
    <t>18 &gt;&gt;</t>
  </si>
  <si>
    <t>18&gt;&gt;</t>
  </si>
  <si>
    <t>Timestamp3_MSB</t>
  </si>
  <si>
    <t>Timestamp0_LSB</t>
  </si>
  <si>
    <t>0x0000</t>
  </si>
  <si>
    <t>0xBEEF</t>
  </si>
  <si>
    <t>0x0100</t>
  </si>
  <si>
    <t xml:space="preserve">, </t>
  </si>
  <si>
    <t>", "</t>
  </si>
  <si>
    <t>};</t>
  </si>
  <si>
    <t>"};</t>
  </si>
  <si>
    <t>uint16_t wDefaultValues[16] = {</t>
  </si>
  <si>
    <t>0x0063</t>
  </si>
  <si>
    <t>0x018F</t>
  </si>
  <si>
    <t>0x0577</t>
  </si>
  <si>
    <t>0x195</t>
  </si>
  <si>
    <t>0x031F</t>
  </si>
  <si>
    <t>0xFFFF</t>
  </si>
  <si>
    <t>0x0032</t>
  </si>
  <si>
    <t>0x01FF</t>
  </si>
  <si>
    <t>0x000D</t>
  </si>
  <si>
    <t>0x01FA</t>
  </si>
  <si>
    <t>0x8000</t>
  </si>
  <si>
    <t>0x0001</t>
  </si>
  <si>
    <t>reserved1</t>
  </si>
  <si>
    <t>reserved2</t>
  </si>
  <si>
    <t>reserved3</t>
  </si>
  <si>
    <t>reserved4</t>
  </si>
  <si>
    <t>reserved5</t>
  </si>
  <si>
    <t>reserved6</t>
  </si>
  <si>
    <t>reserved7</t>
  </si>
  <si>
    <t>QString qsNames[16] = {"</t>
  </si>
  <si>
    <t>Rst Uart1</t>
  </si>
  <si>
    <t>RstUart2</t>
  </si>
  <si>
    <t>RstConv</t>
  </si>
  <si>
    <t>RstMil1553</t>
  </si>
  <si>
    <t>reg_sw_verison</t>
  </si>
  <si>
    <t>UseConfigAddr</t>
  </si>
  <si>
    <t>reg_repeat_rate</t>
  </si>
  <si>
    <t>ActiveBus</t>
  </si>
  <si>
    <t>TEST 1</t>
  </si>
  <si>
    <t>UUT/RT</t>
  </si>
  <si>
    <t>Converter Software Version</t>
  </si>
  <si>
    <t>Converter Firmware version</t>
  </si>
  <si>
    <t>UART1 Firmware Version</t>
  </si>
  <si>
    <t>UART2 Firmware Version</t>
  </si>
  <si>
    <t>MIL1553 Core Firmware Version</t>
  </si>
  <si>
    <t>Expected</t>
  </si>
  <si>
    <t>Received</t>
  </si>
  <si>
    <t>N/A</t>
  </si>
  <si>
    <t>UUT</t>
  </si>
  <si>
    <t>TEST 2</t>
  </si>
  <si>
    <t>Pass/Fail</t>
  </si>
  <si>
    <t>ADDR = 00000</t>
  </si>
  <si>
    <t>00000</t>
  </si>
  <si>
    <t>Parity on BC</t>
  </si>
  <si>
    <t>1</t>
  </si>
  <si>
    <t>Address on RT</t>
  </si>
  <si>
    <t>Parity on RT</t>
  </si>
  <si>
    <t>ADDR = 11111</t>
  </si>
  <si>
    <t>11111</t>
  </si>
  <si>
    <t>0</t>
  </si>
  <si>
    <t>ADDR = 10101</t>
  </si>
  <si>
    <t>10101</t>
  </si>
  <si>
    <t>ADDR = 01010</t>
  </si>
  <si>
    <t>01010</t>
  </si>
  <si>
    <t>Address on BC</t>
  </si>
  <si>
    <t>One</t>
  </si>
  <si>
    <t>Zero</t>
  </si>
  <si>
    <t>Sync Cmd</t>
  </si>
  <si>
    <t>Sync Data</t>
  </si>
  <si>
    <t>1st</t>
  </si>
  <si>
    <t>2nd</t>
  </si>
  <si>
    <t>total</t>
  </si>
  <si>
    <t>low</t>
  </si>
  <si>
    <t>high</t>
  </si>
  <si>
    <t>DATA</t>
  </si>
  <si>
    <t>reg_bus1_ParityErr</t>
  </si>
  <si>
    <t>reg_bus1_LateEdgeErr</t>
  </si>
  <si>
    <t>reg_bus1_EarlyEdgeErr</t>
  </si>
  <si>
    <t>reg_bus1_CmdSyncErr</t>
  </si>
  <si>
    <t>reg_bus1_DatSyncErr</t>
  </si>
  <si>
    <t>reg_bus2_DatSyncErr</t>
  </si>
  <si>
    <t>reg_bus2_CmdSyncErr</t>
  </si>
  <si>
    <t>reg_bus2_EarlyEdgeErr</t>
  </si>
  <si>
    <t>reg_bus2_LateEdgeErr</t>
  </si>
  <si>
    <t>reg_bus2_ParityErr</t>
  </si>
  <si>
    <t>reg_wrap_subaddr</t>
  </si>
  <si>
    <t>DbcEn</t>
  </si>
  <si>
    <t>UseBcRepeat</t>
  </si>
  <si>
    <t>BcRepeatStop</t>
  </si>
  <si>
    <t>BcRepeatStart</t>
  </si>
  <si>
    <t>EnableHwDataWrap</t>
  </si>
  <si>
    <t>RstCore2</t>
  </si>
  <si>
    <t>RstCore1</t>
  </si>
  <si>
    <t>0800</t>
  </si>
  <si>
    <t>0400</t>
  </si>
  <si>
    <t>0200</t>
  </si>
  <si>
    <t>reg_sw_version</t>
  </si>
  <si>
    <t>Len for numb Data words</t>
  </si>
  <si>
    <t>Words:</t>
  </si>
  <si>
    <t>Total</t>
  </si>
  <si>
    <t>WORD</t>
  </si>
  <si>
    <t>END</t>
  </si>
  <si>
    <t>reg_rt_vectorword</t>
  </si>
  <si>
    <t>reg_rt_bit</t>
  </si>
  <si>
    <t>Use reg vector word</t>
  </si>
  <si>
    <t>Use reg BIT</t>
  </si>
  <si>
    <t>IS 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</si>
</sst>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0.00000000"/>
    <numFmt numFmtId="166" formatCode="0.0000000"/>
    <numFmt numFmtId="167" formatCode="_(* #,##0.0000000_);_(* \(#,##0.0000000\);_(* &quot;-&quot;??_);_(@_)"/>
    <numFmt numFmtId="168" formatCode="0.0000000000"/>
  </numFmts>
  <fonts count="15" x14ac:knownFonts="1">
    <font>
      <sz val="11"/>
      <color theme="1"/>
      <name val="Calibri"/>
      <family val="2"/>
      <scheme val="minor"/>
    </font>
    <font>
      <sz val="8"/>
      <name val="Calibri"/>
      <family val="2"/>
      <scheme val="minor"/>
    </font>
    <font>
      <sz val="11"/>
      <color rgb="FF006100"/>
      <name val="Calibri"/>
      <family val="2"/>
      <scheme val="minor"/>
    </font>
    <font>
      <sz val="11"/>
      <color theme="1"/>
      <name val="Calibri"/>
      <family val="2"/>
      <scheme val="minor"/>
    </font>
    <font>
      <sz val="9"/>
      <color indexed="81"/>
      <name val="Tahoma"/>
      <family val="2"/>
    </font>
    <font>
      <b/>
      <sz val="9"/>
      <color indexed="81"/>
      <name val="Tahoma"/>
      <family val="2"/>
    </font>
    <font>
      <sz val="11"/>
      <color rgb="FF9C0006"/>
      <name val="Calibri"/>
      <family val="2"/>
      <scheme val="minor"/>
    </font>
    <font>
      <b/>
      <sz val="11"/>
      <name val="Calibri"/>
      <family val="2"/>
      <scheme val="minor"/>
    </font>
    <font>
      <sz val="11"/>
      <name val="Calibri"/>
      <family val="2"/>
      <scheme val="minor"/>
    </font>
    <font>
      <b/>
      <u/>
      <sz val="11"/>
      <name val="Calibri"/>
      <family val="2"/>
      <scheme val="minor"/>
    </font>
    <font>
      <sz val="10"/>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sz val="11"/>
      <color rgb="FFFF0000"/>
      <name val="Calibri"/>
      <family val="2"/>
      <scheme val="minor"/>
    </font>
  </fonts>
  <fills count="20">
    <fill>
      <patternFill patternType="none"/>
    </fill>
    <fill>
      <patternFill patternType="gray125"/>
    </fill>
    <fill>
      <patternFill patternType="solid">
        <fgColor rgb="FFC6EFCE"/>
      </patternFill>
    </fill>
    <fill>
      <patternFill patternType="solid">
        <fgColor rgb="FFFFC7CE"/>
      </patternFill>
    </fill>
    <fill>
      <patternFill patternType="solid">
        <fgColor theme="4" tint="0.5999938962981048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4" tint="-0.249977111117893"/>
        <bgColor indexed="64"/>
      </patternFill>
    </fill>
    <fill>
      <patternFill patternType="solid">
        <fgColor theme="5" tint="-0.249977111117893"/>
        <bgColor indexed="64"/>
      </patternFill>
    </fill>
    <fill>
      <patternFill patternType="solid">
        <fgColor theme="1"/>
        <bgColor indexed="64"/>
      </patternFill>
    </fill>
    <fill>
      <patternFill patternType="solid">
        <fgColor rgb="FFFFFF00"/>
        <bgColor indexed="64"/>
      </patternFill>
    </fill>
    <fill>
      <patternFill patternType="solid">
        <fgColor rgb="FF7030A0"/>
        <bgColor indexed="64"/>
      </patternFill>
    </fill>
    <fill>
      <patternFill patternType="solid">
        <fgColor rgb="FF00B0F0"/>
        <bgColor indexed="64"/>
      </patternFill>
    </fill>
  </fills>
  <borders count="48">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0" fontId="2" fillId="2" borderId="0" applyNumberFormat="0" applyBorder="0" applyAlignment="0" applyProtection="0"/>
    <xf numFmtId="164" fontId="3" fillId="0" borderId="0" applyFont="0" applyFill="0" applyBorder="0" applyAlignment="0" applyProtection="0"/>
    <xf numFmtId="0" fontId="6" fillId="3" borderId="0" applyNumberFormat="0" applyBorder="0" applyAlignment="0" applyProtection="0"/>
  </cellStyleXfs>
  <cellXfs count="303">
    <xf numFmtId="0" fontId="0" fillId="0" borderId="0" xfId="0"/>
    <xf numFmtId="0" fontId="2" fillId="2" borderId="8" xfId="1" applyBorder="1"/>
    <xf numFmtId="0" fontId="2" fillId="2" borderId="0" xfId="1" applyBorder="1"/>
    <xf numFmtId="0" fontId="0" fillId="4" borderId="9" xfId="0" applyFill="1" applyBorder="1"/>
    <xf numFmtId="0" fontId="0" fillId="4" borderId="7" xfId="0" applyFill="1" applyBorder="1"/>
    <xf numFmtId="0" fontId="0" fillId="4" borderId="8" xfId="0" applyFill="1" applyBorder="1"/>
    <xf numFmtId="0" fontId="0" fillId="4" borderId="2" xfId="0" applyFill="1" applyBorder="1"/>
    <xf numFmtId="0" fontId="0" fillId="4" borderId="1" xfId="0" applyFill="1" applyBorder="1"/>
    <xf numFmtId="0" fontId="0" fillId="4" borderId="0" xfId="0" applyFill="1" applyBorder="1"/>
    <xf numFmtId="0" fontId="0" fillId="5" borderId="7" xfId="0" applyFill="1" applyBorder="1"/>
    <xf numFmtId="0" fontId="0" fillId="5" borderId="8" xfId="0" applyFill="1" applyBorder="1"/>
    <xf numFmtId="0" fontId="0" fillId="5" borderId="9" xfId="0" applyFill="1" applyBorder="1"/>
    <xf numFmtId="0" fontId="0" fillId="5" borderId="1" xfId="0" applyFill="1" applyBorder="1"/>
    <xf numFmtId="0" fontId="0" fillId="5" borderId="0" xfId="0" applyFill="1" applyBorder="1"/>
    <xf numFmtId="0" fontId="0" fillId="5" borderId="2" xfId="0" applyFill="1" applyBorder="1"/>
    <xf numFmtId="0" fontId="0" fillId="6" borderId="8" xfId="0" applyFill="1" applyBorder="1"/>
    <xf numFmtId="0" fontId="0" fillId="6" borderId="9" xfId="0" applyFill="1" applyBorder="1"/>
    <xf numFmtId="0" fontId="0" fillId="6" borderId="7" xfId="0" applyFill="1" applyBorder="1"/>
    <xf numFmtId="0" fontId="0" fillId="6" borderId="0" xfId="0" applyFill="1" applyBorder="1"/>
    <xf numFmtId="0" fontId="0" fillId="6" borderId="2" xfId="0" applyFill="1" applyBorder="1"/>
    <xf numFmtId="0" fontId="0" fillId="6" borderId="1" xfId="0" applyFill="1" applyBorder="1"/>
    <xf numFmtId="0" fontId="0" fillId="7" borderId="10" xfId="0" applyFill="1" applyBorder="1"/>
    <xf numFmtId="0" fontId="0" fillId="7" borderId="11" xfId="0" applyFill="1" applyBorder="1"/>
    <xf numFmtId="0" fontId="8" fillId="0" borderId="3" xfId="1" applyFont="1" applyFill="1" applyBorder="1" applyAlignment="1">
      <alignment horizontal="center"/>
    </xf>
    <xf numFmtId="0" fontId="8" fillId="0" borderId="3" xfId="0" applyFont="1" applyFill="1" applyBorder="1" applyAlignment="1">
      <alignment horizontal="center"/>
    </xf>
    <xf numFmtId="0" fontId="7" fillId="0" borderId="3" xfId="0" applyFont="1" applyFill="1" applyBorder="1" applyAlignment="1">
      <alignment horizontal="center"/>
    </xf>
    <xf numFmtId="0" fontId="8" fillId="0" borderId="3" xfId="0" applyFont="1" applyFill="1" applyBorder="1" applyAlignment="1">
      <alignment horizontal="left"/>
    </xf>
    <xf numFmtId="0" fontId="8" fillId="0" borderId="3" xfId="0" applyFont="1" applyFill="1" applyBorder="1"/>
    <xf numFmtId="0" fontId="9" fillId="0" borderId="3" xfId="0" applyFont="1" applyFill="1" applyBorder="1" applyAlignment="1"/>
    <xf numFmtId="0" fontId="7" fillId="0" borderId="3" xfId="0" applyFont="1" applyFill="1" applyBorder="1" applyAlignment="1"/>
    <xf numFmtId="0" fontId="1" fillId="0" borderId="3" xfId="0" applyFont="1" applyFill="1" applyBorder="1" applyAlignment="1">
      <alignment horizontal="center"/>
    </xf>
    <xf numFmtId="0" fontId="8" fillId="0" borderId="3" xfId="0" applyFont="1" applyFill="1" applyBorder="1" applyAlignment="1">
      <alignment horizontal="center" vertical="center"/>
    </xf>
    <xf numFmtId="0" fontId="7" fillId="0" borderId="3" xfId="0" applyFont="1" applyFill="1" applyBorder="1" applyAlignment="1">
      <alignment horizontal="center" wrapText="1"/>
    </xf>
    <xf numFmtId="0" fontId="7" fillId="0" borderId="3" xfId="0" applyFont="1" applyFill="1" applyBorder="1"/>
    <xf numFmtId="0" fontId="8" fillId="0" borderId="3" xfId="0" applyFont="1" applyFill="1" applyBorder="1" applyAlignment="1">
      <alignment horizontal="right"/>
    </xf>
    <xf numFmtId="167" fontId="8" fillId="0" borderId="3" xfId="2" applyNumberFormat="1" applyFont="1" applyFill="1" applyBorder="1" applyAlignment="1">
      <alignment horizontal="left"/>
    </xf>
    <xf numFmtId="166" fontId="8" fillId="0" borderId="3" xfId="0" applyNumberFormat="1" applyFont="1" applyFill="1" applyBorder="1" applyAlignment="1">
      <alignment horizontal="center"/>
    </xf>
    <xf numFmtId="168" fontId="8" fillId="0" borderId="3" xfId="0" applyNumberFormat="1" applyFont="1" applyFill="1" applyBorder="1" applyAlignment="1">
      <alignment horizontal="center"/>
    </xf>
    <xf numFmtId="165" fontId="10" fillId="0" borderId="3" xfId="0" applyNumberFormat="1" applyFont="1" applyFill="1" applyBorder="1"/>
    <xf numFmtId="1" fontId="8" fillId="0" borderId="3" xfId="0" applyNumberFormat="1" applyFont="1" applyFill="1" applyBorder="1"/>
    <xf numFmtId="165" fontId="8" fillId="0" borderId="3" xfId="3" applyNumberFormat="1" applyFont="1" applyFill="1" applyBorder="1"/>
    <xf numFmtId="0" fontId="8" fillId="0" borderId="3" xfId="3" applyFont="1" applyFill="1" applyBorder="1" applyAlignment="1">
      <alignment horizontal="center"/>
    </xf>
    <xf numFmtId="168" fontId="8" fillId="0" borderId="3" xfId="1" applyNumberFormat="1" applyFont="1" applyFill="1" applyBorder="1" applyAlignment="1">
      <alignment horizontal="center"/>
    </xf>
    <xf numFmtId="0" fontId="7" fillId="0" borderId="3" xfId="0" applyFont="1" applyFill="1" applyBorder="1" applyAlignment="1">
      <alignment horizontal="center" vertical="center"/>
    </xf>
    <xf numFmtId="0" fontId="8" fillId="0" borderId="3" xfId="0" quotePrefix="1" applyFont="1" applyFill="1" applyBorder="1" applyAlignment="1">
      <alignment horizontal="center" vertical="center"/>
    </xf>
    <xf numFmtId="0" fontId="8" fillId="0" borderId="3" xfId="0" quotePrefix="1" applyFont="1" applyFill="1" applyBorder="1" applyAlignment="1">
      <alignment horizontal="center"/>
    </xf>
    <xf numFmtId="0" fontId="9" fillId="0" borderId="6" xfId="0" applyFont="1" applyFill="1" applyBorder="1" applyAlignment="1"/>
    <xf numFmtId="0" fontId="8" fillId="0" borderId="6" xfId="0" applyFont="1" applyFill="1" applyBorder="1"/>
    <xf numFmtId="0" fontId="8" fillId="0" borderId="4" xfId="0" applyFont="1" applyFill="1" applyBorder="1"/>
    <xf numFmtId="0" fontId="8" fillId="0" borderId="5" xfId="0" quotePrefix="1" applyFont="1" applyFill="1" applyBorder="1" applyAlignment="1">
      <alignment horizontal="center" vertical="center"/>
    </xf>
    <xf numFmtId="0" fontId="8" fillId="0" borderId="5" xfId="0" applyFont="1" applyFill="1" applyBorder="1"/>
    <xf numFmtId="0" fontId="8" fillId="0" borderId="12" xfId="0" applyFont="1" applyFill="1" applyBorder="1"/>
    <xf numFmtId="0" fontId="8" fillId="0" borderId="13" xfId="0" quotePrefix="1" applyFont="1" applyFill="1" applyBorder="1" applyAlignment="1">
      <alignment horizontal="center" vertical="center"/>
    </xf>
    <xf numFmtId="0" fontId="8" fillId="0" borderId="13" xfId="0" applyFont="1" applyFill="1" applyBorder="1"/>
    <xf numFmtId="0" fontId="8" fillId="0" borderId="13" xfId="0" applyFont="1" applyFill="1" applyBorder="1" applyAlignment="1">
      <alignment horizontal="center"/>
    </xf>
    <xf numFmtId="0" fontId="8" fillId="0" borderId="14" xfId="0" applyFont="1" applyFill="1" applyBorder="1"/>
    <xf numFmtId="0" fontId="8" fillId="0" borderId="5" xfId="0" applyFont="1" applyFill="1" applyBorder="1" applyAlignment="1">
      <alignment horizontal="center"/>
    </xf>
    <xf numFmtId="0" fontId="9" fillId="0" borderId="3" xfId="0" applyFont="1" applyFill="1" applyBorder="1" applyAlignment="1">
      <alignment horizontal="center"/>
    </xf>
    <xf numFmtId="0" fontId="8" fillId="0" borderId="13" xfId="0" quotePrefix="1" applyFont="1" applyFill="1" applyBorder="1" applyAlignment="1">
      <alignment horizontal="center"/>
    </xf>
    <xf numFmtId="0" fontId="8" fillId="0" borderId="13" xfId="1" applyFont="1" applyFill="1" applyBorder="1" applyAlignment="1">
      <alignment horizontal="center"/>
    </xf>
    <xf numFmtId="0" fontId="8" fillId="0" borderId="15" xfId="0" applyFont="1" applyFill="1" applyBorder="1"/>
    <xf numFmtId="0" fontId="0" fillId="0" borderId="0" xfId="0" applyAlignment="1">
      <alignment horizontal="center"/>
    </xf>
    <xf numFmtId="0" fontId="0" fillId="7" borderId="0" xfId="0" applyFill="1" applyBorder="1"/>
    <xf numFmtId="0" fontId="0" fillId="8" borderId="1" xfId="0" applyFill="1" applyBorder="1"/>
    <xf numFmtId="0" fontId="0" fillId="8" borderId="0" xfId="0" applyFill="1" applyBorder="1"/>
    <xf numFmtId="0" fontId="0" fillId="8" borderId="2" xfId="0" applyFill="1" applyBorder="1"/>
    <xf numFmtId="0" fontId="0" fillId="8" borderId="7" xfId="0" applyFill="1" applyBorder="1"/>
    <xf numFmtId="0" fontId="0" fillId="8" borderId="8" xfId="0" applyFill="1" applyBorder="1"/>
    <xf numFmtId="0" fontId="0" fillId="8" borderId="9" xfId="0" applyFill="1" applyBorder="1"/>
    <xf numFmtId="0" fontId="0" fillId="9" borderId="8" xfId="0" applyFill="1" applyBorder="1"/>
    <xf numFmtId="0" fontId="0" fillId="9" borderId="0" xfId="0" applyFill="1" applyBorder="1"/>
    <xf numFmtId="0" fontId="0" fillId="9" borderId="19" xfId="0" applyFill="1" applyBorder="1"/>
    <xf numFmtId="0" fontId="0" fillId="6" borderId="17" xfId="0" applyFill="1" applyBorder="1"/>
    <xf numFmtId="0" fontId="0" fillId="6" borderId="19" xfId="0" applyFill="1" applyBorder="1"/>
    <xf numFmtId="0" fontId="0" fillId="6" borderId="18" xfId="0" applyFill="1" applyBorder="1"/>
    <xf numFmtId="0" fontId="11" fillId="0" borderId="20" xfId="0" applyFont="1" applyBorder="1"/>
    <xf numFmtId="0" fontId="11" fillId="0" borderId="21" xfId="0" applyFont="1" applyBorder="1"/>
    <xf numFmtId="0" fontId="11" fillId="0" borderId="21" xfId="0" applyFont="1" applyFill="1" applyBorder="1"/>
    <xf numFmtId="0" fontId="11" fillId="0" borderId="22" xfId="0" applyFont="1" applyFill="1" applyBorder="1"/>
    <xf numFmtId="0" fontId="11" fillId="0" borderId="0" xfId="0" applyFont="1"/>
    <xf numFmtId="0" fontId="11" fillId="0" borderId="0" xfId="0" applyFont="1" applyAlignment="1">
      <alignment horizontal="center"/>
    </xf>
    <xf numFmtId="0" fontId="0" fillId="6" borderId="0" xfId="0" applyFill="1" applyBorder="1" applyAlignment="1">
      <alignment horizontal="center"/>
    </xf>
    <xf numFmtId="0" fontId="0" fillId="6" borderId="0" xfId="0" applyFill="1" applyAlignment="1">
      <alignment horizontal="center"/>
    </xf>
    <xf numFmtId="0" fontId="0" fillId="6" borderId="0" xfId="0" applyFill="1"/>
    <xf numFmtId="0" fontId="0" fillId="8" borderId="7" xfId="0" applyFill="1" applyBorder="1" applyAlignment="1">
      <alignment horizontal="center"/>
    </xf>
    <xf numFmtId="0" fontId="0" fillId="8" borderId="8" xfId="0" applyFill="1" applyBorder="1" applyAlignment="1">
      <alignment horizontal="center"/>
    </xf>
    <xf numFmtId="0" fontId="0" fillId="8" borderId="1" xfId="0" applyFill="1" applyBorder="1" applyAlignment="1">
      <alignment horizontal="center"/>
    </xf>
    <xf numFmtId="0" fontId="0" fillId="8" borderId="0" xfId="0" applyFill="1" applyBorder="1" applyAlignment="1">
      <alignment horizontal="center"/>
    </xf>
    <xf numFmtId="0" fontId="0" fillId="8" borderId="17" xfId="0" applyFill="1" applyBorder="1" applyAlignment="1">
      <alignment horizontal="center"/>
    </xf>
    <xf numFmtId="0" fontId="0" fillId="8" borderId="19" xfId="0" applyFill="1" applyBorder="1" applyAlignment="1">
      <alignment horizontal="center"/>
    </xf>
    <xf numFmtId="0" fontId="0" fillId="8" borderId="19" xfId="0" applyFill="1" applyBorder="1"/>
    <xf numFmtId="0" fontId="0" fillId="9" borderId="7" xfId="0" applyFill="1" applyBorder="1" applyAlignment="1">
      <alignment horizontal="center"/>
    </xf>
    <xf numFmtId="0" fontId="0" fillId="9" borderId="8" xfId="0" applyFill="1" applyBorder="1" applyAlignment="1">
      <alignment horizontal="center"/>
    </xf>
    <xf numFmtId="0" fontId="0" fillId="9" borderId="1" xfId="0" applyFill="1" applyBorder="1" applyAlignment="1">
      <alignment horizontal="center"/>
    </xf>
    <xf numFmtId="0" fontId="0" fillId="9" borderId="0" xfId="0" applyFill="1" applyBorder="1" applyAlignment="1">
      <alignment horizontal="center"/>
    </xf>
    <xf numFmtId="0" fontId="0" fillId="9" borderId="17" xfId="0" applyFill="1" applyBorder="1" applyAlignment="1">
      <alignment horizontal="center"/>
    </xf>
    <xf numFmtId="0" fontId="0" fillId="9" borderId="19" xfId="0" applyFill="1" applyBorder="1" applyAlignment="1">
      <alignment horizontal="center"/>
    </xf>
    <xf numFmtId="0" fontId="0" fillId="6" borderId="7" xfId="0" applyFill="1" applyBorder="1" applyAlignment="1">
      <alignment horizontal="center"/>
    </xf>
    <xf numFmtId="0" fontId="0" fillId="6" borderId="8" xfId="0" applyFill="1" applyBorder="1" applyAlignment="1">
      <alignment horizontal="center"/>
    </xf>
    <xf numFmtId="0" fontId="0" fillId="6" borderId="1" xfId="0" applyFill="1" applyBorder="1" applyAlignment="1">
      <alignment horizontal="center"/>
    </xf>
    <xf numFmtId="0" fontId="0" fillId="6" borderId="17" xfId="0" applyFill="1" applyBorder="1" applyAlignment="1">
      <alignment horizontal="center"/>
    </xf>
    <xf numFmtId="0" fontId="0" fillId="6" borderId="19" xfId="0" applyFill="1" applyBorder="1" applyAlignment="1">
      <alignment horizontal="center"/>
    </xf>
    <xf numFmtId="0" fontId="0" fillId="10" borderId="7" xfId="0" applyFill="1" applyBorder="1" applyAlignment="1">
      <alignment horizontal="center"/>
    </xf>
    <xf numFmtId="0" fontId="0" fillId="10" borderId="8" xfId="0" applyFill="1" applyBorder="1" applyAlignment="1">
      <alignment horizontal="center"/>
    </xf>
    <xf numFmtId="0" fontId="0" fillId="10" borderId="8" xfId="0" applyFill="1" applyBorder="1"/>
    <xf numFmtId="0" fontId="0" fillId="10" borderId="1" xfId="0" applyFill="1" applyBorder="1" applyAlignment="1">
      <alignment horizontal="center"/>
    </xf>
    <xf numFmtId="0" fontId="0" fillId="10" borderId="0" xfId="0" applyFill="1" applyBorder="1" applyAlignment="1">
      <alignment horizontal="center"/>
    </xf>
    <xf numFmtId="0" fontId="0" fillId="10" borderId="0" xfId="0" applyFill="1" applyBorder="1"/>
    <xf numFmtId="0" fontId="0" fillId="10" borderId="17" xfId="0" applyFill="1" applyBorder="1" applyAlignment="1">
      <alignment horizontal="center"/>
    </xf>
    <xf numFmtId="0" fontId="0" fillId="10" borderId="19" xfId="0" applyFill="1" applyBorder="1" applyAlignment="1">
      <alignment horizontal="center"/>
    </xf>
    <xf numFmtId="0" fontId="0" fillId="10" borderId="19" xfId="0" applyFill="1" applyBorder="1"/>
    <xf numFmtId="0" fontId="9" fillId="11" borderId="3" xfId="0" applyFont="1" applyFill="1" applyBorder="1" applyAlignment="1"/>
    <xf numFmtId="0" fontId="7" fillId="11" borderId="3" xfId="0" applyFont="1" applyFill="1" applyBorder="1" applyAlignment="1"/>
    <xf numFmtId="0" fontId="8" fillId="11" borderId="3" xfId="0" applyFont="1" applyFill="1" applyBorder="1" applyAlignment="1">
      <alignment horizontal="center" vertical="center"/>
    </xf>
    <xf numFmtId="0" fontId="7" fillId="11" borderId="3" xfId="0" applyFont="1" applyFill="1" applyBorder="1" applyAlignment="1">
      <alignment horizontal="center" vertical="center"/>
    </xf>
    <xf numFmtId="0" fontId="7" fillId="11" borderId="3" xfId="0" applyFont="1" applyFill="1" applyBorder="1" applyAlignment="1">
      <alignment horizontal="center"/>
    </xf>
    <xf numFmtId="0" fontId="8" fillId="11" borderId="3" xfId="0" applyFont="1" applyFill="1" applyBorder="1" applyAlignment="1">
      <alignment horizontal="center"/>
    </xf>
    <xf numFmtId="0" fontId="8" fillId="0" borderId="3" xfId="0" applyFont="1" applyFill="1" applyBorder="1" applyAlignment="1"/>
    <xf numFmtId="0" fontId="8" fillId="11" borderId="3" xfId="0" applyFont="1" applyFill="1" applyBorder="1" applyAlignment="1"/>
    <xf numFmtId="0" fontId="7" fillId="0" borderId="3" xfId="0" applyFont="1" applyFill="1" applyBorder="1" applyAlignment="1">
      <alignment horizontal="center"/>
    </xf>
    <xf numFmtId="0" fontId="0" fillId="0" borderId="0" xfId="0" applyAlignment="1">
      <alignment horizontal="center"/>
    </xf>
    <xf numFmtId="0" fontId="7" fillId="0" borderId="23" xfId="0" applyFont="1" applyFill="1" applyBorder="1"/>
    <xf numFmtId="0" fontId="7" fillId="0" borderId="24" xfId="0" applyFont="1" applyFill="1" applyBorder="1" applyAlignment="1">
      <alignment horizontal="center" vertical="center"/>
    </xf>
    <xf numFmtId="0" fontId="7" fillId="11" borderId="24" xfId="0" applyFont="1" applyFill="1" applyBorder="1" applyAlignment="1">
      <alignment horizontal="center" vertical="center"/>
    </xf>
    <xf numFmtId="0" fontId="7" fillId="0" borderId="24" xfId="0" applyFont="1" applyFill="1" applyBorder="1"/>
    <xf numFmtId="0" fontId="7" fillId="0" borderId="24" xfId="0" applyFont="1" applyFill="1" applyBorder="1" applyAlignment="1">
      <alignment horizontal="center"/>
    </xf>
    <xf numFmtId="0" fontId="7" fillId="0" borderId="24" xfId="0" applyFont="1" applyFill="1" applyBorder="1" applyAlignment="1"/>
    <xf numFmtId="0" fontId="8" fillId="0" borderId="5" xfId="0" quotePrefix="1" applyFont="1" applyFill="1" applyBorder="1" applyAlignment="1">
      <alignment horizontal="center"/>
    </xf>
    <xf numFmtId="0" fontId="8" fillId="0" borderId="25" xfId="1" applyFont="1" applyFill="1" applyBorder="1" applyAlignment="1">
      <alignment horizontal="center"/>
    </xf>
    <xf numFmtId="0" fontId="8" fillId="0" borderId="26" xfId="1" applyFont="1" applyFill="1" applyBorder="1" applyAlignment="1">
      <alignment horizontal="center"/>
    </xf>
    <xf numFmtId="0" fontId="8" fillId="0" borderId="26" xfId="0" applyFont="1" applyFill="1" applyBorder="1" applyAlignment="1">
      <alignment horizontal="center"/>
    </xf>
    <xf numFmtId="0" fontId="8" fillId="0" borderId="27" xfId="0" quotePrefix="1" applyFont="1" applyFill="1" applyBorder="1" applyAlignment="1">
      <alignment horizontal="center"/>
    </xf>
    <xf numFmtId="0" fontId="8" fillId="0" borderId="16" xfId="0" quotePrefix="1" applyFont="1" applyFill="1" applyBorder="1" applyAlignment="1">
      <alignment horizontal="center"/>
    </xf>
    <xf numFmtId="0" fontId="8" fillId="0" borderId="28" xfId="0" quotePrefix="1" applyFont="1" applyFill="1" applyBorder="1" applyAlignment="1">
      <alignment horizontal="center"/>
    </xf>
    <xf numFmtId="0" fontId="8" fillId="0" borderId="26" xfId="0" applyFont="1" applyFill="1" applyBorder="1"/>
    <xf numFmtId="0" fontId="8" fillId="0" borderId="29" xfId="0" applyFont="1" applyFill="1" applyBorder="1"/>
    <xf numFmtId="0" fontId="8" fillId="11" borderId="30" xfId="0" quotePrefix="1" applyFont="1" applyFill="1" applyBorder="1" applyAlignment="1">
      <alignment horizontal="center" vertical="center"/>
    </xf>
    <xf numFmtId="0" fontId="8" fillId="11" borderId="31" xfId="0" quotePrefix="1" applyFont="1" applyFill="1" applyBorder="1" applyAlignment="1">
      <alignment horizontal="center" vertical="center"/>
    </xf>
    <xf numFmtId="0" fontId="8" fillId="11" borderId="32" xfId="0" quotePrefix="1" applyFont="1" applyFill="1" applyBorder="1" applyAlignment="1">
      <alignment horizontal="center" vertical="center"/>
    </xf>
    <xf numFmtId="0" fontId="8" fillId="0" borderId="25" xfId="0" applyFont="1" applyFill="1" applyBorder="1" applyAlignment="1">
      <alignment horizontal="center"/>
    </xf>
    <xf numFmtId="0" fontId="8" fillId="0" borderId="29" xfId="0" applyFont="1" applyFill="1" applyBorder="1" applyAlignment="1">
      <alignment horizontal="center"/>
    </xf>
    <xf numFmtId="0" fontId="8" fillId="0" borderId="0" xfId="0" quotePrefix="1" applyFont="1" applyFill="1" applyBorder="1" applyAlignment="1">
      <alignment horizontal="left" vertical="center"/>
    </xf>
    <xf numFmtId="0" fontId="6" fillId="3" borderId="13" xfId="3" applyBorder="1" applyAlignment="1">
      <alignment horizontal="center"/>
    </xf>
    <xf numFmtId="0" fontId="6" fillId="3" borderId="3" xfId="3" applyBorder="1" applyAlignment="1">
      <alignment horizontal="center"/>
    </xf>
    <xf numFmtId="0" fontId="0" fillId="0" borderId="0" xfId="0"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16" xfId="0" applyBorder="1"/>
    <xf numFmtId="0" fontId="0" fillId="0" borderId="14" xfId="0" applyBorder="1" applyAlignment="1">
      <alignment horizontal="center"/>
    </xf>
    <xf numFmtId="0" fontId="0" fillId="0" borderId="5" xfId="0" applyBorder="1" applyAlignment="1">
      <alignment horizontal="center"/>
    </xf>
    <xf numFmtId="0" fontId="0" fillId="0" borderId="28" xfId="0" applyBorder="1"/>
    <xf numFmtId="0" fontId="0" fillId="0" borderId="33" xfId="0" applyBorder="1" applyAlignment="1">
      <alignment horizontal="center"/>
    </xf>
    <xf numFmtId="0" fontId="0" fillId="0" borderId="6" xfId="0" applyBorder="1" applyAlignment="1">
      <alignment horizontal="center"/>
    </xf>
    <xf numFmtId="0" fontId="0" fillId="0" borderId="34" xfId="0" applyBorder="1"/>
    <xf numFmtId="0" fontId="11" fillId="0" borderId="35" xfId="0" applyFont="1" applyBorder="1" applyAlignment="1">
      <alignment horizontal="center"/>
    </xf>
    <xf numFmtId="0" fontId="11" fillId="0" borderId="36" xfId="0" applyFont="1" applyBorder="1" applyAlignment="1">
      <alignment horizontal="center"/>
    </xf>
    <xf numFmtId="0" fontId="11" fillId="0" borderId="37" xfId="0" applyFont="1" applyBorder="1"/>
    <xf numFmtId="0" fontId="11" fillId="0" borderId="23" xfId="0" applyFont="1" applyBorder="1" applyAlignment="1">
      <alignment horizontal="center"/>
    </xf>
    <xf numFmtId="0" fontId="11" fillId="0" borderId="24" xfId="0" applyFont="1" applyBorder="1" applyAlignment="1">
      <alignment horizontal="center"/>
    </xf>
    <xf numFmtId="0" fontId="11" fillId="0" borderId="38" xfId="0" applyFont="1" applyBorder="1"/>
    <xf numFmtId="0" fontId="0" fillId="0" borderId="12" xfId="0" applyBorder="1" applyAlignment="1">
      <alignment horizontal="center"/>
    </xf>
    <xf numFmtId="0" fontId="0" fillId="0" borderId="13" xfId="0" applyBorder="1" applyAlignment="1">
      <alignment horizontal="center"/>
    </xf>
    <xf numFmtId="0" fontId="0" fillId="0" borderId="27" xfId="0" applyBorder="1"/>
    <xf numFmtId="0" fontId="7" fillId="0" borderId="3" xfId="0" applyFont="1" applyFill="1" applyBorder="1" applyAlignment="1">
      <alignment horizontal="center"/>
    </xf>
    <xf numFmtId="0" fontId="0" fillId="0" borderId="0" xfId="0" applyAlignment="1">
      <alignment horizontal="center"/>
    </xf>
    <xf numFmtId="0" fontId="0" fillId="0" borderId="0" xfId="0" applyAlignment="1"/>
    <xf numFmtId="0" fontId="7" fillId="0" borderId="35" xfId="0" applyFont="1" applyFill="1" applyBorder="1"/>
    <xf numFmtId="0" fontId="7" fillId="0" borderId="36" xfId="0" applyFont="1" applyFill="1" applyBorder="1" applyAlignment="1">
      <alignment horizontal="center" vertical="center"/>
    </xf>
    <xf numFmtId="0" fontId="7" fillId="11" borderId="36" xfId="0" applyFont="1" applyFill="1" applyBorder="1" applyAlignment="1">
      <alignment horizontal="center" vertical="center"/>
    </xf>
    <xf numFmtId="0" fontId="7" fillId="0" borderId="36" xfId="0" applyFont="1" applyFill="1" applyBorder="1" applyAlignment="1">
      <alignment horizontal="center"/>
    </xf>
    <xf numFmtId="0" fontId="7" fillId="0" borderId="37" xfId="0" applyFont="1" applyFill="1" applyBorder="1"/>
    <xf numFmtId="0" fontId="8" fillId="11" borderId="3" xfId="0" quotePrefix="1" applyFont="1" applyFill="1" applyBorder="1" applyAlignment="1">
      <alignment horizontal="center" vertical="center"/>
    </xf>
    <xf numFmtId="0" fontId="8" fillId="0" borderId="3" xfId="0" quotePrefix="1" applyFont="1" applyFill="1" applyBorder="1" applyAlignment="1">
      <alignment horizontal="left" vertical="center"/>
    </xf>
    <xf numFmtId="0" fontId="8" fillId="11" borderId="13" xfId="0" quotePrefix="1" applyFont="1" applyFill="1" applyBorder="1" applyAlignment="1">
      <alignment horizontal="center" vertical="center"/>
    </xf>
    <xf numFmtId="0" fontId="8" fillId="0" borderId="13" xfId="0" quotePrefix="1" applyFont="1" applyFill="1" applyBorder="1" applyAlignment="1">
      <alignment horizontal="left" vertical="center"/>
    </xf>
    <xf numFmtId="0" fontId="8" fillId="0" borderId="27" xfId="0" applyFont="1" applyFill="1" applyBorder="1"/>
    <xf numFmtId="0" fontId="8" fillId="11" borderId="5" xfId="0" quotePrefix="1" applyFont="1" applyFill="1" applyBorder="1" applyAlignment="1">
      <alignment horizontal="center" vertical="center"/>
    </xf>
    <xf numFmtId="0" fontId="8" fillId="0" borderId="5" xfId="0" quotePrefix="1" applyFont="1" applyFill="1" applyBorder="1" applyAlignment="1">
      <alignment horizontal="left" vertical="center"/>
    </xf>
    <xf numFmtId="0" fontId="8" fillId="0" borderId="28" xfId="0" applyFont="1" applyFill="1" applyBorder="1"/>
    <xf numFmtId="0" fontId="7" fillId="0" borderId="39" xfId="0" applyFont="1" applyFill="1" applyBorder="1"/>
    <xf numFmtId="0" fontId="7" fillId="0" borderId="36" xfId="0" applyFont="1" applyFill="1" applyBorder="1" applyAlignment="1"/>
    <xf numFmtId="0" fontId="7" fillId="0" borderId="37" xfId="0" applyFont="1" applyFill="1" applyBorder="1" applyAlignment="1"/>
    <xf numFmtId="0" fontId="0" fillId="0" borderId="0" xfId="0" applyAlignment="1">
      <alignment horizontal="center"/>
    </xf>
    <xf numFmtId="0" fontId="0" fillId="0" borderId="8" xfId="0" applyBorder="1"/>
    <xf numFmtId="0" fontId="0" fillId="0" borderId="9" xfId="0" applyBorder="1"/>
    <xf numFmtId="0" fontId="0" fillId="0" borderId="1" xfId="0" applyBorder="1"/>
    <xf numFmtId="0" fontId="0" fillId="0" borderId="0" xfId="0" applyBorder="1"/>
    <xf numFmtId="0" fontId="0" fillId="0" borderId="2" xfId="0" applyBorder="1"/>
    <xf numFmtId="0" fontId="0" fillId="0" borderId="17" xfId="0" applyBorder="1"/>
    <xf numFmtId="0" fontId="0" fillId="0" borderId="19" xfId="0" applyBorder="1"/>
    <xf numFmtId="0" fontId="0" fillId="0" borderId="18" xfId="0" applyBorder="1"/>
    <xf numFmtId="0" fontId="9" fillId="0" borderId="7" xfId="0" applyFont="1" applyFill="1" applyBorder="1"/>
    <xf numFmtId="0" fontId="0" fillId="0" borderId="0" xfId="0" applyAlignment="1">
      <alignment horizontal="center"/>
    </xf>
    <xf numFmtId="0" fontId="0" fillId="0" borderId="0" xfId="0" applyAlignment="1">
      <alignment horizontal="center"/>
    </xf>
    <xf numFmtId="0" fontId="6" fillId="3" borderId="0" xfId="3" applyAlignment="1">
      <alignment horizontal="center"/>
    </xf>
    <xf numFmtId="0" fontId="0" fillId="12" borderId="0" xfId="0" applyFill="1" applyAlignment="1">
      <alignment horizontal="center"/>
    </xf>
    <xf numFmtId="0" fontId="0" fillId="13" borderId="0" xfId="0" applyFill="1" applyAlignment="1">
      <alignment horizontal="center"/>
    </xf>
    <xf numFmtId="0" fontId="12" fillId="15" borderId="0" xfId="0" applyFont="1" applyFill="1" applyAlignment="1">
      <alignment horizontal="center"/>
    </xf>
    <xf numFmtId="0" fontId="0" fillId="10" borderId="0" xfId="0" applyFill="1" applyAlignment="1">
      <alignment horizontal="center"/>
    </xf>
    <xf numFmtId="0" fontId="12" fillId="14" borderId="0" xfId="0" applyFont="1" applyFill="1" applyAlignment="1">
      <alignment horizontal="center"/>
    </xf>
    <xf numFmtId="0" fontId="12" fillId="16" borderId="0" xfId="0" applyFont="1" applyFill="1" applyAlignment="1">
      <alignment horizontal="center"/>
    </xf>
    <xf numFmtId="0" fontId="0" fillId="17" borderId="0" xfId="0" applyFill="1" applyAlignment="1">
      <alignment horizontal="center"/>
    </xf>
    <xf numFmtId="0" fontId="12" fillId="18" borderId="0" xfId="0" applyFont="1" applyFill="1" applyAlignment="1">
      <alignment horizontal="center"/>
    </xf>
    <xf numFmtId="16" fontId="12" fillId="18" borderId="0" xfId="0" quotePrefix="1" applyNumberFormat="1" applyFont="1" applyFill="1" applyAlignment="1">
      <alignment horizontal="center"/>
    </xf>
    <xf numFmtId="0" fontId="12" fillId="18" borderId="0" xfId="0" quotePrefix="1" applyFont="1" applyFill="1" applyAlignment="1">
      <alignment horizontal="center"/>
    </xf>
    <xf numFmtId="0" fontId="12" fillId="19" borderId="0" xfId="0" applyFont="1" applyFill="1" applyAlignment="1">
      <alignment horizontal="center"/>
    </xf>
    <xf numFmtId="0" fontId="12" fillId="14" borderId="0" xfId="0" quotePrefix="1" applyFont="1" applyFill="1" applyAlignment="1">
      <alignment horizontal="center"/>
    </xf>
    <xf numFmtId="0" fontId="0" fillId="0" borderId="0" xfId="0" applyAlignment="1">
      <alignment horizontal="center"/>
    </xf>
    <xf numFmtId="0" fontId="0" fillId="0" borderId="0" xfId="0" quotePrefix="1"/>
    <xf numFmtId="0" fontId="8" fillId="0" borderId="0" xfId="0" applyFont="1" applyFill="1" applyBorder="1"/>
    <xf numFmtId="0" fontId="11" fillId="0" borderId="0" xfId="0" quotePrefix="1" applyFont="1"/>
    <xf numFmtId="0" fontId="8" fillId="0" borderId="40" xfId="0" applyFont="1" applyFill="1" applyBorder="1"/>
    <xf numFmtId="0" fontId="8" fillId="11" borderId="3" xfId="0" applyFont="1" applyFill="1" applyBorder="1" applyAlignment="1">
      <alignment horizontal="left" vertical="center"/>
    </xf>
    <xf numFmtId="0" fontId="0" fillId="16" borderId="0" xfId="0" applyFill="1" applyAlignment="1">
      <alignment horizontal="center"/>
    </xf>
    <xf numFmtId="0" fontId="0" fillId="16" borderId="0" xfId="0" applyFill="1"/>
    <xf numFmtId="16" fontId="12" fillId="16" borderId="0" xfId="0" quotePrefix="1" applyNumberFormat="1" applyFont="1" applyFill="1" applyAlignment="1">
      <alignment horizontal="center"/>
    </xf>
    <xf numFmtId="0" fontId="6" fillId="16" borderId="0" xfId="3" applyFill="1" applyAlignment="1">
      <alignment horizontal="center"/>
    </xf>
    <xf numFmtId="0" fontId="12" fillId="16" borderId="0" xfId="0" quotePrefix="1" applyFont="1" applyFill="1" applyAlignment="1">
      <alignment horizontal="center"/>
    </xf>
    <xf numFmtId="0" fontId="7" fillId="0" borderId="3" xfId="0" applyFont="1" applyFill="1" applyBorder="1" applyAlignment="1">
      <alignment horizontal="center"/>
    </xf>
    <xf numFmtId="0" fontId="8" fillId="0" borderId="41" xfId="0" applyFont="1" applyFill="1" applyBorder="1"/>
    <xf numFmtId="0" fontId="8" fillId="0" borderId="42" xfId="0" quotePrefix="1" applyFont="1" applyFill="1" applyBorder="1" applyAlignment="1">
      <alignment horizontal="center" vertical="center"/>
    </xf>
    <xf numFmtId="0" fontId="8" fillId="11" borderId="43" xfId="0" quotePrefix="1" applyFont="1" applyFill="1" applyBorder="1" applyAlignment="1">
      <alignment horizontal="center" vertical="center"/>
    </xf>
    <xf numFmtId="0" fontId="8" fillId="0" borderId="44" xfId="0" applyFont="1" applyFill="1" applyBorder="1" applyAlignment="1">
      <alignment horizontal="center"/>
    </xf>
    <xf numFmtId="0" fontId="8" fillId="0" borderId="42" xfId="0" quotePrefix="1" applyFont="1" applyFill="1" applyBorder="1" applyAlignment="1">
      <alignment horizontal="center"/>
    </xf>
    <xf numFmtId="0" fontId="8" fillId="0" borderId="45" xfId="0" quotePrefix="1" applyFont="1" applyFill="1" applyBorder="1" applyAlignment="1">
      <alignment horizontal="center"/>
    </xf>
    <xf numFmtId="0" fontId="8" fillId="0" borderId="42" xfId="0" applyFont="1" applyFill="1" applyBorder="1" applyAlignment="1">
      <alignment horizontal="center"/>
    </xf>
    <xf numFmtId="0" fontId="8" fillId="0" borderId="24" xfId="0" applyFont="1" applyFill="1" applyBorder="1"/>
    <xf numFmtId="0" fontId="8" fillId="0" borderId="42" xfId="0" applyFont="1" applyFill="1" applyBorder="1"/>
    <xf numFmtId="0" fontId="8" fillId="0" borderId="33" xfId="0" applyFont="1" applyFill="1" applyBorder="1"/>
    <xf numFmtId="0" fontId="8" fillId="0" borderId="6" xfId="0" quotePrefix="1" applyFont="1" applyFill="1" applyBorder="1" applyAlignment="1">
      <alignment horizontal="center" vertical="center"/>
    </xf>
    <xf numFmtId="0" fontId="8" fillId="11" borderId="46" xfId="0" quotePrefix="1" applyFont="1" applyFill="1" applyBorder="1" applyAlignment="1">
      <alignment horizontal="center" vertical="center"/>
    </xf>
    <xf numFmtId="0" fontId="8" fillId="0" borderId="47" xfId="0" applyFont="1" applyFill="1" applyBorder="1" applyAlignment="1">
      <alignment horizontal="center"/>
    </xf>
    <xf numFmtId="0" fontId="8" fillId="0" borderId="6" xfId="0" quotePrefix="1" applyFont="1" applyFill="1" applyBorder="1" applyAlignment="1">
      <alignment horizontal="center"/>
    </xf>
    <xf numFmtId="0" fontId="8" fillId="0" borderId="34" xfId="0" quotePrefix="1" applyFont="1" applyFill="1" applyBorder="1" applyAlignment="1">
      <alignment horizontal="center"/>
    </xf>
    <xf numFmtId="0" fontId="8" fillId="0" borderId="6" xfId="0" applyFont="1" applyFill="1" applyBorder="1" applyAlignment="1">
      <alignment horizontal="center"/>
    </xf>
    <xf numFmtId="0" fontId="8" fillId="0" borderId="8" xfId="0" quotePrefix="1" applyFont="1" applyFill="1" applyBorder="1" applyAlignment="1">
      <alignment horizontal="left" vertical="center"/>
    </xf>
    <xf numFmtId="0" fontId="8" fillId="0" borderId="25" xfId="0" applyFont="1" applyFill="1" applyBorder="1"/>
    <xf numFmtId="0" fontId="8" fillId="0" borderId="19" xfId="0" quotePrefix="1" applyFont="1" applyFill="1" applyBorder="1" applyAlignment="1">
      <alignment horizontal="left" vertical="center"/>
    </xf>
    <xf numFmtId="0" fontId="8" fillId="0" borderId="36" xfId="0" applyFont="1" applyFill="1" applyBorder="1"/>
    <xf numFmtId="0" fontId="8" fillId="17" borderId="3" xfId="0" applyFont="1" applyFill="1" applyBorder="1" applyAlignment="1">
      <alignment horizontal="center"/>
    </xf>
    <xf numFmtId="0" fontId="8" fillId="17" borderId="0" xfId="0" quotePrefix="1" applyFont="1" applyFill="1" applyBorder="1" applyAlignment="1">
      <alignment horizontal="left" vertical="center"/>
    </xf>
    <xf numFmtId="0" fontId="8" fillId="17" borderId="26" xfId="0" applyFont="1" applyFill="1" applyBorder="1" applyAlignment="1">
      <alignment horizontal="center"/>
    </xf>
    <xf numFmtId="0" fontId="0" fillId="0" borderId="0" xfId="0" applyAlignment="1">
      <alignment vertical="center"/>
    </xf>
    <xf numFmtId="0" fontId="0" fillId="0" borderId="3" xfId="0" applyBorder="1" applyAlignment="1">
      <alignment vertical="center"/>
    </xf>
    <xf numFmtId="0" fontId="0" fillId="0" borderId="16" xfId="0" applyBorder="1" applyAlignment="1">
      <alignment vertical="center"/>
    </xf>
    <xf numFmtId="0" fontId="0" fillId="0" borderId="4" xfId="0" applyBorder="1" applyAlignment="1">
      <alignment vertical="center"/>
    </xf>
    <xf numFmtId="0" fontId="0" fillId="0" borderId="14" xfId="0" applyBorder="1" applyAlignment="1">
      <alignment vertical="center"/>
    </xf>
    <xf numFmtId="0" fontId="0" fillId="0" borderId="5" xfId="0" applyBorder="1" applyAlignment="1">
      <alignment vertical="center"/>
    </xf>
    <xf numFmtId="0" fontId="0" fillId="0" borderId="28" xfId="0" applyBorder="1" applyAlignment="1">
      <alignment vertical="center"/>
    </xf>
    <xf numFmtId="0" fontId="0" fillId="0" borderId="6" xfId="0" applyBorder="1" applyAlignment="1">
      <alignment vertical="center"/>
    </xf>
    <xf numFmtId="0" fontId="0" fillId="0" borderId="34" xfId="0" applyBorder="1" applyAlignment="1">
      <alignment vertical="center"/>
    </xf>
    <xf numFmtId="0" fontId="11" fillId="0" borderId="36" xfId="0" applyFont="1" applyBorder="1" applyAlignment="1">
      <alignment vertical="center"/>
    </xf>
    <xf numFmtId="0" fontId="11" fillId="0" borderId="37" xfId="0" applyFont="1" applyBorder="1" applyAlignment="1">
      <alignment vertical="center"/>
    </xf>
    <xf numFmtId="0" fontId="0" fillId="0" borderId="33" xfId="0" applyBorder="1" applyAlignment="1">
      <alignment vertical="center"/>
    </xf>
    <xf numFmtId="0" fontId="11" fillId="0" borderId="3" xfId="0" applyFont="1" applyBorder="1" applyAlignment="1">
      <alignment vertical="center"/>
    </xf>
    <xf numFmtId="0" fontId="0" fillId="0" borderId="0" xfId="0" applyBorder="1" applyAlignment="1">
      <alignment vertical="center"/>
    </xf>
    <xf numFmtId="0" fontId="11" fillId="0" borderId="0" xfId="0" applyFont="1" applyBorder="1" applyAlignment="1">
      <alignment vertical="center"/>
    </xf>
    <xf numFmtId="0" fontId="0" fillId="0" borderId="3" xfId="0" quotePrefix="1" applyBorder="1" applyAlignment="1">
      <alignment vertical="center"/>
    </xf>
    <xf numFmtId="0" fontId="0" fillId="0" borderId="42" xfId="0" applyBorder="1" applyAlignment="1">
      <alignment vertical="center"/>
    </xf>
    <xf numFmtId="0" fontId="0" fillId="0" borderId="42" xfId="0" quotePrefix="1" applyBorder="1" applyAlignment="1">
      <alignment vertical="center"/>
    </xf>
    <xf numFmtId="0" fontId="11" fillId="0" borderId="16" xfId="0" applyFont="1" applyBorder="1" applyAlignment="1">
      <alignment vertical="center"/>
    </xf>
    <xf numFmtId="0" fontId="0" fillId="0" borderId="5" xfId="0" quotePrefix="1" applyBorder="1" applyAlignment="1">
      <alignment vertical="center"/>
    </xf>
    <xf numFmtId="0" fontId="0" fillId="0" borderId="41" xfId="0" applyBorder="1" applyAlignment="1">
      <alignment vertical="center"/>
    </xf>
    <xf numFmtId="0" fontId="0" fillId="0" borderId="45" xfId="0" applyBorder="1" applyAlignment="1">
      <alignment vertical="center"/>
    </xf>
    <xf numFmtId="0" fontId="11" fillId="0" borderId="4" xfId="0" applyFont="1" applyBorder="1" applyAlignment="1">
      <alignment vertical="center"/>
    </xf>
    <xf numFmtId="0" fontId="11" fillId="0" borderId="3" xfId="0" quotePrefix="1" applyFont="1" applyBorder="1" applyAlignment="1">
      <alignment vertical="center"/>
    </xf>
    <xf numFmtId="0" fontId="0" fillId="0" borderId="0" xfId="0" applyAlignment="1">
      <alignment horizontal="center"/>
    </xf>
    <xf numFmtId="0" fontId="8" fillId="17" borderId="4" xfId="0" applyFont="1" applyFill="1" applyBorder="1"/>
    <xf numFmtId="0" fontId="8" fillId="17" borderId="3" xfId="0" quotePrefix="1" applyFont="1" applyFill="1" applyBorder="1" applyAlignment="1">
      <alignment horizontal="center" vertical="center"/>
    </xf>
    <xf numFmtId="0" fontId="8" fillId="17" borderId="31" xfId="0" quotePrefix="1" applyFont="1" applyFill="1" applyBorder="1" applyAlignment="1">
      <alignment horizontal="center" vertical="center"/>
    </xf>
    <xf numFmtId="0" fontId="8" fillId="17" borderId="3" xfId="0" quotePrefix="1" applyFont="1" applyFill="1" applyBorder="1" applyAlignment="1">
      <alignment horizontal="center"/>
    </xf>
    <xf numFmtId="0" fontId="8" fillId="17" borderId="16" xfId="0" quotePrefix="1" applyFont="1" applyFill="1" applyBorder="1" applyAlignment="1">
      <alignment horizontal="center"/>
    </xf>
    <xf numFmtId="0" fontId="8" fillId="17" borderId="26" xfId="0" applyFont="1" applyFill="1" applyBorder="1"/>
    <xf numFmtId="0" fontId="8" fillId="17" borderId="3" xfId="0" applyFont="1" applyFill="1" applyBorder="1"/>
    <xf numFmtId="0" fontId="7" fillId="17" borderId="3" xfId="0" applyFont="1" applyFill="1" applyBorder="1" applyAlignment="1">
      <alignment horizontal="center"/>
    </xf>
    <xf numFmtId="0" fontId="8" fillId="17" borderId="13" xfId="0" applyFont="1" applyFill="1" applyBorder="1"/>
    <xf numFmtId="0" fontId="14" fillId="0" borderId="0" xfId="0" applyFont="1" applyAlignment="1">
      <alignment horizontal="center"/>
    </xf>
    <xf numFmtId="0" fontId="8" fillId="0" borderId="44" xfId="0" applyFont="1" applyFill="1" applyBorder="1"/>
    <xf numFmtId="0" fontId="8" fillId="17" borderId="3" xfId="0" applyFont="1" applyFill="1" applyBorder="1" applyAlignment="1">
      <alignment horizontal="center" wrapText="1"/>
    </xf>
    <xf numFmtId="0" fontId="8" fillId="0" borderId="26" xfId="0" applyFont="1" applyFill="1" applyBorder="1" applyAlignment="1">
      <alignment horizontal="left"/>
    </xf>
    <xf numFmtId="0" fontId="8" fillId="17" borderId="3" xfId="0" applyFont="1" applyFill="1" applyBorder="1" applyAlignment="1">
      <alignment horizontal="left"/>
    </xf>
    <xf numFmtId="0" fontId="8" fillId="17" borderId="3" xfId="0" applyFont="1" applyFill="1" applyBorder="1" applyAlignment="1">
      <alignment horizontal="left" wrapText="1"/>
    </xf>
    <xf numFmtId="0" fontId="0" fillId="16" borderId="0" xfId="0" applyFont="1" applyFill="1" applyAlignment="1">
      <alignment horizontal="center"/>
    </xf>
    <xf numFmtId="0" fontId="9" fillId="0" borderId="6" xfId="0" applyFont="1" applyFill="1" applyBorder="1" applyAlignment="1">
      <alignment horizontal="center"/>
    </xf>
    <xf numFmtId="0" fontId="8" fillId="0" borderId="43" xfId="0" quotePrefix="1" applyFont="1" applyFill="1" applyBorder="1" applyAlignment="1">
      <alignment horizontal="center"/>
    </xf>
    <xf numFmtId="0" fontId="8" fillId="0" borderId="43" xfId="0" quotePrefix="1" applyFont="1" applyFill="1" applyBorder="1" applyAlignment="1">
      <alignment horizontal="center" vertical="center"/>
    </xf>
    <xf numFmtId="0" fontId="7" fillId="0" borderId="3" xfId="0" applyFont="1" applyFill="1" applyBorder="1" applyAlignment="1">
      <alignment horizontal="center"/>
    </xf>
    <xf numFmtId="0" fontId="11" fillId="0" borderId="20" xfId="0" applyFont="1" applyBorder="1" applyAlignment="1">
      <alignment horizontal="center" vertical="center"/>
    </xf>
    <xf numFmtId="0" fontId="11" fillId="0" borderId="21" xfId="0" applyFont="1" applyBorder="1" applyAlignment="1">
      <alignment horizontal="center" vertical="center"/>
    </xf>
    <xf numFmtId="0" fontId="11" fillId="0" borderId="22" xfId="0" applyFont="1" applyBorder="1" applyAlignment="1">
      <alignment horizontal="center" vertical="center"/>
    </xf>
    <xf numFmtId="0" fontId="13" fillId="0" borderId="20" xfId="0" applyFont="1" applyBorder="1" applyAlignment="1">
      <alignment horizontal="center" vertical="center"/>
    </xf>
    <xf numFmtId="0" fontId="13" fillId="0" borderId="21" xfId="0" applyFont="1" applyBorder="1" applyAlignment="1">
      <alignment horizontal="center" vertical="center"/>
    </xf>
    <xf numFmtId="0" fontId="13" fillId="0" borderId="22" xfId="0" applyFont="1" applyBorder="1" applyAlignment="1">
      <alignment horizontal="center" vertical="center"/>
    </xf>
    <xf numFmtId="0" fontId="11" fillId="0" borderId="35" xfId="0" applyFont="1" applyBorder="1" applyAlignment="1">
      <alignment horizontal="center" vertical="center"/>
    </xf>
    <xf numFmtId="0" fontId="11" fillId="0" borderId="36" xfId="0" applyFont="1" applyBorder="1" applyAlignment="1">
      <alignment horizontal="center" vertical="center"/>
    </xf>
    <xf numFmtId="0" fontId="11" fillId="0" borderId="37" xfId="0" applyFont="1" applyBorder="1" applyAlignment="1">
      <alignment horizontal="center" vertical="center"/>
    </xf>
    <xf numFmtId="0" fontId="13" fillId="0" borderId="35" xfId="0" applyFont="1" applyBorder="1" applyAlignment="1">
      <alignment horizontal="center" vertical="center"/>
    </xf>
    <xf numFmtId="0" fontId="13" fillId="0" borderId="36" xfId="0" applyFont="1" applyBorder="1" applyAlignment="1">
      <alignment horizontal="center" vertical="center"/>
    </xf>
    <xf numFmtId="0" fontId="13" fillId="0" borderId="37" xfId="0" applyFont="1" applyBorder="1" applyAlignment="1">
      <alignment horizontal="center" vertical="center"/>
    </xf>
    <xf numFmtId="0" fontId="11" fillId="0" borderId="20" xfId="0" applyFont="1" applyBorder="1" applyAlignment="1">
      <alignment horizontal="center"/>
    </xf>
    <xf numFmtId="0" fontId="11" fillId="0" borderId="22" xfId="0" applyFont="1" applyBorder="1" applyAlignment="1">
      <alignment horizontal="center"/>
    </xf>
    <xf numFmtId="0" fontId="11" fillId="0" borderId="21" xfId="0" applyFont="1" applyBorder="1" applyAlignment="1">
      <alignment horizontal="center"/>
    </xf>
    <xf numFmtId="0" fontId="0" fillId="0" borderId="0" xfId="0" applyAlignment="1">
      <alignment horizontal="center"/>
    </xf>
  </cellXfs>
  <cellStyles count="4">
    <cellStyle name="Bad" xfId="3" builtinId="27"/>
    <cellStyle name="Comma" xfId="2" builtinId="3"/>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A162"/>
  <sheetViews>
    <sheetView tabSelected="1" view="pageBreakPreview" topLeftCell="C16" zoomScale="70" zoomScaleNormal="70" zoomScaleSheetLayoutView="70" workbookViewId="0">
      <selection activeCell="R54" sqref="R54"/>
    </sheetView>
  </sheetViews>
  <sheetFormatPr defaultColWidth="8.85546875" defaultRowHeight="15" x14ac:dyDescent="0.25"/>
  <cols>
    <col min="1" max="1" width="29.85546875" style="27" hidden="1" customWidth="1"/>
    <col min="2" max="2" width="6.42578125" style="31" hidden="1" customWidth="1"/>
    <col min="3" max="3" width="9" style="113" customWidth="1"/>
    <col min="4" max="4" width="32.140625" style="113" bestFit="1" customWidth="1"/>
    <col min="5" max="5" width="14" style="24" customWidth="1"/>
    <col min="6" max="6" width="8.5703125" style="24" customWidth="1"/>
    <col min="7" max="7" width="11.140625" style="24" customWidth="1"/>
    <col min="8" max="8" width="9.7109375" style="24" bestFit="1" customWidth="1"/>
    <col min="9" max="9" width="13.140625" style="24" bestFit="1" customWidth="1"/>
    <col min="10" max="10" width="10.42578125" style="24" bestFit="1" customWidth="1"/>
    <col min="11" max="11" width="15.42578125" style="24" customWidth="1"/>
    <col min="12" max="12" width="20.140625" style="24" bestFit="1" customWidth="1"/>
    <col min="13" max="13" width="22" style="24" bestFit="1" customWidth="1"/>
    <col min="14" max="14" width="15.140625" style="24" bestFit="1" customWidth="1"/>
    <col min="15" max="15" width="14.7109375" style="24" bestFit="1" customWidth="1"/>
    <col min="16" max="16" width="12.7109375" style="24" bestFit="1" customWidth="1"/>
    <col min="17" max="17" width="15.42578125" style="24" bestFit="1" customWidth="1"/>
    <col min="18" max="18" width="15.5703125" style="24" bestFit="1" customWidth="1"/>
    <col min="19" max="19" width="14.7109375" style="24" bestFit="1" customWidth="1"/>
    <col min="20" max="20" width="12.5703125" style="24" bestFit="1" customWidth="1"/>
    <col min="21" max="21" width="12.7109375" style="24" bestFit="1" customWidth="1"/>
    <col min="22" max="22" width="11.7109375" style="24" bestFit="1" customWidth="1"/>
    <col min="23" max="23" width="11.85546875" style="24" bestFit="1" customWidth="1"/>
    <col min="24" max="24" width="63.28515625" style="27" bestFit="1" customWidth="1"/>
    <col min="25" max="25" width="32.140625" style="26" bestFit="1" customWidth="1"/>
    <col min="26" max="26" width="50.5703125" style="27" bestFit="1" customWidth="1"/>
    <col min="27" max="27" width="50.140625" style="27" bestFit="1" customWidth="1"/>
    <col min="28" max="16384" width="8.85546875" style="27"/>
  </cols>
  <sheetData>
    <row r="1" spans="1:27" s="124" customFormat="1" ht="15.75" thickBot="1" x14ac:dyDescent="0.3">
      <c r="A1" s="121" t="s">
        <v>0</v>
      </c>
      <c r="B1" s="122" t="s">
        <v>21</v>
      </c>
      <c r="C1" s="123" t="s">
        <v>397</v>
      </c>
      <c r="D1" s="123"/>
      <c r="E1" s="125" t="s">
        <v>1</v>
      </c>
      <c r="F1" s="125" t="s">
        <v>3</v>
      </c>
      <c r="G1" s="125" t="s">
        <v>3</v>
      </c>
      <c r="H1" s="125">
        <v>15</v>
      </c>
      <c r="I1" s="125">
        <v>14</v>
      </c>
      <c r="J1" s="125">
        <v>13</v>
      </c>
      <c r="K1" s="125">
        <v>12</v>
      </c>
      <c r="L1" s="125">
        <v>11</v>
      </c>
      <c r="M1" s="125">
        <v>10</v>
      </c>
      <c r="N1" s="125">
        <v>9</v>
      </c>
      <c r="O1" s="125">
        <v>8</v>
      </c>
      <c r="P1" s="125">
        <v>7</v>
      </c>
      <c r="Q1" s="125">
        <v>6</v>
      </c>
      <c r="R1" s="125">
        <v>5</v>
      </c>
      <c r="S1" s="125">
        <v>4</v>
      </c>
      <c r="T1" s="125">
        <v>3</v>
      </c>
      <c r="U1" s="125">
        <v>2</v>
      </c>
      <c r="V1" s="125">
        <v>1</v>
      </c>
      <c r="W1" s="125">
        <v>0</v>
      </c>
      <c r="X1" s="124" t="s">
        <v>20</v>
      </c>
      <c r="Y1" s="124" t="s">
        <v>257</v>
      </c>
      <c r="Z1" s="126" t="s">
        <v>258</v>
      </c>
      <c r="AA1" s="126" t="s">
        <v>259</v>
      </c>
    </row>
    <row r="2" spans="1:27" s="53" customFormat="1" ht="15.75" thickBot="1" x14ac:dyDescent="0.3">
      <c r="A2" s="51" t="s">
        <v>23</v>
      </c>
      <c r="B2" s="52">
        <v>0</v>
      </c>
      <c r="C2" s="136" t="str">
        <f>CONCATENATE("0x",DEC2HEX(B2,4))</f>
        <v>0x0000</v>
      </c>
      <c r="D2" s="141" t="str">
        <f>CONCATENATE(A2," (",C2,")")</f>
        <v>reg_status (0x0000)</v>
      </c>
      <c r="E2" s="139" t="s">
        <v>2</v>
      </c>
      <c r="F2" s="58" t="s">
        <v>231</v>
      </c>
      <c r="G2" s="131" t="str">
        <f>CONCATENATE("0x",F2)</f>
        <v>0x0000</v>
      </c>
      <c r="H2" s="128" t="s">
        <v>207</v>
      </c>
      <c r="I2" s="59" t="s">
        <v>208</v>
      </c>
      <c r="J2" s="59" t="s">
        <v>209</v>
      </c>
      <c r="K2" s="59" t="s">
        <v>202</v>
      </c>
      <c r="L2" s="59" t="s">
        <v>203</v>
      </c>
      <c r="M2" s="59" t="s">
        <v>196</v>
      </c>
      <c r="N2" s="59" t="s">
        <v>197</v>
      </c>
      <c r="O2" s="59" t="s">
        <v>199</v>
      </c>
      <c r="P2" s="142" t="s">
        <v>194</v>
      </c>
      <c r="Q2" s="142" t="s">
        <v>193</v>
      </c>
      <c r="R2" s="142" t="s">
        <v>192</v>
      </c>
      <c r="S2" s="142" t="s">
        <v>191</v>
      </c>
      <c r="T2" s="142" t="s">
        <v>190</v>
      </c>
      <c r="U2" s="142" t="s">
        <v>189</v>
      </c>
      <c r="V2" s="142" t="s">
        <v>385</v>
      </c>
      <c r="W2" s="142" t="s">
        <v>384</v>
      </c>
      <c r="X2" s="53" t="str">
        <f>CONCATENATE("const static uint16_t c_Mil1553_w",A2, " = ",C2,";")</f>
        <v>const static uint16_t c_Mil1553_wreg_status = 0x0000;</v>
      </c>
      <c r="Y2" s="53" t="str">
        <f>CONCATENATE(A2," &lt;= X""",F2,""";")</f>
        <v>reg_status &lt;= X"0000";</v>
      </c>
      <c r="Z2" s="53" t="str">
        <f>CONCATENATE("       when X""",C2,""" =&gt; DataOut &lt;= ",A2,";")</f>
        <v xml:space="preserve">       when X"0x0000" =&gt; DataOut &lt;= reg_status;</v>
      </c>
      <c r="AA2" s="53" t="str">
        <f>CONCATENATE("       when X""",C2,""" =&gt;  ",A2," &lt;= DataIn;")</f>
        <v xml:space="preserve">       when X"0x0000" =&gt;  reg_status &lt;= DataIn;</v>
      </c>
    </row>
    <row r="3" spans="1:27" ht="15.75" thickBot="1" x14ac:dyDescent="0.3">
      <c r="A3" s="48" t="s">
        <v>24</v>
      </c>
      <c r="B3" s="44">
        <f>B2+1</f>
        <v>1</v>
      </c>
      <c r="C3" s="137" t="str">
        <f t="shared" ref="C3:C65" si="0">CONCATENATE("0x",DEC2HEX(B3,4))</f>
        <v>0x0001</v>
      </c>
      <c r="D3" s="141" t="str">
        <f t="shared" ref="D3:D60" si="1">CONCATENATE(A3," (",C3,")")</f>
        <v>reg_intr_mask (0x0001)</v>
      </c>
      <c r="E3" s="130" t="s">
        <v>1</v>
      </c>
      <c r="F3" s="45" t="s">
        <v>231</v>
      </c>
      <c r="G3" s="132" t="str">
        <f t="shared" ref="G3:G60" si="2">CONCATENATE("0x",F3)</f>
        <v>0x0000</v>
      </c>
      <c r="H3" s="129" t="s">
        <v>207</v>
      </c>
      <c r="I3" s="23" t="s">
        <v>208</v>
      </c>
      <c r="J3" s="23" t="s">
        <v>209</v>
      </c>
      <c r="K3" s="23" t="s">
        <v>202</v>
      </c>
      <c r="L3" s="23" t="s">
        <v>203</v>
      </c>
      <c r="M3" s="23" t="s">
        <v>196</v>
      </c>
      <c r="N3" s="23" t="s">
        <v>197</v>
      </c>
      <c r="O3" s="23" t="s">
        <v>199</v>
      </c>
      <c r="P3" s="143"/>
      <c r="Q3" s="143"/>
      <c r="R3" s="143"/>
      <c r="S3" s="143"/>
      <c r="T3" s="143"/>
      <c r="U3" s="143"/>
      <c r="V3" s="143" t="s">
        <v>385</v>
      </c>
      <c r="W3" s="143" t="s">
        <v>384</v>
      </c>
      <c r="X3" s="53" t="str">
        <f t="shared" ref="X3:X57" si="3">CONCATENATE("const static uint16_t c_Mil1553_w",A3, " = ",C3,";")</f>
        <v>const static uint16_t c_Mil1553_wreg_intr_mask = 0x0001;</v>
      </c>
      <c r="Y3" s="27" t="str">
        <f t="shared" ref="Y3:Y49" si="4">CONCATENATE(A3," &lt;= X""",F3,""";")</f>
        <v>reg_intr_mask &lt;= X"0000";</v>
      </c>
      <c r="Z3" s="27" t="str">
        <f t="shared" ref="Z3:Z49" si="5">CONCATENATE("       when X""",C3,""" =&gt; DataOut &lt;= ",A3,";")</f>
        <v xml:space="preserve">       when X"0x0001" =&gt; DataOut &lt;= reg_intr_mask;</v>
      </c>
      <c r="AA3" s="27" t="str">
        <f t="shared" ref="AA3:AA49" si="6">CONCATENATE("       when X""",C3,""" =&gt;  ",A3," &lt;= DataIn;")</f>
        <v xml:space="preserve">       when X"0x0001" =&gt;  reg_intr_mask &lt;= DataIn;</v>
      </c>
    </row>
    <row r="4" spans="1:27" ht="15.75" thickBot="1" x14ac:dyDescent="0.3">
      <c r="A4" s="48" t="s">
        <v>198</v>
      </c>
      <c r="B4" s="44">
        <f t="shared" ref="B4:B49" si="7">B3+1</f>
        <v>2</v>
      </c>
      <c r="C4" s="137" t="str">
        <f t="shared" si="0"/>
        <v>0x0002</v>
      </c>
      <c r="D4" s="141" t="str">
        <f t="shared" si="1"/>
        <v>reg_clear_bits (0x0002)</v>
      </c>
      <c r="E4" s="130" t="s">
        <v>1</v>
      </c>
      <c r="F4" s="45" t="s">
        <v>231</v>
      </c>
      <c r="G4" s="132" t="str">
        <f t="shared" si="2"/>
        <v>0x0000</v>
      </c>
      <c r="H4" s="130"/>
      <c r="L4" s="23" t="s">
        <v>197</v>
      </c>
      <c r="M4" s="23" t="s">
        <v>199</v>
      </c>
      <c r="W4" s="23"/>
      <c r="X4" s="53" t="str">
        <f t="shared" si="3"/>
        <v>const static uint16_t c_Mil1553_wreg_clear_bits = 0x0002;</v>
      </c>
      <c r="Y4" s="27" t="str">
        <f t="shared" si="4"/>
        <v>reg_clear_bits &lt;= X"0000";</v>
      </c>
      <c r="Z4" s="27" t="str">
        <f t="shared" si="5"/>
        <v xml:space="preserve">       when X"0x0002" =&gt; DataOut &lt;= reg_clear_bits;</v>
      </c>
      <c r="AA4" s="27" t="str">
        <f t="shared" si="6"/>
        <v xml:space="preserve">       when X"0x0002" =&gt;  reg_clear_bits &lt;= DataIn;</v>
      </c>
    </row>
    <row r="5" spans="1:27" ht="15.75" thickBot="1" x14ac:dyDescent="0.3">
      <c r="A5" s="48" t="s">
        <v>159</v>
      </c>
      <c r="B5" s="44">
        <f t="shared" si="7"/>
        <v>3</v>
      </c>
      <c r="C5" s="137" t="str">
        <f t="shared" si="0"/>
        <v>0x0003</v>
      </c>
      <c r="D5" s="141" t="str">
        <f t="shared" si="1"/>
        <v>reg_tmr_1us (0x0003)</v>
      </c>
      <c r="E5" s="130" t="s">
        <v>1</v>
      </c>
      <c r="F5" s="45" t="s">
        <v>232</v>
      </c>
      <c r="G5" s="132" t="str">
        <f t="shared" si="2"/>
        <v>0x0063</v>
      </c>
      <c r="H5" s="130"/>
      <c r="X5" s="53" t="str">
        <f t="shared" si="3"/>
        <v>const static uint16_t c_Mil1553_wreg_tmr_1us = 0x0003;</v>
      </c>
      <c r="Y5" s="27" t="str">
        <f t="shared" si="4"/>
        <v>reg_tmr_1us &lt;= X"0063";</v>
      </c>
      <c r="Z5" s="27" t="str">
        <f t="shared" si="5"/>
        <v xml:space="preserve">       when X"0x0003" =&gt; DataOut &lt;= reg_tmr_1us;</v>
      </c>
      <c r="AA5" s="27" t="str">
        <f t="shared" si="6"/>
        <v xml:space="preserve">       when X"0x0003" =&gt;  reg_tmr_1us &lt;= DataIn;</v>
      </c>
    </row>
    <row r="6" spans="1:27" ht="15.75" thickBot="1" x14ac:dyDescent="0.3">
      <c r="A6" s="48" t="s">
        <v>160</v>
      </c>
      <c r="B6" s="44">
        <f t="shared" si="7"/>
        <v>4</v>
      </c>
      <c r="C6" s="137" t="str">
        <f t="shared" si="0"/>
        <v>0x0004</v>
      </c>
      <c r="D6" s="141" t="str">
        <f t="shared" si="1"/>
        <v>reg_tmr_GAP (0x0004)</v>
      </c>
      <c r="E6" s="130" t="s">
        <v>1</v>
      </c>
      <c r="F6" s="45" t="s">
        <v>245</v>
      </c>
      <c r="G6" s="132" t="str">
        <f t="shared" si="2"/>
        <v>0x018F</v>
      </c>
      <c r="H6" s="130"/>
      <c r="T6" s="119"/>
      <c r="U6" s="119"/>
      <c r="V6" s="119"/>
      <c r="W6" s="119"/>
      <c r="X6" s="53" t="str">
        <f t="shared" si="3"/>
        <v>const static uint16_t c_Mil1553_wreg_tmr_GAP = 0x0004;</v>
      </c>
      <c r="Y6" s="27" t="str">
        <f t="shared" si="4"/>
        <v>reg_tmr_GAP &lt;= X"018F";</v>
      </c>
      <c r="Z6" s="27" t="str">
        <f t="shared" si="5"/>
        <v xml:space="preserve">       when X"0x0004" =&gt; DataOut &lt;= reg_tmr_GAP;</v>
      </c>
      <c r="AA6" s="27" t="str">
        <f t="shared" si="6"/>
        <v xml:space="preserve">       when X"0x0004" =&gt;  reg_tmr_GAP &lt;= DataIn;</v>
      </c>
    </row>
    <row r="7" spans="1:27" ht="15.75" thickBot="1" x14ac:dyDescent="0.3">
      <c r="A7" s="48" t="s">
        <v>161</v>
      </c>
      <c r="B7" s="44">
        <f t="shared" si="7"/>
        <v>5</v>
      </c>
      <c r="C7" s="137" t="str">
        <f t="shared" si="0"/>
        <v>0x0005</v>
      </c>
      <c r="D7" s="141" t="str">
        <f t="shared" si="1"/>
        <v>reg_tmr_NRP (0x0005)</v>
      </c>
      <c r="E7" s="130" t="s">
        <v>1</v>
      </c>
      <c r="F7" s="45" t="s">
        <v>246</v>
      </c>
      <c r="G7" s="132" t="str">
        <f t="shared" si="2"/>
        <v>0x0577</v>
      </c>
      <c r="H7" s="130"/>
      <c r="U7" s="119"/>
      <c r="V7" s="119"/>
      <c r="W7" s="119"/>
      <c r="X7" s="53" t="str">
        <f t="shared" si="3"/>
        <v>const static uint16_t c_Mil1553_wreg_tmr_NRP = 0x0005;</v>
      </c>
      <c r="Y7" s="27" t="str">
        <f t="shared" si="4"/>
        <v>reg_tmr_NRP &lt;= X"0577";</v>
      </c>
      <c r="Z7" s="27" t="str">
        <f t="shared" si="5"/>
        <v xml:space="preserve">       when X"0x0005" =&gt; DataOut &lt;= reg_tmr_NRP;</v>
      </c>
      <c r="AA7" s="27" t="str">
        <f t="shared" si="6"/>
        <v xml:space="preserve">       when X"0x0005" =&gt;  reg_tmr_NRP &lt;= DataIn;</v>
      </c>
    </row>
    <row r="8" spans="1:27" ht="15.75" thickBot="1" x14ac:dyDescent="0.3">
      <c r="A8" s="48" t="s">
        <v>172</v>
      </c>
      <c r="B8" s="44">
        <f t="shared" si="7"/>
        <v>6</v>
      </c>
      <c r="C8" s="137" t="str">
        <f t="shared" si="0"/>
        <v>0x0006</v>
      </c>
      <c r="D8" s="141" t="str">
        <f t="shared" si="1"/>
        <v>reg_tmr_REP (0x0006)</v>
      </c>
      <c r="E8" s="130" t="s">
        <v>1</v>
      </c>
      <c r="F8" s="45">
        <v>195</v>
      </c>
      <c r="G8" s="132" t="str">
        <f>CONCATENATE("0x",F8)</f>
        <v>0x195</v>
      </c>
      <c r="H8" s="130"/>
      <c r="X8" s="53" t="str">
        <f t="shared" si="3"/>
        <v>const static uint16_t c_Mil1553_wreg_tmr_REP = 0x0006;</v>
      </c>
      <c r="Y8" s="27" t="str">
        <f t="shared" si="4"/>
        <v>reg_tmr_REP &lt;= X"195";</v>
      </c>
      <c r="Z8" s="27" t="str">
        <f t="shared" si="5"/>
        <v xml:space="preserve">       when X"0x0006" =&gt; DataOut &lt;= reg_tmr_REP;</v>
      </c>
      <c r="AA8" s="27" t="str">
        <f t="shared" si="6"/>
        <v xml:space="preserve">       when X"0x0006" =&gt;  reg_tmr_REP &lt;= DataIn;</v>
      </c>
    </row>
    <row r="9" spans="1:27" ht="15.75" thickBot="1" x14ac:dyDescent="0.3">
      <c r="A9" s="48" t="s">
        <v>185</v>
      </c>
      <c r="B9" s="44">
        <f t="shared" si="7"/>
        <v>7</v>
      </c>
      <c r="C9" s="137" t="str">
        <f t="shared" si="0"/>
        <v>0x0007</v>
      </c>
      <c r="D9" s="141" t="str">
        <f t="shared" si="1"/>
        <v>reg_tmr_SAF (0x0007)</v>
      </c>
      <c r="E9" s="130" t="s">
        <v>1</v>
      </c>
      <c r="F9" s="45" t="s">
        <v>247</v>
      </c>
      <c r="G9" s="132" t="str">
        <f t="shared" si="2"/>
        <v>0x031F</v>
      </c>
      <c r="H9" s="130"/>
      <c r="X9" s="53" t="str">
        <f t="shared" si="3"/>
        <v>const static uint16_t c_Mil1553_wreg_tmr_SAF = 0x0007;</v>
      </c>
      <c r="Y9" s="27" t="str">
        <f t="shared" si="4"/>
        <v>reg_tmr_SAF &lt;= X"031F";</v>
      </c>
      <c r="Z9" s="27" t="str">
        <f t="shared" si="5"/>
        <v xml:space="preserve">       when X"0x0007" =&gt; DataOut &lt;= reg_tmr_SAF;</v>
      </c>
      <c r="AA9" s="27" t="str">
        <f t="shared" si="6"/>
        <v xml:space="preserve">       when X"0x0007" =&gt;  reg_tmr_SAF &lt;= DataIn;</v>
      </c>
    </row>
    <row r="10" spans="1:27" ht="15.75" thickBot="1" x14ac:dyDescent="0.3">
      <c r="A10" s="48" t="s">
        <v>183</v>
      </c>
      <c r="B10" s="44">
        <f t="shared" si="7"/>
        <v>8</v>
      </c>
      <c r="C10" s="137" t="str">
        <f t="shared" si="0"/>
        <v>0x0008</v>
      </c>
      <c r="D10" s="141" t="str">
        <f t="shared" si="1"/>
        <v>reg_legal_subaddr1 (0x0008)</v>
      </c>
      <c r="E10" s="130" t="s">
        <v>1</v>
      </c>
      <c r="F10" s="45" t="s">
        <v>248</v>
      </c>
      <c r="G10" s="132" t="str">
        <f t="shared" si="2"/>
        <v>0xFFFF</v>
      </c>
      <c r="H10" s="130"/>
      <c r="X10" s="53" t="str">
        <f t="shared" si="3"/>
        <v>const static uint16_t c_Mil1553_wreg_legal_subaddr1 = 0x0008;</v>
      </c>
      <c r="Y10" s="27" t="str">
        <f t="shared" si="4"/>
        <v>reg_legal_subaddr1 &lt;= X"FFFF";</v>
      </c>
      <c r="Z10" s="27" t="str">
        <f t="shared" si="5"/>
        <v xml:space="preserve">       when X"0x0008" =&gt; DataOut &lt;= reg_legal_subaddr1;</v>
      </c>
      <c r="AA10" s="27" t="str">
        <f t="shared" si="6"/>
        <v xml:space="preserve">       when X"0x0008" =&gt;  reg_legal_subaddr1 &lt;= DataIn;</v>
      </c>
    </row>
    <row r="11" spans="1:27" ht="15.75" thickBot="1" x14ac:dyDescent="0.3">
      <c r="A11" s="48" t="s">
        <v>184</v>
      </c>
      <c r="B11" s="44">
        <f t="shared" si="7"/>
        <v>9</v>
      </c>
      <c r="C11" s="137" t="str">
        <f t="shared" si="0"/>
        <v>0x0009</v>
      </c>
      <c r="D11" s="141" t="str">
        <f t="shared" si="1"/>
        <v>reg_legal_subaddr2 (0x0009)</v>
      </c>
      <c r="E11" s="130" t="s">
        <v>1</v>
      </c>
      <c r="F11" s="45" t="s">
        <v>248</v>
      </c>
      <c r="G11" s="132" t="str">
        <f t="shared" si="2"/>
        <v>0xFFFF</v>
      </c>
      <c r="H11" s="130"/>
      <c r="T11" s="119"/>
      <c r="U11" s="119"/>
      <c r="V11" s="119"/>
      <c r="W11" s="119"/>
      <c r="X11" s="53" t="str">
        <f t="shared" si="3"/>
        <v>const static uint16_t c_Mil1553_wreg_legal_subaddr2 = 0x0009;</v>
      </c>
      <c r="Y11" s="27" t="str">
        <f t="shared" si="4"/>
        <v>reg_legal_subaddr2 &lt;= X"FFFF";</v>
      </c>
      <c r="Z11" s="27" t="str">
        <f t="shared" si="5"/>
        <v xml:space="preserve">       when X"0x0009" =&gt; DataOut &lt;= reg_legal_subaddr2;</v>
      </c>
      <c r="AA11" s="27" t="str">
        <f t="shared" si="6"/>
        <v xml:space="preserve">       when X"0x0009" =&gt;  reg_legal_subaddr2 &lt;= DataIn;</v>
      </c>
    </row>
    <row r="12" spans="1:27" ht="15.75" thickBot="1" x14ac:dyDescent="0.3">
      <c r="A12" s="48" t="s">
        <v>364</v>
      </c>
      <c r="B12" s="44">
        <f t="shared" si="7"/>
        <v>10</v>
      </c>
      <c r="C12" s="137" t="str">
        <f t="shared" si="0"/>
        <v>0x000A</v>
      </c>
      <c r="D12" s="141" t="str">
        <f t="shared" si="1"/>
        <v>reg_legal_rx_mode1 (0x000A)</v>
      </c>
      <c r="E12" s="130" t="s">
        <v>1</v>
      </c>
      <c r="F12" s="45" t="s">
        <v>231</v>
      </c>
      <c r="G12" s="132" t="str">
        <f t="shared" si="2"/>
        <v>0x0000</v>
      </c>
      <c r="H12" s="130"/>
      <c r="X12" s="53" t="str">
        <f t="shared" si="3"/>
        <v>const static uint16_t c_Mil1553_wreg_legal_rx_mode1 = 0x000A;</v>
      </c>
      <c r="Y12" s="27" t="str">
        <f t="shared" si="4"/>
        <v>reg_legal_rx_mode1 &lt;= X"0000";</v>
      </c>
      <c r="Z12" s="27" t="str">
        <f t="shared" si="5"/>
        <v xml:space="preserve">       when X"0x000A" =&gt; DataOut &lt;= reg_legal_rx_mode1;</v>
      </c>
      <c r="AA12" s="27" t="str">
        <f t="shared" si="6"/>
        <v xml:space="preserve">       when X"0x000A" =&gt;  reg_legal_rx_mode1 &lt;= DataIn;</v>
      </c>
    </row>
    <row r="13" spans="1:27" ht="15.75" thickBot="1" x14ac:dyDescent="0.3">
      <c r="A13" s="48" t="s">
        <v>365</v>
      </c>
      <c r="B13" s="44">
        <f t="shared" si="7"/>
        <v>11</v>
      </c>
      <c r="C13" s="137" t="str">
        <f t="shared" si="0"/>
        <v>0x000B</v>
      </c>
      <c r="D13" s="141" t="str">
        <f t="shared" si="1"/>
        <v>reg_legal_rx_mode2 (0x000B)</v>
      </c>
      <c r="E13" s="130" t="s">
        <v>1</v>
      </c>
      <c r="F13" s="45" t="s">
        <v>370</v>
      </c>
      <c r="G13" s="132" t="str">
        <f t="shared" si="2"/>
        <v>0x0032</v>
      </c>
      <c r="H13" s="130"/>
      <c r="X13" s="53" t="str">
        <f t="shared" si="3"/>
        <v>const static uint16_t c_Mil1553_wreg_legal_rx_mode2 = 0x000B;</v>
      </c>
      <c r="Y13" s="27" t="str">
        <f t="shared" si="4"/>
        <v>reg_legal_rx_mode2 &lt;= X"0032";</v>
      </c>
      <c r="Z13" s="27" t="str">
        <f t="shared" si="5"/>
        <v xml:space="preserve">       when X"0x000B" =&gt; DataOut &lt;= reg_legal_rx_mode2;</v>
      </c>
      <c r="AA13" s="27" t="str">
        <f t="shared" si="6"/>
        <v xml:space="preserve">       when X"0x000B" =&gt;  reg_legal_rx_mode2 &lt;= DataIn;</v>
      </c>
    </row>
    <row r="14" spans="1:27" ht="15.75" thickBot="1" x14ac:dyDescent="0.3">
      <c r="A14" s="48" t="s">
        <v>366</v>
      </c>
      <c r="B14" s="44">
        <f t="shared" si="7"/>
        <v>12</v>
      </c>
      <c r="C14" s="137" t="str">
        <f t="shared" si="0"/>
        <v>0x000C</v>
      </c>
      <c r="D14" s="141" t="str">
        <f t="shared" si="1"/>
        <v>reg_legal_tx_mode1 (0x000C)</v>
      </c>
      <c r="E14" s="130" t="s">
        <v>1</v>
      </c>
      <c r="F14" s="45" t="s">
        <v>249</v>
      </c>
      <c r="G14" s="132" t="str">
        <f t="shared" si="2"/>
        <v>0x01FF</v>
      </c>
      <c r="H14" s="130"/>
      <c r="X14" s="53" t="str">
        <f t="shared" si="3"/>
        <v>const static uint16_t c_Mil1553_wreg_legal_tx_mode1 = 0x000C;</v>
      </c>
      <c r="Y14" s="27" t="str">
        <f t="shared" ref="Y14:Y17" si="8">CONCATENATE(A14," &lt;= X""",F14,""";")</f>
        <v>reg_legal_tx_mode1 &lt;= X"01FF";</v>
      </c>
      <c r="Z14" s="27" t="str">
        <f t="shared" ref="Z14:Z17" si="9">CONCATENATE("       when X""",C14,""" =&gt; DataOut &lt;= ",A14,";")</f>
        <v xml:space="preserve">       when X"0x000C" =&gt; DataOut &lt;= reg_legal_tx_mode1;</v>
      </c>
      <c r="AA14" s="27" t="str">
        <f t="shared" ref="AA14:AA17" si="10">CONCATENATE("       when X""",C14,""" =&gt;  ",A14," &lt;= DataIn;")</f>
        <v xml:space="preserve">       when X"0x000C" =&gt;  reg_legal_tx_mode1 &lt;= DataIn;</v>
      </c>
    </row>
    <row r="15" spans="1:27" ht="15.75" thickBot="1" x14ac:dyDescent="0.3">
      <c r="A15" s="48" t="s">
        <v>367</v>
      </c>
      <c r="B15" s="44">
        <f t="shared" si="7"/>
        <v>13</v>
      </c>
      <c r="C15" s="137" t="str">
        <f t="shared" si="0"/>
        <v>0x000D</v>
      </c>
      <c r="D15" s="141" t="str">
        <f t="shared" si="1"/>
        <v>reg_legal_tx_mode2 (0x000D)</v>
      </c>
      <c r="E15" s="130" t="s">
        <v>1</v>
      </c>
      <c r="F15" s="45" t="s">
        <v>371</v>
      </c>
      <c r="G15" s="132" t="str">
        <f t="shared" si="2"/>
        <v>0x000D</v>
      </c>
      <c r="H15" s="130"/>
      <c r="X15" s="53" t="str">
        <f t="shared" si="3"/>
        <v>const static uint16_t c_Mil1553_wreg_legal_tx_mode2 = 0x000D;</v>
      </c>
      <c r="Y15" s="27" t="str">
        <f t="shared" si="8"/>
        <v>reg_legal_tx_mode2 &lt;= X"000D";</v>
      </c>
      <c r="Z15" s="27" t="str">
        <f t="shared" si="9"/>
        <v xml:space="preserve">       when X"0x000D" =&gt; DataOut &lt;= reg_legal_tx_mode2;</v>
      </c>
      <c r="AA15" s="27" t="str">
        <f t="shared" si="10"/>
        <v xml:space="preserve">       when X"0x000D" =&gt;  reg_legal_tx_mode2 &lt;= DataIn;</v>
      </c>
    </row>
    <row r="16" spans="1:27" ht="15.75" thickBot="1" x14ac:dyDescent="0.3">
      <c r="A16" s="48" t="s">
        <v>369</v>
      </c>
      <c r="B16" s="44">
        <f t="shared" si="7"/>
        <v>14</v>
      </c>
      <c r="C16" s="137" t="str">
        <f t="shared" si="0"/>
        <v>0x000E</v>
      </c>
      <c r="D16" s="141" t="str">
        <f t="shared" si="1"/>
        <v>reg_legal_brdcst_mode1 (0x000E)</v>
      </c>
      <c r="E16" s="130" t="s">
        <v>1</v>
      </c>
      <c r="F16" s="45" t="s">
        <v>372</v>
      </c>
      <c r="G16" s="132" t="str">
        <f t="shared" si="2"/>
        <v>0x01FA</v>
      </c>
      <c r="H16" s="130"/>
      <c r="X16" s="53" t="str">
        <f t="shared" si="3"/>
        <v>const static uint16_t c_Mil1553_wreg_legal_brdcst_mode1 = 0x000E;</v>
      </c>
      <c r="Y16" s="27" t="str">
        <f t="shared" si="8"/>
        <v>reg_legal_brdcst_mode1 &lt;= X"01FA";</v>
      </c>
      <c r="Z16" s="27" t="str">
        <f t="shared" si="9"/>
        <v xml:space="preserve">       when X"0x000E" =&gt; DataOut &lt;= reg_legal_brdcst_mode1;</v>
      </c>
      <c r="AA16" s="27" t="str">
        <f t="shared" si="10"/>
        <v xml:space="preserve">       when X"0x000E" =&gt;  reg_legal_brdcst_mode1 &lt;= DataIn;</v>
      </c>
    </row>
    <row r="17" spans="1:27" s="227" customFormat="1" ht="15.75" thickBot="1" x14ac:dyDescent="0.3">
      <c r="A17" s="219" t="s">
        <v>368</v>
      </c>
      <c r="B17" s="220">
        <f t="shared" si="7"/>
        <v>15</v>
      </c>
      <c r="C17" s="221" t="str">
        <f t="shared" si="0"/>
        <v>0x000F</v>
      </c>
      <c r="D17" s="141" t="str">
        <f t="shared" si="1"/>
        <v>reg_legal_brdcst_mode2 (0x000F)</v>
      </c>
      <c r="E17" s="222" t="s">
        <v>1</v>
      </c>
      <c r="F17" s="223" t="s">
        <v>370</v>
      </c>
      <c r="G17" s="224" t="str">
        <f t="shared" si="2"/>
        <v>0x0032</v>
      </c>
      <c r="H17" s="222"/>
      <c r="I17" s="225"/>
      <c r="J17" s="225"/>
      <c r="K17" s="225"/>
      <c r="L17" s="225"/>
      <c r="M17" s="225"/>
      <c r="N17" s="225"/>
      <c r="O17" s="225"/>
      <c r="P17" s="225"/>
      <c r="Q17" s="225"/>
      <c r="R17" s="225"/>
      <c r="S17" s="225"/>
      <c r="T17" s="225"/>
      <c r="U17" s="225"/>
      <c r="V17" s="225"/>
      <c r="W17" s="225"/>
      <c r="X17" s="226" t="str">
        <f t="shared" si="3"/>
        <v>const static uint16_t c_Mil1553_wreg_legal_brdcst_mode2 = 0x000F;</v>
      </c>
      <c r="Y17" s="227" t="str">
        <f t="shared" si="8"/>
        <v>reg_legal_brdcst_mode2 &lt;= X"0032";</v>
      </c>
      <c r="Z17" s="227" t="str">
        <f t="shared" si="9"/>
        <v xml:space="preserve">       when X"0x000F" =&gt; DataOut &lt;= reg_legal_brdcst_mode2;</v>
      </c>
      <c r="AA17" s="227" t="str">
        <f t="shared" si="10"/>
        <v xml:space="preserve">       when X"0x000F" =&gt;  reg_legal_brdcst_mode2 &lt;= DataIn;</v>
      </c>
    </row>
    <row r="18" spans="1:27" s="53" customFormat="1" ht="15.75" thickBot="1" x14ac:dyDescent="0.3">
      <c r="A18" s="51" t="s">
        <v>225</v>
      </c>
      <c r="B18" s="52">
        <v>16</v>
      </c>
      <c r="C18" s="136" t="str">
        <f t="shared" si="0"/>
        <v>0x0010</v>
      </c>
      <c r="D18" s="235" t="str">
        <f t="shared" si="1"/>
        <v>reg_status_rxed1 (0x0010)</v>
      </c>
      <c r="E18" s="139" t="s">
        <v>2</v>
      </c>
      <c r="F18" s="54" t="s">
        <v>231</v>
      </c>
      <c r="G18" s="131" t="str">
        <f t="shared" si="2"/>
        <v>0x0000</v>
      </c>
      <c r="H18" s="236" t="s">
        <v>211</v>
      </c>
      <c r="I18" s="54" t="s">
        <v>212</v>
      </c>
      <c r="J18" s="53" t="s">
        <v>213</v>
      </c>
      <c r="K18" s="53" t="s">
        <v>214</v>
      </c>
      <c r="L18" s="53" t="s">
        <v>215</v>
      </c>
      <c r="M18" s="53" t="s">
        <v>216</v>
      </c>
      <c r="N18" s="53" t="s">
        <v>217</v>
      </c>
      <c r="O18" s="54" t="s">
        <v>218</v>
      </c>
      <c r="P18" s="54" t="s">
        <v>377</v>
      </c>
      <c r="Q18" s="54" t="s">
        <v>219</v>
      </c>
      <c r="R18" s="54" t="s">
        <v>219</v>
      </c>
      <c r="S18" s="54" t="s">
        <v>220</v>
      </c>
      <c r="T18" s="54" t="s">
        <v>221</v>
      </c>
      <c r="U18" s="54" t="s">
        <v>222</v>
      </c>
      <c r="V18" s="54" t="s">
        <v>223</v>
      </c>
      <c r="W18" s="54" t="s">
        <v>224</v>
      </c>
      <c r="X18" s="53" t="str">
        <f t="shared" si="3"/>
        <v>const static uint16_t c_Mil1553_wreg_status_rxed1 = 0x0010;</v>
      </c>
      <c r="Y18" s="53" t="str">
        <f t="shared" si="4"/>
        <v>reg_status_rxed1 &lt;= X"0000";</v>
      </c>
      <c r="Z18" s="53" t="str">
        <f t="shared" si="5"/>
        <v xml:space="preserve">       when X"0x0010" =&gt; DataOut &lt;= reg_status_rxed1;</v>
      </c>
      <c r="AA18" s="53" t="str">
        <f t="shared" si="6"/>
        <v xml:space="preserve">       when X"0x0010" =&gt;  reg_status_rxed1 &lt;= DataIn;</v>
      </c>
    </row>
    <row r="19" spans="1:27" ht="15.75" thickBot="1" x14ac:dyDescent="0.3">
      <c r="A19" s="48" t="s">
        <v>226</v>
      </c>
      <c r="B19" s="44">
        <f t="shared" si="7"/>
        <v>17</v>
      </c>
      <c r="C19" s="137" t="str">
        <f t="shared" si="0"/>
        <v>0x0011</v>
      </c>
      <c r="D19" s="141" t="str">
        <f t="shared" si="1"/>
        <v>reg_mode_cmd_rxed1 (0x0011)</v>
      </c>
      <c r="E19" s="130" t="s">
        <v>2</v>
      </c>
      <c r="F19" s="24" t="s">
        <v>231</v>
      </c>
      <c r="G19" s="132" t="str">
        <f t="shared" si="2"/>
        <v>0x0000</v>
      </c>
      <c r="H19" s="134"/>
      <c r="J19" s="27"/>
      <c r="K19" s="27"/>
      <c r="L19" s="27"/>
      <c r="M19" s="27"/>
      <c r="N19" s="27"/>
      <c r="X19" s="53" t="str">
        <f t="shared" si="3"/>
        <v>const static uint16_t c_Mil1553_wreg_mode_cmd_rxed1 = 0x0011;</v>
      </c>
      <c r="Y19" s="27" t="str">
        <f t="shared" si="4"/>
        <v>reg_mode_cmd_rxed1 &lt;= X"0000";</v>
      </c>
      <c r="Z19" s="27" t="str">
        <f t="shared" si="5"/>
        <v xml:space="preserve">       when X"0x0011" =&gt; DataOut &lt;= reg_mode_cmd_rxed1;</v>
      </c>
      <c r="AA19" s="27" t="str">
        <f t="shared" si="6"/>
        <v xml:space="preserve">       when X"0x0011" =&gt;  reg_mode_cmd_rxed1 &lt;= DataIn;</v>
      </c>
    </row>
    <row r="20" spans="1:27" ht="15.75" thickBot="1" x14ac:dyDescent="0.3">
      <c r="A20" s="48" t="s">
        <v>227</v>
      </c>
      <c r="B20" s="44">
        <f t="shared" si="7"/>
        <v>18</v>
      </c>
      <c r="C20" s="137" t="str">
        <f t="shared" si="0"/>
        <v>0x0012</v>
      </c>
      <c r="D20" s="141" t="str">
        <f t="shared" si="1"/>
        <v>reg_mode_data_rxed1 (0x0012)</v>
      </c>
      <c r="E20" s="130" t="s">
        <v>2</v>
      </c>
      <c r="F20" s="45" t="s">
        <v>231</v>
      </c>
      <c r="G20" s="132" t="str">
        <f t="shared" si="2"/>
        <v>0x0000</v>
      </c>
      <c r="H20" s="134"/>
      <c r="J20" s="27"/>
      <c r="K20" s="27"/>
      <c r="L20" s="27"/>
      <c r="M20" s="27"/>
      <c r="N20" s="27"/>
      <c r="X20" s="53" t="str">
        <f t="shared" si="3"/>
        <v>const static uint16_t c_Mil1553_wreg_mode_data_rxed1 = 0x0012;</v>
      </c>
      <c r="Y20" s="27" t="str">
        <f t="shared" si="4"/>
        <v>reg_mode_data_rxed1 &lt;= X"0000";</v>
      </c>
      <c r="Z20" s="27" t="str">
        <f t="shared" si="5"/>
        <v xml:space="preserve">       when X"0x0012" =&gt; DataOut &lt;= reg_mode_data_rxed1;</v>
      </c>
      <c r="AA20" s="27" t="str">
        <f t="shared" si="6"/>
        <v xml:space="preserve">       when X"0x0012" =&gt;  reg_mode_data_rxed1 &lt;= DataIn;</v>
      </c>
    </row>
    <row r="21" spans="1:27" ht="15.75" thickBot="1" x14ac:dyDescent="0.3">
      <c r="A21" s="48" t="s">
        <v>398</v>
      </c>
      <c r="B21" s="44">
        <f t="shared" si="7"/>
        <v>19</v>
      </c>
      <c r="C21" s="137" t="str">
        <f t="shared" si="0"/>
        <v>0x0013</v>
      </c>
      <c r="D21" s="141" t="str">
        <f t="shared" si="1"/>
        <v>reg_rx_cmd1 (0x0013)</v>
      </c>
      <c r="E21" s="130" t="s">
        <v>2</v>
      </c>
      <c r="F21" s="45" t="s">
        <v>231</v>
      </c>
      <c r="G21" s="132" t="str">
        <f t="shared" si="2"/>
        <v>0x0000</v>
      </c>
      <c r="H21" s="134"/>
      <c r="J21" s="27"/>
      <c r="K21" s="23" t="s">
        <v>210</v>
      </c>
      <c r="L21" s="23" t="s">
        <v>203</v>
      </c>
      <c r="M21" s="23" t="s">
        <v>196</v>
      </c>
      <c r="N21" s="23" t="s">
        <v>197</v>
      </c>
      <c r="O21" s="23" t="s">
        <v>199</v>
      </c>
      <c r="X21" s="53" t="str">
        <f t="shared" si="3"/>
        <v>const static uint16_t c_Mil1553_wreg_rx_cmd1 = 0x0013;</v>
      </c>
      <c r="Y21" s="27" t="str">
        <f t="shared" si="4"/>
        <v>reg_rx_cmd1 &lt;= X"0000";</v>
      </c>
      <c r="Z21" s="27" t="str">
        <f t="shared" si="5"/>
        <v xml:space="preserve">       when X"0x0013" =&gt; DataOut &lt;= reg_rx_cmd1;</v>
      </c>
      <c r="AA21" s="27" t="str">
        <f t="shared" si="6"/>
        <v xml:space="preserve">       when X"0x0013" =&gt;  reg_rx_cmd1 &lt;= DataIn;</v>
      </c>
    </row>
    <row r="22" spans="1:27" ht="15.75" thickBot="1" x14ac:dyDescent="0.3">
      <c r="A22" s="48" t="s">
        <v>204</v>
      </c>
      <c r="B22" s="44">
        <f t="shared" si="7"/>
        <v>20</v>
      </c>
      <c r="C22" s="137" t="str">
        <f t="shared" si="0"/>
        <v>0x0014</v>
      </c>
      <c r="D22" s="141" t="str">
        <f t="shared" si="1"/>
        <v>reg_tx_control1 (0x0014)</v>
      </c>
      <c r="E22" s="130" t="s">
        <v>1</v>
      </c>
      <c r="F22" s="45" t="s">
        <v>231</v>
      </c>
      <c r="G22" s="132" t="str">
        <f t="shared" si="2"/>
        <v>0x0000</v>
      </c>
      <c r="H22" s="129" t="s">
        <v>121</v>
      </c>
      <c r="I22" s="23" t="s">
        <v>122</v>
      </c>
      <c r="J22" s="23"/>
      <c r="T22" s="286"/>
      <c r="U22" s="286"/>
      <c r="V22" s="286"/>
      <c r="W22" s="218"/>
      <c r="X22" s="53" t="str">
        <f t="shared" si="3"/>
        <v>const static uint16_t c_Mil1553_wreg_tx_control1 = 0x0014;</v>
      </c>
      <c r="Y22" s="27" t="str">
        <f t="shared" si="4"/>
        <v>reg_tx_control1 &lt;= X"0000";</v>
      </c>
      <c r="Z22" s="27" t="str">
        <f t="shared" si="5"/>
        <v xml:space="preserve">       when X"0x0014" =&gt; DataOut &lt;= reg_tx_control1;</v>
      </c>
      <c r="AA22" s="27" t="str">
        <f t="shared" si="6"/>
        <v xml:space="preserve">       when X"0x0014" =&gt;  reg_tx_control1 &lt;= DataIn;</v>
      </c>
    </row>
    <row r="23" spans="1:27" ht="15.75" thickBot="1" x14ac:dyDescent="0.3">
      <c r="A23" s="48" t="s">
        <v>205</v>
      </c>
      <c r="B23" s="44">
        <f t="shared" si="7"/>
        <v>21</v>
      </c>
      <c r="C23" s="137" t="str">
        <f t="shared" si="0"/>
        <v>0x0015</v>
      </c>
      <c r="D23" s="141" t="str">
        <f t="shared" si="1"/>
        <v>reg_cmd_proc_start1 (0x0015)</v>
      </c>
      <c r="E23" s="130" t="s">
        <v>1</v>
      </c>
      <c r="F23" s="45" t="s">
        <v>231</v>
      </c>
      <c r="G23" s="132" t="str">
        <f t="shared" si="2"/>
        <v>0x0000</v>
      </c>
      <c r="H23" s="129"/>
      <c r="I23" s="23"/>
      <c r="J23" s="23"/>
      <c r="K23" s="23"/>
      <c r="L23" s="23"/>
      <c r="M23" s="23"/>
      <c r="N23" s="23"/>
      <c r="O23" s="23"/>
      <c r="P23" s="23"/>
      <c r="Q23" s="23"/>
      <c r="R23" s="23"/>
      <c r="S23" s="23"/>
      <c r="U23" s="218"/>
      <c r="V23" s="218"/>
      <c r="W23" s="218"/>
      <c r="X23" s="53" t="str">
        <f t="shared" si="3"/>
        <v>const static uint16_t c_Mil1553_wreg_cmd_proc_start1 = 0x0015;</v>
      </c>
      <c r="Y23" s="27" t="str">
        <f t="shared" si="4"/>
        <v>reg_cmd_proc_start1 &lt;= X"0000";</v>
      </c>
      <c r="Z23" s="27" t="str">
        <f t="shared" si="5"/>
        <v xml:space="preserve">       when X"0x0015" =&gt; DataOut &lt;= reg_cmd_proc_start1;</v>
      </c>
      <c r="AA23" s="27" t="str">
        <f t="shared" si="6"/>
        <v xml:space="preserve">       when X"0x0015" =&gt;  reg_cmd_proc_start1 &lt;= DataIn;</v>
      </c>
    </row>
    <row r="24" spans="1:27" ht="15.75" thickBot="1" x14ac:dyDescent="0.3">
      <c r="A24" s="48" t="s">
        <v>206</v>
      </c>
      <c r="B24" s="44">
        <f t="shared" si="7"/>
        <v>22</v>
      </c>
      <c r="C24" s="137" t="str">
        <f t="shared" si="0"/>
        <v>0x0016</v>
      </c>
      <c r="D24" s="141" t="str">
        <f t="shared" si="1"/>
        <v>reg_cmd_proc_length1 (0x0016)</v>
      </c>
      <c r="E24" s="130" t="s">
        <v>1</v>
      </c>
      <c r="F24" s="45" t="s">
        <v>231</v>
      </c>
      <c r="G24" s="132" t="str">
        <f t="shared" si="2"/>
        <v>0x0000</v>
      </c>
      <c r="H24" s="130"/>
      <c r="X24" s="53" t="str">
        <f t="shared" si="3"/>
        <v>const static uint16_t c_Mil1553_wreg_cmd_proc_length1 = 0x0016;</v>
      </c>
      <c r="Y24" s="27" t="str">
        <f t="shared" si="4"/>
        <v>reg_cmd_proc_length1 &lt;= X"0000";</v>
      </c>
      <c r="Z24" s="27" t="str">
        <f t="shared" si="5"/>
        <v xml:space="preserve">       when X"0x0016" =&gt; DataOut &lt;= reg_cmd_proc_length1;</v>
      </c>
      <c r="AA24" s="27" t="str">
        <f t="shared" si="6"/>
        <v xml:space="preserve">       when X"0x0016" =&gt;  reg_cmd_proc_length1 &lt;= DataIn;</v>
      </c>
    </row>
    <row r="25" spans="1:27" s="273" customFormat="1" ht="15.75" thickBot="1" x14ac:dyDescent="0.3">
      <c r="A25" s="267" t="s">
        <v>558</v>
      </c>
      <c r="B25" s="268">
        <f t="shared" si="7"/>
        <v>23</v>
      </c>
      <c r="C25" s="269" t="str">
        <f t="shared" si="0"/>
        <v>0x0017</v>
      </c>
      <c r="D25" s="240" t="str">
        <f t="shared" si="1"/>
        <v>reg_cmd_rxed1 (0x0017)</v>
      </c>
      <c r="E25" s="241"/>
      <c r="F25" s="270" t="s">
        <v>231</v>
      </c>
      <c r="G25" s="271" t="str">
        <f t="shared" si="2"/>
        <v>0x0000</v>
      </c>
      <c r="H25" s="272" t="s">
        <v>211</v>
      </c>
      <c r="I25" s="239" t="s">
        <v>212</v>
      </c>
      <c r="J25" s="273" t="s">
        <v>213</v>
      </c>
      <c r="K25" s="273" t="s">
        <v>214</v>
      </c>
      <c r="L25" s="273" t="s">
        <v>215</v>
      </c>
      <c r="M25" s="239" t="s">
        <v>332</v>
      </c>
      <c r="N25" s="239" t="s">
        <v>129</v>
      </c>
      <c r="O25" s="239" t="s">
        <v>128</v>
      </c>
      <c r="P25" s="239" t="s">
        <v>127</v>
      </c>
      <c r="Q25" s="239" t="s">
        <v>125</v>
      </c>
      <c r="R25" s="239" t="s">
        <v>560</v>
      </c>
      <c r="S25" s="274" t="s">
        <v>562</v>
      </c>
      <c r="T25" s="274" t="s">
        <v>563</v>
      </c>
      <c r="U25" s="274" t="s">
        <v>564</v>
      </c>
      <c r="V25" s="274" t="s">
        <v>565</v>
      </c>
      <c r="W25" s="274" t="s">
        <v>561</v>
      </c>
      <c r="X25" s="275" t="str">
        <f t="shared" si="3"/>
        <v>const static uint16_t c_Mil1553_wreg_cmd_rxed1 = 0x0017;</v>
      </c>
      <c r="Y25" s="273" t="str">
        <f t="shared" si="4"/>
        <v>reg_cmd_rxed1 &lt;= X"0000";</v>
      </c>
      <c r="Z25" s="273" t="str">
        <f t="shared" si="5"/>
        <v xml:space="preserve">       when X"0x0017" =&gt; DataOut &lt;= reg_cmd_rxed1;</v>
      </c>
      <c r="AA25" s="273" t="str">
        <f t="shared" si="6"/>
        <v xml:space="preserve">       when X"0x0017" =&gt;  reg_cmd_rxed1 &lt;= DataIn;</v>
      </c>
    </row>
    <row r="26" spans="1:27" ht="15.75" thickBot="1" x14ac:dyDescent="0.3">
      <c r="A26" s="48" t="s">
        <v>233</v>
      </c>
      <c r="B26" s="44">
        <f t="shared" si="7"/>
        <v>24</v>
      </c>
      <c r="C26" s="137" t="str">
        <f t="shared" si="0"/>
        <v>0x0018</v>
      </c>
      <c r="D26" s="141" t="str">
        <f t="shared" si="1"/>
        <v>reg_24 (0x0018)</v>
      </c>
      <c r="E26" s="130"/>
      <c r="F26" s="45" t="s">
        <v>231</v>
      </c>
      <c r="G26" s="132" t="str">
        <f t="shared" si="2"/>
        <v>0x0000</v>
      </c>
      <c r="H26" s="130"/>
      <c r="X26" s="53" t="str">
        <f t="shared" si="3"/>
        <v>const static uint16_t c_Mil1553_wreg_24 = 0x0018;</v>
      </c>
      <c r="Y26" s="27" t="str">
        <f t="shared" si="4"/>
        <v>reg_24 &lt;= X"0000";</v>
      </c>
      <c r="Z26" s="27" t="str">
        <f t="shared" si="5"/>
        <v xml:space="preserve">       when X"0x0018" =&gt; DataOut &lt;= reg_24;</v>
      </c>
      <c r="AA26" s="27" t="str">
        <f t="shared" si="6"/>
        <v xml:space="preserve">       when X"0x0018" =&gt;  reg_24 &lt;= DataIn;</v>
      </c>
    </row>
    <row r="27" spans="1:27" ht="15.75" thickBot="1" x14ac:dyDescent="0.3">
      <c r="A27" s="48" t="s">
        <v>676</v>
      </c>
      <c r="B27" s="44">
        <f t="shared" si="7"/>
        <v>25</v>
      </c>
      <c r="C27" s="137" t="str">
        <f t="shared" si="0"/>
        <v>0x0019</v>
      </c>
      <c r="D27" s="141" t="str">
        <f t="shared" si="1"/>
        <v>reg_bus1_DatSyncErr (0x0019)</v>
      </c>
      <c r="E27" s="130"/>
      <c r="F27" s="45" t="s">
        <v>231</v>
      </c>
      <c r="G27" s="132" t="str">
        <f t="shared" si="2"/>
        <v>0x0000</v>
      </c>
      <c r="H27" s="130"/>
      <c r="X27" s="53" t="str">
        <f t="shared" si="3"/>
        <v>const static uint16_t c_Mil1553_wreg_bus1_DatSyncErr = 0x0019;</v>
      </c>
      <c r="Y27" s="27" t="str">
        <f t="shared" si="4"/>
        <v>reg_bus1_DatSyncErr &lt;= X"0000";</v>
      </c>
      <c r="Z27" s="27" t="str">
        <f t="shared" si="5"/>
        <v xml:space="preserve">       when X"0x0019" =&gt; DataOut &lt;= reg_bus1_DatSyncErr;</v>
      </c>
      <c r="AA27" s="27" t="str">
        <f t="shared" si="6"/>
        <v xml:space="preserve">       when X"0x0019" =&gt;  reg_bus1_DatSyncErr &lt;= DataIn;</v>
      </c>
    </row>
    <row r="28" spans="1:27" ht="15.75" thickBot="1" x14ac:dyDescent="0.3">
      <c r="A28" s="48" t="s">
        <v>675</v>
      </c>
      <c r="B28" s="44">
        <f t="shared" si="7"/>
        <v>26</v>
      </c>
      <c r="C28" s="137" t="str">
        <f t="shared" si="0"/>
        <v>0x001A</v>
      </c>
      <c r="D28" s="141" t="str">
        <f t="shared" si="1"/>
        <v>reg_bus1_CmdSyncErr (0x001A)</v>
      </c>
      <c r="E28" s="130"/>
      <c r="F28" s="45" t="s">
        <v>231</v>
      </c>
      <c r="G28" s="132" t="str">
        <f t="shared" si="2"/>
        <v>0x0000</v>
      </c>
      <c r="H28" s="130"/>
      <c r="X28" s="53" t="str">
        <f t="shared" si="3"/>
        <v>const static uint16_t c_Mil1553_wreg_bus1_CmdSyncErr = 0x001A;</v>
      </c>
      <c r="Y28" s="27" t="str">
        <f t="shared" si="4"/>
        <v>reg_bus1_CmdSyncErr &lt;= X"0000";</v>
      </c>
      <c r="Z28" s="27" t="str">
        <f t="shared" si="5"/>
        <v xml:space="preserve">       when X"0x001A" =&gt; DataOut &lt;= reg_bus1_CmdSyncErr;</v>
      </c>
      <c r="AA28" s="27" t="str">
        <f t="shared" si="6"/>
        <v xml:space="preserve">       when X"0x001A" =&gt;  reg_bus1_CmdSyncErr &lt;= DataIn;</v>
      </c>
    </row>
    <row r="29" spans="1:27" ht="15.75" thickBot="1" x14ac:dyDescent="0.3">
      <c r="A29" s="48" t="s">
        <v>674</v>
      </c>
      <c r="B29" s="44">
        <f t="shared" si="7"/>
        <v>27</v>
      </c>
      <c r="C29" s="137" t="str">
        <f t="shared" si="0"/>
        <v>0x001B</v>
      </c>
      <c r="D29" s="141" t="str">
        <f t="shared" si="1"/>
        <v>reg_bus1_EarlyEdgeErr (0x001B)</v>
      </c>
      <c r="E29" s="130"/>
      <c r="F29" s="45" t="s">
        <v>231</v>
      </c>
      <c r="G29" s="132" t="str">
        <f t="shared" si="2"/>
        <v>0x0000</v>
      </c>
      <c r="H29" s="130"/>
      <c r="U29" s="27"/>
      <c r="X29" s="53" t="str">
        <f t="shared" si="3"/>
        <v>const static uint16_t c_Mil1553_wreg_bus1_EarlyEdgeErr = 0x001B;</v>
      </c>
      <c r="Y29" s="27" t="str">
        <f t="shared" si="4"/>
        <v>reg_bus1_EarlyEdgeErr &lt;= X"0000";</v>
      </c>
      <c r="Z29" s="27" t="str">
        <f t="shared" si="5"/>
        <v xml:space="preserve">       when X"0x001B" =&gt; DataOut &lt;= reg_bus1_EarlyEdgeErr;</v>
      </c>
      <c r="AA29" s="27" t="str">
        <f t="shared" si="6"/>
        <v xml:space="preserve">       when X"0x001B" =&gt;  reg_bus1_EarlyEdgeErr &lt;= DataIn;</v>
      </c>
    </row>
    <row r="30" spans="1:27" ht="15.75" thickBot="1" x14ac:dyDescent="0.3">
      <c r="A30" s="48" t="s">
        <v>673</v>
      </c>
      <c r="B30" s="44">
        <f t="shared" si="7"/>
        <v>28</v>
      </c>
      <c r="C30" s="137" t="str">
        <f t="shared" si="0"/>
        <v>0x001C</v>
      </c>
      <c r="D30" s="141" t="str">
        <f t="shared" si="1"/>
        <v>reg_bus1_LateEdgeErr (0x001C)</v>
      </c>
      <c r="E30" s="130"/>
      <c r="F30" s="45" t="s">
        <v>231</v>
      </c>
      <c r="G30" s="132" t="str">
        <f t="shared" si="2"/>
        <v>0x0000</v>
      </c>
      <c r="H30" s="130"/>
      <c r="X30" s="53" t="str">
        <f t="shared" si="3"/>
        <v>const static uint16_t c_Mil1553_wreg_bus1_LateEdgeErr = 0x001C;</v>
      </c>
      <c r="Y30" s="27" t="str">
        <f t="shared" si="4"/>
        <v>reg_bus1_LateEdgeErr &lt;= X"0000";</v>
      </c>
      <c r="Z30" s="27" t="str">
        <f t="shared" si="5"/>
        <v xml:space="preserve">       when X"0x001C" =&gt; DataOut &lt;= reg_bus1_LateEdgeErr;</v>
      </c>
      <c r="AA30" s="27" t="str">
        <f t="shared" si="6"/>
        <v xml:space="preserve">       when X"0x001C" =&gt;  reg_bus1_LateEdgeErr &lt;= DataIn;</v>
      </c>
    </row>
    <row r="31" spans="1:27" ht="15.75" thickBot="1" x14ac:dyDescent="0.3">
      <c r="A31" s="48" t="s">
        <v>672</v>
      </c>
      <c r="B31" s="44">
        <f t="shared" si="7"/>
        <v>29</v>
      </c>
      <c r="C31" s="137" t="str">
        <f t="shared" si="0"/>
        <v>0x001D</v>
      </c>
      <c r="D31" s="141" t="str">
        <f t="shared" si="1"/>
        <v>reg_bus1_ParityErr (0x001D)</v>
      </c>
      <c r="E31" s="130"/>
      <c r="F31" s="45" t="s">
        <v>231</v>
      </c>
      <c r="G31" s="132" t="str">
        <f t="shared" si="2"/>
        <v>0x0000</v>
      </c>
      <c r="H31" s="130"/>
      <c r="X31" s="53" t="str">
        <f t="shared" si="3"/>
        <v>const static uint16_t c_Mil1553_wreg_bus1_ParityErr = 0x001D;</v>
      </c>
      <c r="Y31" s="27" t="str">
        <f t="shared" si="4"/>
        <v>reg_bus1_ParityErr &lt;= X"0000";</v>
      </c>
      <c r="Z31" s="27" t="str">
        <f t="shared" si="5"/>
        <v xml:space="preserve">       when X"0x001D" =&gt; DataOut &lt;= reg_bus1_ParityErr;</v>
      </c>
      <c r="AA31" s="27" t="str">
        <f t="shared" si="6"/>
        <v xml:space="preserve">       when X"0x001D" =&gt;  reg_bus1_ParityErr &lt;= DataIn;</v>
      </c>
    </row>
    <row r="32" spans="1:27" ht="15.75" thickBot="1" x14ac:dyDescent="0.3">
      <c r="A32" s="48" t="s">
        <v>323</v>
      </c>
      <c r="B32" s="44">
        <f t="shared" si="7"/>
        <v>30</v>
      </c>
      <c r="C32" s="137" t="str">
        <f t="shared" si="0"/>
        <v>0x001E</v>
      </c>
      <c r="D32" s="141" t="str">
        <f t="shared" si="1"/>
        <v>reg_bus1_status (0x001E)</v>
      </c>
      <c r="E32" s="130"/>
      <c r="F32" s="45" t="s">
        <v>231</v>
      </c>
      <c r="G32" s="132" t="str">
        <f t="shared" si="2"/>
        <v>0x0000</v>
      </c>
      <c r="H32" s="130"/>
      <c r="P32" s="24" t="s">
        <v>383</v>
      </c>
      <c r="Q32" s="24" t="s">
        <v>374</v>
      </c>
      <c r="R32" s="24" t="s">
        <v>373</v>
      </c>
      <c r="S32" s="24" t="s">
        <v>331</v>
      </c>
      <c r="T32" s="24" t="s">
        <v>330</v>
      </c>
      <c r="U32" s="24" t="s">
        <v>328</v>
      </c>
      <c r="V32" s="24" t="s">
        <v>329</v>
      </c>
      <c r="W32" s="24" t="s">
        <v>327</v>
      </c>
      <c r="X32" s="53" t="str">
        <f t="shared" si="3"/>
        <v>const static uint16_t c_Mil1553_wreg_bus1_status = 0x001E;</v>
      </c>
      <c r="Y32" s="27" t="str">
        <f t="shared" si="4"/>
        <v>reg_bus1_status &lt;= X"0000";</v>
      </c>
      <c r="Z32" s="27" t="str">
        <f t="shared" si="5"/>
        <v xml:space="preserve">       when X"0x001E" =&gt; DataOut &lt;= reg_bus1_status;</v>
      </c>
      <c r="AA32" s="27" t="str">
        <f t="shared" si="6"/>
        <v xml:space="preserve">       when X"0x001E" =&gt;  reg_bus1_status &lt;= DataIn;</v>
      </c>
    </row>
    <row r="33" spans="1:27" s="50" customFormat="1" ht="15.75" thickBot="1" x14ac:dyDescent="0.3">
      <c r="A33" s="55" t="s">
        <v>324</v>
      </c>
      <c r="B33" s="49">
        <f t="shared" si="7"/>
        <v>31</v>
      </c>
      <c r="C33" s="138" t="str">
        <f t="shared" si="0"/>
        <v>0x001F</v>
      </c>
      <c r="D33" s="237" t="str">
        <f t="shared" si="1"/>
        <v>reg_bus1_mask (0x001F)</v>
      </c>
      <c r="E33" s="140"/>
      <c r="F33" s="127" t="s">
        <v>231</v>
      </c>
      <c r="G33" s="133" t="str">
        <f t="shared" si="2"/>
        <v>0x0000</v>
      </c>
      <c r="H33" s="140"/>
      <c r="I33" s="56"/>
      <c r="J33" s="56"/>
      <c r="K33" s="56"/>
      <c r="L33" s="56"/>
      <c r="M33" s="56"/>
      <c r="N33" s="56"/>
      <c r="O33" s="56"/>
      <c r="P33" s="56" t="s">
        <v>383</v>
      </c>
      <c r="Q33" s="56" t="s">
        <v>374</v>
      </c>
      <c r="R33" s="56" t="s">
        <v>373</v>
      </c>
      <c r="S33" s="56" t="s">
        <v>331</v>
      </c>
      <c r="T33" s="56" t="s">
        <v>330</v>
      </c>
      <c r="U33" s="56" t="s">
        <v>328</v>
      </c>
      <c r="V33" s="56" t="s">
        <v>329</v>
      </c>
      <c r="W33" s="56" t="s">
        <v>327</v>
      </c>
      <c r="X33" s="238" t="str">
        <f t="shared" si="3"/>
        <v>const static uint16_t c_Mil1553_wreg_bus1_mask = 0x001F;</v>
      </c>
      <c r="Y33" s="50" t="str">
        <f t="shared" si="4"/>
        <v>reg_bus1_mask &lt;= X"0000";</v>
      </c>
      <c r="Z33" s="50" t="str">
        <f t="shared" si="5"/>
        <v xml:space="preserve">       when X"0x001F" =&gt; DataOut &lt;= reg_bus1_mask;</v>
      </c>
      <c r="AA33" s="50" t="str">
        <f t="shared" si="6"/>
        <v xml:space="preserve">       when X"0x001F" =&gt;  reg_bus1_mask &lt;= DataIn;</v>
      </c>
    </row>
    <row r="34" spans="1:27" s="53" customFormat="1" ht="15.75" thickBot="1" x14ac:dyDescent="0.3">
      <c r="A34" s="51" t="s">
        <v>250</v>
      </c>
      <c r="B34" s="52">
        <v>32</v>
      </c>
      <c r="C34" s="136" t="str">
        <f t="shared" si="0"/>
        <v>0x0020</v>
      </c>
      <c r="D34" s="235" t="str">
        <f t="shared" si="1"/>
        <v>reg_status_rxed2 (0x0020)</v>
      </c>
      <c r="E34" s="139" t="s">
        <v>2</v>
      </c>
      <c r="F34" s="58" t="s">
        <v>231</v>
      </c>
      <c r="G34" s="131" t="str">
        <f t="shared" si="2"/>
        <v>0x0000</v>
      </c>
      <c r="H34" s="236" t="s">
        <v>211</v>
      </c>
      <c r="I34" s="54" t="s">
        <v>212</v>
      </c>
      <c r="J34" s="53" t="s">
        <v>213</v>
      </c>
      <c r="K34" s="53" t="s">
        <v>214</v>
      </c>
      <c r="L34" s="53" t="s">
        <v>215</v>
      </c>
      <c r="M34" s="53" t="s">
        <v>216</v>
      </c>
      <c r="N34" s="53" t="s">
        <v>217</v>
      </c>
      <c r="O34" s="54" t="s">
        <v>218</v>
      </c>
      <c r="P34" s="54" t="s">
        <v>377</v>
      </c>
      <c r="Q34" s="54" t="s">
        <v>219</v>
      </c>
      <c r="R34" s="54" t="s">
        <v>219</v>
      </c>
      <c r="S34" s="54" t="s">
        <v>220</v>
      </c>
      <c r="T34" s="54" t="s">
        <v>221</v>
      </c>
      <c r="U34" s="54" t="s">
        <v>222</v>
      </c>
      <c r="V34" s="54" t="s">
        <v>223</v>
      </c>
      <c r="W34" s="54" t="s">
        <v>224</v>
      </c>
      <c r="X34" s="53" t="str">
        <f t="shared" si="3"/>
        <v>const static uint16_t c_Mil1553_wreg_status_rxed2 = 0x0020;</v>
      </c>
      <c r="Y34" s="53" t="str">
        <f t="shared" si="4"/>
        <v>reg_status_rxed2 &lt;= X"0000";</v>
      </c>
      <c r="Z34" s="53" t="str">
        <f t="shared" si="5"/>
        <v xml:space="preserve">       when X"0x0020" =&gt; DataOut &lt;= reg_status_rxed2;</v>
      </c>
      <c r="AA34" s="53" t="str">
        <f t="shared" si="6"/>
        <v xml:space="preserve">       when X"0x0020" =&gt;  reg_status_rxed2 &lt;= DataIn;</v>
      </c>
    </row>
    <row r="35" spans="1:27" ht="15.75" thickBot="1" x14ac:dyDescent="0.3">
      <c r="A35" s="48" t="s">
        <v>251</v>
      </c>
      <c r="B35" s="44">
        <f t="shared" si="7"/>
        <v>33</v>
      </c>
      <c r="C35" s="137" t="str">
        <f t="shared" si="0"/>
        <v>0x0021</v>
      </c>
      <c r="D35" s="141" t="str">
        <f t="shared" si="1"/>
        <v>reg_mode_cmd_rxed2 (0x0021)</v>
      </c>
      <c r="E35" s="130" t="s">
        <v>2</v>
      </c>
      <c r="F35" s="45" t="s">
        <v>231</v>
      </c>
      <c r="G35" s="132" t="str">
        <f t="shared" si="2"/>
        <v>0x0000</v>
      </c>
      <c r="H35" s="134"/>
      <c r="J35" s="27"/>
      <c r="K35" s="27"/>
      <c r="L35" s="27"/>
      <c r="M35" s="27"/>
      <c r="N35" s="27"/>
      <c r="X35" s="53" t="str">
        <f t="shared" si="3"/>
        <v>const static uint16_t c_Mil1553_wreg_mode_cmd_rxed2 = 0x0021;</v>
      </c>
      <c r="Y35" s="27" t="str">
        <f t="shared" si="4"/>
        <v>reg_mode_cmd_rxed2 &lt;= X"0000";</v>
      </c>
      <c r="Z35" s="27" t="str">
        <f t="shared" si="5"/>
        <v xml:space="preserve">       when X"0x0021" =&gt; DataOut &lt;= reg_mode_cmd_rxed2;</v>
      </c>
      <c r="AA35" s="27" t="str">
        <f t="shared" si="6"/>
        <v xml:space="preserve">       when X"0x0021" =&gt;  reg_mode_cmd_rxed2 &lt;= DataIn;</v>
      </c>
    </row>
    <row r="36" spans="1:27" ht="15.75" thickBot="1" x14ac:dyDescent="0.3">
      <c r="A36" s="48" t="s">
        <v>252</v>
      </c>
      <c r="B36" s="44">
        <f t="shared" si="7"/>
        <v>34</v>
      </c>
      <c r="C36" s="137" t="str">
        <f t="shared" si="0"/>
        <v>0x0022</v>
      </c>
      <c r="D36" s="141" t="str">
        <f t="shared" si="1"/>
        <v>reg_mode_data_rxed2 (0x0022)</v>
      </c>
      <c r="E36" s="130" t="s">
        <v>2</v>
      </c>
      <c r="F36" s="45" t="s">
        <v>231</v>
      </c>
      <c r="G36" s="132" t="str">
        <f t="shared" si="2"/>
        <v>0x0000</v>
      </c>
      <c r="H36" s="134"/>
      <c r="J36" s="27"/>
      <c r="K36" s="27"/>
      <c r="L36" s="27"/>
      <c r="M36" s="27"/>
      <c r="N36" s="27"/>
      <c r="X36" s="53" t="str">
        <f t="shared" si="3"/>
        <v>const static uint16_t c_Mil1553_wreg_mode_data_rxed2 = 0x0022;</v>
      </c>
      <c r="Y36" s="27" t="str">
        <f t="shared" si="4"/>
        <v>reg_mode_data_rxed2 &lt;= X"0000";</v>
      </c>
      <c r="Z36" s="27" t="str">
        <f t="shared" si="5"/>
        <v xml:space="preserve">       when X"0x0022" =&gt; DataOut &lt;= reg_mode_data_rxed2;</v>
      </c>
      <c r="AA36" s="27" t="str">
        <f t="shared" si="6"/>
        <v xml:space="preserve">       when X"0x0022" =&gt;  reg_mode_data_rxed2 &lt;= DataIn;</v>
      </c>
    </row>
    <row r="37" spans="1:27" ht="15.75" thickBot="1" x14ac:dyDescent="0.3">
      <c r="A37" s="48" t="s">
        <v>253</v>
      </c>
      <c r="B37" s="44">
        <f t="shared" si="7"/>
        <v>35</v>
      </c>
      <c r="C37" s="137" t="str">
        <f t="shared" si="0"/>
        <v>0x0023</v>
      </c>
      <c r="D37" s="141" t="str">
        <f t="shared" si="1"/>
        <v>reg_rx_cmd2 (0x0023)</v>
      </c>
      <c r="E37" s="130" t="s">
        <v>2</v>
      </c>
      <c r="F37" s="45" t="s">
        <v>231</v>
      </c>
      <c r="G37" s="132" t="str">
        <f t="shared" si="2"/>
        <v>0x0000</v>
      </c>
      <c r="H37" s="134"/>
      <c r="J37" s="27"/>
      <c r="K37" s="23" t="s">
        <v>210</v>
      </c>
      <c r="L37" s="23" t="s">
        <v>203</v>
      </c>
      <c r="M37" s="23" t="s">
        <v>196</v>
      </c>
      <c r="N37" s="23" t="s">
        <v>197</v>
      </c>
      <c r="O37" s="23" t="s">
        <v>199</v>
      </c>
      <c r="X37" s="53" t="str">
        <f t="shared" si="3"/>
        <v>const static uint16_t c_Mil1553_wreg_rx_cmd2 = 0x0023;</v>
      </c>
      <c r="Y37" s="27" t="str">
        <f t="shared" si="4"/>
        <v>reg_rx_cmd2 &lt;= X"0000";</v>
      </c>
      <c r="Z37" s="27" t="str">
        <f t="shared" si="5"/>
        <v xml:space="preserve">       when X"0x0023" =&gt; DataOut &lt;= reg_rx_cmd2;</v>
      </c>
      <c r="AA37" s="27" t="str">
        <f t="shared" si="6"/>
        <v xml:space="preserve">       when X"0x0023" =&gt;  reg_rx_cmd2 &lt;= DataIn;</v>
      </c>
    </row>
    <row r="38" spans="1:27" ht="15.75" thickBot="1" x14ac:dyDescent="0.3">
      <c r="A38" s="48" t="s">
        <v>254</v>
      </c>
      <c r="B38" s="44">
        <f t="shared" si="7"/>
        <v>36</v>
      </c>
      <c r="C38" s="137" t="str">
        <f t="shared" si="0"/>
        <v>0x0024</v>
      </c>
      <c r="D38" s="141" t="str">
        <f t="shared" si="1"/>
        <v>reg_tx_control2 (0x0024)</v>
      </c>
      <c r="E38" s="130" t="s">
        <v>1</v>
      </c>
      <c r="F38" s="45" t="s">
        <v>231</v>
      </c>
      <c r="G38" s="132" t="str">
        <f t="shared" si="2"/>
        <v>0x0000</v>
      </c>
      <c r="H38" s="129" t="s">
        <v>121</v>
      </c>
      <c r="I38" s="23" t="s">
        <v>122</v>
      </c>
      <c r="J38" s="23"/>
      <c r="K38" s="23"/>
      <c r="T38" s="286"/>
      <c r="U38" s="286"/>
      <c r="V38" s="286"/>
      <c r="W38" s="218"/>
      <c r="X38" s="53" t="str">
        <f t="shared" si="3"/>
        <v>const static uint16_t c_Mil1553_wreg_tx_control2 = 0x0024;</v>
      </c>
      <c r="Y38" s="27" t="str">
        <f t="shared" si="4"/>
        <v>reg_tx_control2 &lt;= X"0000";</v>
      </c>
      <c r="Z38" s="27" t="str">
        <f t="shared" si="5"/>
        <v xml:space="preserve">       when X"0x0024" =&gt; DataOut &lt;= reg_tx_control2;</v>
      </c>
      <c r="AA38" s="27" t="str">
        <f t="shared" si="6"/>
        <v xml:space="preserve">       when X"0x0024" =&gt;  reg_tx_control2 &lt;= DataIn;</v>
      </c>
    </row>
    <row r="39" spans="1:27" ht="15.75" thickBot="1" x14ac:dyDescent="0.3">
      <c r="A39" s="48" t="s">
        <v>255</v>
      </c>
      <c r="B39" s="44">
        <f t="shared" si="7"/>
        <v>37</v>
      </c>
      <c r="C39" s="137" t="str">
        <f t="shared" si="0"/>
        <v>0x0025</v>
      </c>
      <c r="D39" s="141" t="str">
        <f t="shared" si="1"/>
        <v>reg_cmd_proc_start2 (0x0025)</v>
      </c>
      <c r="E39" s="130" t="s">
        <v>1</v>
      </c>
      <c r="F39" s="45" t="s">
        <v>231</v>
      </c>
      <c r="G39" s="132" t="str">
        <f t="shared" si="2"/>
        <v>0x0000</v>
      </c>
      <c r="H39" s="129"/>
      <c r="I39" s="23"/>
      <c r="J39" s="23"/>
      <c r="K39" s="23"/>
      <c r="L39" s="23"/>
      <c r="M39" s="23"/>
      <c r="N39" s="23"/>
      <c r="O39" s="23"/>
      <c r="P39" s="23"/>
      <c r="Q39" s="23"/>
      <c r="R39" s="23"/>
      <c r="S39" s="23"/>
      <c r="U39" s="218"/>
      <c r="V39" s="218"/>
      <c r="W39" s="218"/>
      <c r="X39" s="53" t="str">
        <f t="shared" si="3"/>
        <v>const static uint16_t c_Mil1553_wreg_cmd_proc_start2 = 0x0025;</v>
      </c>
      <c r="Y39" s="27" t="str">
        <f t="shared" si="4"/>
        <v>reg_cmd_proc_start2 &lt;= X"0000";</v>
      </c>
      <c r="Z39" s="27" t="str">
        <f t="shared" si="5"/>
        <v xml:space="preserve">       when X"0x0025" =&gt; DataOut &lt;= reg_cmd_proc_start2;</v>
      </c>
      <c r="AA39" s="27" t="str">
        <f t="shared" si="6"/>
        <v xml:space="preserve">       when X"0x0025" =&gt;  reg_cmd_proc_start2 &lt;= DataIn;</v>
      </c>
    </row>
    <row r="40" spans="1:27" ht="15.75" thickBot="1" x14ac:dyDescent="0.3">
      <c r="A40" s="48" t="s">
        <v>256</v>
      </c>
      <c r="B40" s="44">
        <f t="shared" si="7"/>
        <v>38</v>
      </c>
      <c r="C40" s="137" t="str">
        <f t="shared" si="0"/>
        <v>0x0026</v>
      </c>
      <c r="D40" s="141" t="str">
        <f t="shared" si="1"/>
        <v>reg_cmd_proc_length2 (0x0026)</v>
      </c>
      <c r="E40" s="130" t="s">
        <v>1</v>
      </c>
      <c r="F40" s="45" t="s">
        <v>231</v>
      </c>
      <c r="G40" s="132" t="str">
        <f t="shared" si="2"/>
        <v>0x0000</v>
      </c>
      <c r="H40" s="130"/>
      <c r="X40" s="53" t="str">
        <f t="shared" si="3"/>
        <v>const static uint16_t c_Mil1553_wreg_cmd_proc_length2 = 0x0026;</v>
      </c>
      <c r="Y40" s="27" t="str">
        <f t="shared" si="4"/>
        <v>reg_cmd_proc_length2 &lt;= X"0000";</v>
      </c>
      <c r="Z40" s="27" t="str">
        <f t="shared" si="5"/>
        <v xml:space="preserve">       when X"0x0026" =&gt; DataOut &lt;= reg_cmd_proc_length2;</v>
      </c>
      <c r="AA40" s="27" t="str">
        <f t="shared" si="6"/>
        <v xml:space="preserve">       when X"0x0026" =&gt;  reg_cmd_proc_length2 &lt;= DataIn;</v>
      </c>
    </row>
    <row r="41" spans="1:27" ht="15.75" thickBot="1" x14ac:dyDescent="0.3">
      <c r="A41" s="48" t="s">
        <v>559</v>
      </c>
      <c r="B41" s="44">
        <f t="shared" si="7"/>
        <v>39</v>
      </c>
      <c r="C41" s="137" t="str">
        <f t="shared" si="0"/>
        <v>0x0027</v>
      </c>
      <c r="D41" s="141" t="str">
        <f t="shared" si="1"/>
        <v>reg_cmd_rxed2 (0x0027)</v>
      </c>
      <c r="E41" s="130"/>
      <c r="F41" s="45" t="s">
        <v>231</v>
      </c>
      <c r="G41" s="132" t="str">
        <f t="shared" si="2"/>
        <v>0x0000</v>
      </c>
      <c r="H41" s="134" t="s">
        <v>211</v>
      </c>
      <c r="I41" s="24" t="s">
        <v>212</v>
      </c>
      <c r="J41" s="27" t="s">
        <v>213</v>
      </c>
      <c r="K41" s="27" t="s">
        <v>214</v>
      </c>
      <c r="L41" s="27" t="s">
        <v>215</v>
      </c>
      <c r="M41" s="24" t="s">
        <v>332</v>
      </c>
      <c r="N41" s="24" t="s">
        <v>129</v>
      </c>
      <c r="O41" s="24" t="s">
        <v>128</v>
      </c>
      <c r="P41" s="24" t="s">
        <v>127</v>
      </c>
      <c r="Q41" s="24" t="s">
        <v>125</v>
      </c>
      <c r="R41" s="24" t="s">
        <v>560</v>
      </c>
      <c r="S41" s="218" t="s">
        <v>562</v>
      </c>
      <c r="T41" s="218" t="s">
        <v>563</v>
      </c>
      <c r="U41" s="218" t="s">
        <v>564</v>
      </c>
      <c r="V41" s="218" t="s">
        <v>565</v>
      </c>
      <c r="W41" s="218" t="s">
        <v>561</v>
      </c>
      <c r="X41" s="53" t="str">
        <f t="shared" si="3"/>
        <v>const static uint16_t c_Mil1553_wreg_cmd_rxed2 = 0x0027;</v>
      </c>
      <c r="Y41" s="27" t="str">
        <f t="shared" si="4"/>
        <v>reg_cmd_rxed2 &lt;= X"0000";</v>
      </c>
      <c r="Z41" s="27" t="str">
        <f t="shared" si="5"/>
        <v xml:space="preserve">       when X"0x0027" =&gt; DataOut &lt;= reg_cmd_rxed2;</v>
      </c>
      <c r="AA41" s="27" t="str">
        <f t="shared" si="6"/>
        <v xml:space="preserve">       when X"0x0027" =&gt;  reg_cmd_rxed2 &lt;= DataIn;</v>
      </c>
    </row>
    <row r="42" spans="1:27" ht="15.75" thickBot="1" x14ac:dyDescent="0.3">
      <c r="A42" s="48" t="s">
        <v>237</v>
      </c>
      <c r="B42" s="44">
        <f t="shared" si="7"/>
        <v>40</v>
      </c>
      <c r="C42" s="137" t="str">
        <f t="shared" si="0"/>
        <v>0x0028</v>
      </c>
      <c r="D42" s="141" t="str">
        <f t="shared" si="1"/>
        <v>reg_40 (0x0028)</v>
      </c>
      <c r="E42" s="130"/>
      <c r="F42" s="45" t="s">
        <v>231</v>
      </c>
      <c r="G42" s="132" t="str">
        <f t="shared" si="2"/>
        <v>0x0000</v>
      </c>
      <c r="H42" s="130"/>
      <c r="X42" s="53" t="str">
        <f t="shared" si="3"/>
        <v>const static uint16_t c_Mil1553_wreg_40 = 0x0028;</v>
      </c>
      <c r="Y42" s="27" t="str">
        <f t="shared" si="4"/>
        <v>reg_40 &lt;= X"0000";</v>
      </c>
      <c r="Z42" s="27" t="str">
        <f t="shared" si="5"/>
        <v xml:space="preserve">       when X"0x0028" =&gt; DataOut &lt;= reg_40;</v>
      </c>
      <c r="AA42" s="27" t="str">
        <f t="shared" si="6"/>
        <v xml:space="preserve">       when X"0x0028" =&gt;  reg_40 &lt;= DataIn;</v>
      </c>
    </row>
    <row r="43" spans="1:27" ht="15.75" thickBot="1" x14ac:dyDescent="0.3">
      <c r="A43" s="48" t="s">
        <v>677</v>
      </c>
      <c r="B43" s="44">
        <f t="shared" si="7"/>
        <v>41</v>
      </c>
      <c r="C43" s="137" t="str">
        <f t="shared" si="0"/>
        <v>0x0029</v>
      </c>
      <c r="D43" s="141" t="str">
        <f t="shared" si="1"/>
        <v>reg_bus2_DatSyncErr (0x0029)</v>
      </c>
      <c r="E43" s="130"/>
      <c r="F43" s="45" t="s">
        <v>231</v>
      </c>
      <c r="G43" s="132" t="str">
        <f t="shared" si="2"/>
        <v>0x0000</v>
      </c>
      <c r="H43" s="130" t="s">
        <v>19</v>
      </c>
      <c r="I43" s="24" t="s">
        <v>18</v>
      </c>
      <c r="J43" s="24" t="s">
        <v>6</v>
      </c>
      <c r="K43" s="24" t="s">
        <v>7</v>
      </c>
      <c r="L43" s="24" t="s">
        <v>8</v>
      </c>
      <c r="M43" s="24" t="s">
        <v>9</v>
      </c>
      <c r="N43" s="24" t="s">
        <v>10</v>
      </c>
      <c r="O43" s="24" t="s">
        <v>11</v>
      </c>
      <c r="P43" s="24" t="s">
        <v>12</v>
      </c>
      <c r="Q43" s="24" t="s">
        <v>13</v>
      </c>
      <c r="R43" s="24" t="s">
        <v>14</v>
      </c>
      <c r="S43" s="24" t="s">
        <v>15</v>
      </c>
      <c r="T43" s="24" t="s">
        <v>16</v>
      </c>
      <c r="U43" s="24" t="s">
        <v>17</v>
      </c>
      <c r="V43" s="24" t="s">
        <v>5</v>
      </c>
      <c r="W43" s="24" t="s">
        <v>4</v>
      </c>
      <c r="X43" s="53" t="str">
        <f t="shared" si="3"/>
        <v>const static uint16_t c_Mil1553_wreg_bus2_DatSyncErr = 0x0029;</v>
      </c>
      <c r="Y43" s="27" t="str">
        <f t="shared" si="4"/>
        <v>reg_bus2_DatSyncErr &lt;= X"0000";</v>
      </c>
      <c r="Z43" s="27" t="str">
        <f t="shared" si="5"/>
        <v xml:space="preserve">       when X"0x0029" =&gt; DataOut &lt;= reg_bus2_DatSyncErr;</v>
      </c>
      <c r="AA43" s="27" t="str">
        <f t="shared" si="6"/>
        <v xml:space="preserve">       when X"0x0029" =&gt;  reg_bus2_DatSyncErr &lt;= DataIn;</v>
      </c>
    </row>
    <row r="44" spans="1:27" ht="15.75" thickBot="1" x14ac:dyDescent="0.3">
      <c r="A44" s="48" t="s">
        <v>678</v>
      </c>
      <c r="B44" s="44">
        <f t="shared" si="7"/>
        <v>42</v>
      </c>
      <c r="C44" s="137" t="str">
        <f t="shared" si="0"/>
        <v>0x002A</v>
      </c>
      <c r="D44" s="141" t="str">
        <f t="shared" si="1"/>
        <v>reg_bus2_CmdSyncErr (0x002A)</v>
      </c>
      <c r="E44" s="130"/>
      <c r="F44" s="45" t="s">
        <v>231</v>
      </c>
      <c r="G44" s="132" t="str">
        <f t="shared" si="2"/>
        <v>0x0000</v>
      </c>
      <c r="H44" s="130"/>
      <c r="X44" s="53" t="str">
        <f t="shared" si="3"/>
        <v>const static uint16_t c_Mil1553_wreg_bus2_CmdSyncErr = 0x002A;</v>
      </c>
      <c r="Y44" s="27" t="str">
        <f t="shared" si="4"/>
        <v>reg_bus2_CmdSyncErr &lt;= X"0000";</v>
      </c>
      <c r="Z44" s="27" t="str">
        <f t="shared" si="5"/>
        <v xml:space="preserve">       when X"0x002A" =&gt; DataOut &lt;= reg_bus2_CmdSyncErr;</v>
      </c>
      <c r="AA44" s="27" t="str">
        <f t="shared" si="6"/>
        <v xml:space="preserve">       when X"0x002A" =&gt;  reg_bus2_CmdSyncErr &lt;= DataIn;</v>
      </c>
    </row>
    <row r="45" spans="1:27" ht="15.75" thickBot="1" x14ac:dyDescent="0.3">
      <c r="A45" s="48" t="s">
        <v>679</v>
      </c>
      <c r="B45" s="44">
        <f t="shared" si="7"/>
        <v>43</v>
      </c>
      <c r="C45" s="137" t="str">
        <f t="shared" si="0"/>
        <v>0x002B</v>
      </c>
      <c r="D45" s="141" t="str">
        <f t="shared" si="1"/>
        <v>reg_bus2_EarlyEdgeErr (0x002B)</v>
      </c>
      <c r="E45" s="130"/>
      <c r="F45" s="45" t="s">
        <v>231</v>
      </c>
      <c r="G45" s="132" t="str">
        <f t="shared" si="2"/>
        <v>0x0000</v>
      </c>
      <c r="H45" s="130"/>
      <c r="X45" s="53" t="str">
        <f t="shared" si="3"/>
        <v>const static uint16_t c_Mil1553_wreg_bus2_EarlyEdgeErr = 0x002B;</v>
      </c>
      <c r="Y45" s="27" t="str">
        <f t="shared" si="4"/>
        <v>reg_bus2_EarlyEdgeErr &lt;= X"0000";</v>
      </c>
      <c r="Z45" s="27" t="str">
        <f t="shared" si="5"/>
        <v xml:space="preserve">       when X"0x002B" =&gt; DataOut &lt;= reg_bus2_EarlyEdgeErr;</v>
      </c>
      <c r="AA45" s="27" t="str">
        <f t="shared" si="6"/>
        <v xml:space="preserve">       when X"0x002B" =&gt;  reg_bus2_EarlyEdgeErr &lt;= DataIn;</v>
      </c>
    </row>
    <row r="46" spans="1:27" ht="15.75" thickBot="1" x14ac:dyDescent="0.3">
      <c r="A46" s="48" t="s">
        <v>680</v>
      </c>
      <c r="B46" s="44">
        <f t="shared" si="7"/>
        <v>44</v>
      </c>
      <c r="C46" s="137" t="str">
        <f t="shared" si="0"/>
        <v>0x002C</v>
      </c>
      <c r="D46" s="141" t="str">
        <f t="shared" si="1"/>
        <v>reg_bus2_LateEdgeErr (0x002C)</v>
      </c>
      <c r="E46" s="130"/>
      <c r="F46" s="45" t="s">
        <v>231</v>
      </c>
      <c r="G46" s="132" t="str">
        <f t="shared" si="2"/>
        <v>0x0000</v>
      </c>
      <c r="H46" s="130"/>
      <c r="X46" s="53" t="str">
        <f t="shared" si="3"/>
        <v>const static uint16_t c_Mil1553_wreg_bus2_LateEdgeErr = 0x002C;</v>
      </c>
      <c r="Y46" s="27" t="str">
        <f t="shared" si="4"/>
        <v>reg_bus2_LateEdgeErr &lt;= X"0000";</v>
      </c>
      <c r="Z46" s="27" t="str">
        <f t="shared" si="5"/>
        <v xml:space="preserve">       when X"0x002C" =&gt; DataOut &lt;= reg_bus2_LateEdgeErr;</v>
      </c>
      <c r="AA46" s="27" t="str">
        <f t="shared" si="6"/>
        <v xml:space="preserve">       when X"0x002C" =&gt;  reg_bus2_LateEdgeErr &lt;= DataIn;</v>
      </c>
    </row>
    <row r="47" spans="1:27" ht="15.75" thickBot="1" x14ac:dyDescent="0.3">
      <c r="A47" s="48" t="s">
        <v>681</v>
      </c>
      <c r="B47" s="44">
        <f t="shared" si="7"/>
        <v>45</v>
      </c>
      <c r="C47" s="137" t="str">
        <f t="shared" si="0"/>
        <v>0x002D</v>
      </c>
      <c r="D47" s="141" t="str">
        <f t="shared" si="1"/>
        <v>reg_bus2_ParityErr (0x002D)</v>
      </c>
      <c r="E47" s="130"/>
      <c r="F47" s="45" t="s">
        <v>231</v>
      </c>
      <c r="G47" s="132" t="str">
        <f t="shared" si="2"/>
        <v>0x0000</v>
      </c>
      <c r="H47" s="130"/>
      <c r="X47" s="53" t="str">
        <f t="shared" si="3"/>
        <v>const static uint16_t c_Mil1553_wreg_bus2_ParityErr = 0x002D;</v>
      </c>
      <c r="Y47" s="27" t="str">
        <f t="shared" si="4"/>
        <v>reg_bus2_ParityErr &lt;= X"0000";</v>
      </c>
      <c r="Z47" s="27" t="str">
        <f t="shared" si="5"/>
        <v xml:space="preserve">       when X"0x002D" =&gt; DataOut &lt;= reg_bus2_ParityErr;</v>
      </c>
      <c r="AA47" s="27" t="str">
        <f t="shared" si="6"/>
        <v xml:space="preserve">       when X"0x002D" =&gt;  reg_bus2_ParityErr &lt;= DataIn;</v>
      </c>
    </row>
    <row r="48" spans="1:27" ht="15.75" thickBot="1" x14ac:dyDescent="0.3">
      <c r="A48" s="48" t="s">
        <v>325</v>
      </c>
      <c r="B48" s="44">
        <f t="shared" si="7"/>
        <v>46</v>
      </c>
      <c r="C48" s="137" t="str">
        <f t="shared" si="0"/>
        <v>0x002E</v>
      </c>
      <c r="D48" s="141" t="str">
        <f t="shared" si="1"/>
        <v>reg_bus2_status (0x002E)</v>
      </c>
      <c r="E48" s="130"/>
      <c r="F48" s="45" t="s">
        <v>231</v>
      </c>
      <c r="G48" s="132" t="str">
        <f t="shared" si="2"/>
        <v>0x0000</v>
      </c>
      <c r="H48" s="130"/>
      <c r="P48" s="24" t="s">
        <v>383</v>
      </c>
      <c r="Q48" s="24" t="s">
        <v>374</v>
      </c>
      <c r="R48" s="24" t="s">
        <v>373</v>
      </c>
      <c r="S48" s="24" t="s">
        <v>331</v>
      </c>
      <c r="T48" s="24" t="s">
        <v>330</v>
      </c>
      <c r="U48" s="24" t="s">
        <v>328</v>
      </c>
      <c r="V48" s="24" t="s">
        <v>329</v>
      </c>
      <c r="W48" s="24" t="s">
        <v>327</v>
      </c>
      <c r="X48" s="53" t="str">
        <f t="shared" si="3"/>
        <v>const static uint16_t c_Mil1553_wreg_bus2_status = 0x002E;</v>
      </c>
      <c r="Y48" s="27" t="str">
        <f t="shared" si="4"/>
        <v>reg_bus2_status &lt;= X"0000";</v>
      </c>
      <c r="Z48" s="27" t="str">
        <f t="shared" si="5"/>
        <v xml:space="preserve">       when X"0x002E" =&gt; DataOut &lt;= reg_bus2_status;</v>
      </c>
      <c r="AA48" s="27" t="str">
        <f t="shared" si="6"/>
        <v xml:space="preserve">       when X"0x002E" =&gt;  reg_bus2_status &lt;= DataIn;</v>
      </c>
    </row>
    <row r="49" spans="1:27" s="50" customFormat="1" ht="15.75" thickBot="1" x14ac:dyDescent="0.3">
      <c r="A49" s="55" t="s">
        <v>326</v>
      </c>
      <c r="B49" s="49">
        <f t="shared" si="7"/>
        <v>47</v>
      </c>
      <c r="C49" s="138" t="str">
        <f t="shared" si="0"/>
        <v>0x002F</v>
      </c>
      <c r="D49" s="237" t="str">
        <f t="shared" si="1"/>
        <v>reg_bus2_mask (0x002F)</v>
      </c>
      <c r="E49" s="140"/>
      <c r="F49" s="127" t="s">
        <v>231</v>
      </c>
      <c r="G49" s="133" t="str">
        <f t="shared" si="2"/>
        <v>0x0000</v>
      </c>
      <c r="H49" s="140"/>
      <c r="I49" s="56"/>
      <c r="J49" s="56"/>
      <c r="K49" s="56"/>
      <c r="L49" s="56"/>
      <c r="M49" s="56"/>
      <c r="N49" s="56"/>
      <c r="O49" s="56"/>
      <c r="P49" s="56" t="s">
        <v>383</v>
      </c>
      <c r="Q49" s="56" t="s">
        <v>374</v>
      </c>
      <c r="R49" s="56" t="s">
        <v>373</v>
      </c>
      <c r="S49" s="56" t="s">
        <v>331</v>
      </c>
      <c r="T49" s="56" t="s">
        <v>330</v>
      </c>
      <c r="U49" s="56" t="s">
        <v>328</v>
      </c>
      <c r="V49" s="56" t="s">
        <v>329</v>
      </c>
      <c r="W49" s="56" t="s">
        <v>327</v>
      </c>
      <c r="X49" s="238" t="str">
        <f t="shared" si="3"/>
        <v>const static uint16_t c_Mil1553_wreg_bus2_mask = 0x002F;</v>
      </c>
      <c r="Y49" s="50" t="str">
        <f t="shared" si="4"/>
        <v>reg_bus2_mask &lt;= X"0000";</v>
      </c>
      <c r="Z49" s="50" t="str">
        <f t="shared" si="5"/>
        <v xml:space="preserve">       when X"0x002F" =&gt; DataOut &lt;= reg_bus2_mask;</v>
      </c>
      <c r="AA49" s="50" t="str">
        <f t="shared" si="6"/>
        <v xml:space="preserve">       when X"0x002F" =&gt;  reg_bus2_mask &lt;= DataIn;</v>
      </c>
    </row>
    <row r="50" spans="1:27" s="47" customFormat="1" ht="15.75" thickBot="1" x14ac:dyDescent="0.3">
      <c r="A50" s="228" t="s">
        <v>262</v>
      </c>
      <c r="B50" s="229">
        <f>B49+1</f>
        <v>48</v>
      </c>
      <c r="C50" s="230" t="str">
        <f t="shared" si="0"/>
        <v>0x0030</v>
      </c>
      <c r="D50" s="141" t="str">
        <f t="shared" si="1"/>
        <v>Timestamp3 MSB (0x0030)</v>
      </c>
      <c r="E50" s="231" t="s">
        <v>1</v>
      </c>
      <c r="F50" s="232" t="s">
        <v>231</v>
      </c>
      <c r="G50" s="233" t="str">
        <f t="shared" si="2"/>
        <v>0x0000</v>
      </c>
      <c r="H50" s="231" t="s">
        <v>263</v>
      </c>
      <c r="I50" s="234" t="s">
        <v>264</v>
      </c>
      <c r="J50" s="234" t="s">
        <v>265</v>
      </c>
      <c r="K50" s="234" t="s">
        <v>266</v>
      </c>
      <c r="L50" s="234" t="s">
        <v>267</v>
      </c>
      <c r="M50" s="234" t="s">
        <v>268</v>
      </c>
      <c r="N50" s="234" t="s">
        <v>269</v>
      </c>
      <c r="O50" s="234" t="s">
        <v>270</v>
      </c>
      <c r="P50" s="234" t="s">
        <v>271</v>
      </c>
      <c r="Q50" s="234" t="s">
        <v>272</v>
      </c>
      <c r="R50" s="234" t="s">
        <v>273</v>
      </c>
      <c r="S50" s="234" t="s">
        <v>274</v>
      </c>
      <c r="T50" s="234" t="s">
        <v>275</v>
      </c>
      <c r="U50" s="234" t="s">
        <v>276</v>
      </c>
      <c r="V50" s="234" t="s">
        <v>277</v>
      </c>
      <c r="W50" s="234" t="s">
        <v>278</v>
      </c>
      <c r="X50" s="47" t="str">
        <f t="shared" si="3"/>
        <v>const static uint16_t c_Mil1553_wTimestamp3 MSB = 0x0030;</v>
      </c>
      <c r="Y50" s="47" t="str">
        <f t="shared" ref="Y50:Y57" si="11">CONCATENATE(A50," &lt;= X""",F50,""";")</f>
        <v>Timestamp3 MSB &lt;= X"0000";</v>
      </c>
      <c r="Z50" s="47" t="str">
        <f t="shared" ref="Z50:Z57" si="12">CONCATENATE("       when X""",C50,""" =&gt; DataOut &lt;= ",A50,";")</f>
        <v xml:space="preserve">       when X"0x0030" =&gt; DataOut &lt;= Timestamp3 MSB;</v>
      </c>
      <c r="AA50" s="47" t="str">
        <f t="shared" ref="AA50:AA57" si="13">CONCATENATE("       when X""",C50,""" =&gt;  ",A50," &lt;= DataIn;")</f>
        <v xml:space="preserve">       when X"0x0030" =&gt;  Timestamp3 MSB &lt;= DataIn;</v>
      </c>
    </row>
    <row r="51" spans="1:27" ht="15.75" thickBot="1" x14ac:dyDescent="0.3">
      <c r="A51" s="48" t="s">
        <v>279</v>
      </c>
      <c r="B51" s="44">
        <f>B50+1</f>
        <v>49</v>
      </c>
      <c r="C51" s="137" t="str">
        <f t="shared" si="0"/>
        <v>0x0031</v>
      </c>
      <c r="D51" s="141" t="str">
        <f t="shared" si="1"/>
        <v>Timestamp2 (0x0031)</v>
      </c>
      <c r="E51" s="130" t="s">
        <v>1</v>
      </c>
      <c r="F51" s="45" t="s">
        <v>231</v>
      </c>
      <c r="G51" s="132" t="str">
        <f t="shared" si="2"/>
        <v>0x0000</v>
      </c>
      <c r="H51" s="130" t="s">
        <v>280</v>
      </c>
      <c r="I51" s="24" t="s">
        <v>281</v>
      </c>
      <c r="J51" s="24" t="s">
        <v>282</v>
      </c>
      <c r="K51" s="24" t="s">
        <v>283</v>
      </c>
      <c r="L51" s="24" t="s">
        <v>284</v>
      </c>
      <c r="M51" s="24" t="s">
        <v>285</v>
      </c>
      <c r="N51" s="24" t="s">
        <v>286</v>
      </c>
      <c r="O51" s="24" t="s">
        <v>287</v>
      </c>
      <c r="P51" s="24" t="s">
        <v>288</v>
      </c>
      <c r="Q51" s="24" t="s">
        <v>289</v>
      </c>
      <c r="R51" s="24" t="s">
        <v>290</v>
      </c>
      <c r="S51" s="24" t="s">
        <v>291</v>
      </c>
      <c r="T51" s="24" t="s">
        <v>292</v>
      </c>
      <c r="U51" s="24" t="s">
        <v>293</v>
      </c>
      <c r="V51" s="24" t="s">
        <v>294</v>
      </c>
      <c r="W51" s="24" t="s">
        <v>295</v>
      </c>
      <c r="X51" s="53" t="str">
        <f t="shared" si="3"/>
        <v>const static uint16_t c_Mil1553_wTimestamp2 = 0x0031;</v>
      </c>
      <c r="Y51" s="27" t="str">
        <f t="shared" si="11"/>
        <v>Timestamp2 &lt;= X"0000";</v>
      </c>
      <c r="Z51" s="27" t="str">
        <f t="shared" si="12"/>
        <v xml:space="preserve">       when X"0x0031" =&gt; DataOut &lt;= Timestamp2;</v>
      </c>
      <c r="AA51" s="27" t="str">
        <f t="shared" si="13"/>
        <v xml:space="preserve">       when X"0x0031" =&gt;  Timestamp2 &lt;= DataIn;</v>
      </c>
    </row>
    <row r="52" spans="1:27" ht="15.75" thickBot="1" x14ac:dyDescent="0.3">
      <c r="A52" s="48" t="s">
        <v>296</v>
      </c>
      <c r="B52" s="44">
        <f t="shared" ref="B52:B65" si="14">B51+1</f>
        <v>50</v>
      </c>
      <c r="C52" s="137" t="str">
        <f t="shared" si="0"/>
        <v>0x0032</v>
      </c>
      <c r="D52" s="141" t="str">
        <f t="shared" si="1"/>
        <v>Timestamp1 (0x0032)</v>
      </c>
      <c r="E52" s="130" t="s">
        <v>1</v>
      </c>
      <c r="F52" s="45" t="s">
        <v>231</v>
      </c>
      <c r="G52" s="132" t="str">
        <f t="shared" si="2"/>
        <v>0x0000</v>
      </c>
      <c r="H52" s="130" t="s">
        <v>297</v>
      </c>
      <c r="I52" s="24" t="s">
        <v>298</v>
      </c>
      <c r="J52" s="24" t="s">
        <v>299</v>
      </c>
      <c r="K52" s="24" t="s">
        <v>300</v>
      </c>
      <c r="L52" s="24" t="s">
        <v>301</v>
      </c>
      <c r="M52" s="24" t="s">
        <v>302</v>
      </c>
      <c r="N52" s="24" t="s">
        <v>303</v>
      </c>
      <c r="O52" s="24" t="s">
        <v>304</v>
      </c>
      <c r="P52" s="24" t="s">
        <v>305</v>
      </c>
      <c r="Q52" s="24" t="s">
        <v>306</v>
      </c>
      <c r="R52" s="24" t="s">
        <v>307</v>
      </c>
      <c r="S52" s="24" t="s">
        <v>308</v>
      </c>
      <c r="T52" s="24" t="s">
        <v>309</v>
      </c>
      <c r="U52" s="24" t="s">
        <v>310</v>
      </c>
      <c r="V52" s="24" t="s">
        <v>311</v>
      </c>
      <c r="W52" s="24" t="s">
        <v>312</v>
      </c>
      <c r="X52" s="53" t="str">
        <f t="shared" si="3"/>
        <v>const static uint16_t c_Mil1553_wTimestamp1 = 0x0032;</v>
      </c>
      <c r="Y52" s="27" t="str">
        <f t="shared" si="11"/>
        <v>Timestamp1 &lt;= X"0000";</v>
      </c>
      <c r="Z52" s="27" t="str">
        <f t="shared" si="12"/>
        <v xml:space="preserve">       when X"0x0032" =&gt; DataOut &lt;= Timestamp1;</v>
      </c>
      <c r="AA52" s="27" t="str">
        <f t="shared" si="13"/>
        <v xml:space="preserve">       when X"0x0032" =&gt;  Timestamp1 &lt;= DataIn;</v>
      </c>
    </row>
    <row r="53" spans="1:27" ht="15.75" thickBot="1" x14ac:dyDescent="0.3">
      <c r="A53" s="48" t="s">
        <v>313</v>
      </c>
      <c r="B53" s="44">
        <f t="shared" si="14"/>
        <v>51</v>
      </c>
      <c r="C53" s="137" t="str">
        <f t="shared" si="0"/>
        <v>0x0033</v>
      </c>
      <c r="D53" s="141" t="str">
        <f t="shared" si="1"/>
        <v>Timestamp0 LSB (0x0033)</v>
      </c>
      <c r="E53" s="130" t="s">
        <v>1</v>
      </c>
      <c r="F53" s="45" t="s">
        <v>231</v>
      </c>
      <c r="G53" s="132" t="str">
        <f t="shared" si="2"/>
        <v>0x0000</v>
      </c>
      <c r="H53" s="130" t="s">
        <v>19</v>
      </c>
      <c r="I53" s="24" t="s">
        <v>18</v>
      </c>
      <c r="J53" s="24" t="s">
        <v>6</v>
      </c>
      <c r="K53" s="24" t="s">
        <v>7</v>
      </c>
      <c r="L53" s="24" t="s">
        <v>8</v>
      </c>
      <c r="M53" s="24" t="s">
        <v>9</v>
      </c>
      <c r="N53" s="24" t="s">
        <v>10</v>
      </c>
      <c r="O53" s="24" t="s">
        <v>11</v>
      </c>
      <c r="P53" s="24" t="s">
        <v>12</v>
      </c>
      <c r="Q53" s="24" t="s">
        <v>13</v>
      </c>
      <c r="R53" s="24" t="s">
        <v>14</v>
      </c>
      <c r="S53" s="24" t="s">
        <v>15</v>
      </c>
      <c r="T53" s="24" t="s">
        <v>16</v>
      </c>
      <c r="U53" s="24" t="s">
        <v>17</v>
      </c>
      <c r="V53" s="24" t="s">
        <v>5</v>
      </c>
      <c r="W53" s="24" t="s">
        <v>4</v>
      </c>
      <c r="X53" s="53" t="str">
        <f t="shared" si="3"/>
        <v>const static uint16_t c_Mil1553_wTimestamp0 LSB = 0x0033;</v>
      </c>
      <c r="Y53" s="27" t="str">
        <f t="shared" si="11"/>
        <v>Timestamp0 LSB &lt;= X"0000";</v>
      </c>
      <c r="Z53" s="27" t="str">
        <f t="shared" si="12"/>
        <v xml:space="preserve">       when X"0x0033" =&gt; DataOut &lt;= Timestamp0 LSB;</v>
      </c>
      <c r="AA53" s="27" t="str">
        <f t="shared" si="13"/>
        <v xml:space="preserve">       when X"0x0033" =&gt;  Timestamp0 LSB &lt;= DataIn;</v>
      </c>
    </row>
    <row r="54" spans="1:27" ht="30.75" thickBot="1" x14ac:dyDescent="0.3">
      <c r="A54" s="48" t="s">
        <v>375</v>
      </c>
      <c r="B54" s="44">
        <f t="shared" si="14"/>
        <v>52</v>
      </c>
      <c r="C54" s="137" t="str">
        <f t="shared" si="0"/>
        <v>0x0034</v>
      </c>
      <c r="D54" s="141" t="str">
        <f t="shared" si="1"/>
        <v>reg_rt_control (0x0034)</v>
      </c>
      <c r="E54" s="130" t="s">
        <v>1</v>
      </c>
      <c r="F54" s="45" t="s">
        <v>378</v>
      </c>
      <c r="G54" s="132" t="str">
        <f t="shared" si="2"/>
        <v>0x8000</v>
      </c>
      <c r="H54" s="130" t="s">
        <v>376</v>
      </c>
      <c r="I54" s="24" t="s">
        <v>188</v>
      </c>
      <c r="J54" s="24" t="s">
        <v>683</v>
      </c>
      <c r="K54" s="239" t="s">
        <v>634</v>
      </c>
      <c r="L54" s="239" t="s">
        <v>684</v>
      </c>
      <c r="M54" s="239" t="s">
        <v>685</v>
      </c>
      <c r="N54" s="239" t="s">
        <v>686</v>
      </c>
      <c r="O54" s="278" t="s">
        <v>687</v>
      </c>
      <c r="P54" s="278" t="s">
        <v>701</v>
      </c>
      <c r="Q54" s="239" t="s">
        <v>702</v>
      </c>
      <c r="R54" s="239" t="s">
        <v>703</v>
      </c>
      <c r="V54" s="24" t="s">
        <v>688</v>
      </c>
      <c r="W54" s="24" t="s">
        <v>689</v>
      </c>
      <c r="X54" s="53" t="str">
        <f t="shared" si="3"/>
        <v>const static uint16_t c_Mil1553_wreg_rt_control = 0x0034;</v>
      </c>
      <c r="Y54" s="27" t="str">
        <f t="shared" si="11"/>
        <v>reg_rt_control &lt;= X"8000";</v>
      </c>
      <c r="Z54" s="27" t="str">
        <f t="shared" si="12"/>
        <v xml:space="preserve">       when X"0x0034" =&gt; DataOut &lt;= reg_rt_control;</v>
      </c>
      <c r="AA54" s="27" t="str">
        <f t="shared" si="13"/>
        <v xml:space="preserve">       when X"0x0034" =&gt;  reg_rt_control &lt;= DataIn;</v>
      </c>
    </row>
    <row r="55" spans="1:27" ht="15.75" thickBot="1" x14ac:dyDescent="0.3">
      <c r="A55" s="48" t="s">
        <v>22</v>
      </c>
      <c r="B55" s="44">
        <f t="shared" si="14"/>
        <v>53</v>
      </c>
      <c r="C55" s="137" t="str">
        <f t="shared" si="0"/>
        <v>0x0035</v>
      </c>
      <c r="D55" s="141" t="str">
        <f t="shared" si="1"/>
        <v>reg_err_inj_data (0x0035)</v>
      </c>
      <c r="E55" s="130" t="s">
        <v>1</v>
      </c>
      <c r="F55" s="45" t="s">
        <v>231</v>
      </c>
      <c r="G55" s="132" t="str">
        <f t="shared" si="2"/>
        <v>0x0000</v>
      </c>
      <c r="H55" s="134"/>
      <c r="J55" s="27"/>
      <c r="K55" s="27"/>
      <c r="L55" s="27"/>
      <c r="M55" s="27"/>
      <c r="N55" s="27"/>
      <c r="X55" s="53" t="str">
        <f t="shared" si="3"/>
        <v>const static uint16_t c_Mil1553_wreg_err_inj_data = 0x0035;</v>
      </c>
      <c r="Y55" s="27" t="str">
        <f t="shared" si="11"/>
        <v>reg_err_inj_data &lt;= X"0000";</v>
      </c>
      <c r="Z55" s="27" t="str">
        <f t="shared" si="12"/>
        <v xml:space="preserve">       when X"0x0035" =&gt; DataOut &lt;= reg_err_inj_data;</v>
      </c>
      <c r="AA55" s="27" t="str">
        <f t="shared" si="13"/>
        <v xml:space="preserve">       when X"0x0035" =&gt;  reg_err_inj_data &lt;= DataIn;</v>
      </c>
    </row>
    <row r="56" spans="1:27" ht="15.75" thickBot="1" x14ac:dyDescent="0.3">
      <c r="A56" s="48" t="s">
        <v>260</v>
      </c>
      <c r="B56" s="44">
        <f t="shared" si="14"/>
        <v>54</v>
      </c>
      <c r="C56" s="137" t="str">
        <f t="shared" si="0"/>
        <v>0x0036</v>
      </c>
      <c r="D56" s="141" t="str">
        <f t="shared" si="1"/>
        <v>reg_gID (0x0036)</v>
      </c>
      <c r="E56" s="130" t="s">
        <v>1</v>
      </c>
      <c r="F56" s="45" t="s">
        <v>231</v>
      </c>
      <c r="G56" s="132" t="str">
        <f t="shared" si="2"/>
        <v>0x0000</v>
      </c>
      <c r="H56" s="134"/>
      <c r="J56" s="27"/>
      <c r="K56" s="27"/>
      <c r="L56" s="27"/>
      <c r="M56" s="27"/>
      <c r="N56" s="27"/>
      <c r="X56" s="53" t="str">
        <f t="shared" si="3"/>
        <v>const static uint16_t c_Mil1553_wreg_gID = 0x0036;</v>
      </c>
      <c r="Y56" s="27" t="str">
        <f t="shared" si="11"/>
        <v>reg_gID &lt;= X"0000";</v>
      </c>
      <c r="Z56" s="27" t="str">
        <f t="shared" si="12"/>
        <v xml:space="preserve">       when X"0x0036" =&gt; DataOut &lt;= reg_gID;</v>
      </c>
      <c r="AA56" s="27" t="str">
        <f t="shared" si="13"/>
        <v xml:space="preserve">       when X"0x0036" =&gt;  reg_gID &lt;= DataIn;</v>
      </c>
    </row>
    <row r="57" spans="1:27" x14ac:dyDescent="0.25">
      <c r="A57" s="48" t="s">
        <v>261</v>
      </c>
      <c r="B57" s="44">
        <f t="shared" si="14"/>
        <v>55</v>
      </c>
      <c r="C57" s="137" t="str">
        <f t="shared" si="0"/>
        <v>0x0037</v>
      </c>
      <c r="D57" s="141" t="str">
        <f t="shared" si="1"/>
        <v>reg_fw_version (0x0037)</v>
      </c>
      <c r="E57" s="130" t="s">
        <v>2</v>
      </c>
      <c r="F57" s="45" t="s">
        <v>231</v>
      </c>
      <c r="G57" s="132" t="str">
        <f t="shared" si="2"/>
        <v>0x0000</v>
      </c>
      <c r="H57" s="134"/>
      <c r="J57" s="27"/>
      <c r="K57" s="27"/>
      <c r="L57" s="27"/>
      <c r="M57" s="27"/>
      <c r="N57" s="27"/>
      <c r="X57" s="53" t="str">
        <f t="shared" si="3"/>
        <v>const static uint16_t c_Mil1553_wreg_fw_version = 0x0037;</v>
      </c>
      <c r="Y57" s="27" t="str">
        <f t="shared" si="11"/>
        <v>reg_fw_version &lt;= X"0000";</v>
      </c>
      <c r="Z57" s="27" t="str">
        <f t="shared" si="12"/>
        <v xml:space="preserve">       when X"0x0037" =&gt; DataOut &lt;= reg_fw_version;</v>
      </c>
      <c r="AA57" s="27" t="str">
        <f t="shared" si="13"/>
        <v xml:space="preserve">       when X"0x0037" =&gt;  reg_fw_version &lt;= DataIn;</v>
      </c>
    </row>
    <row r="58" spans="1:27" s="50" customFormat="1" ht="15.75" thickBot="1" x14ac:dyDescent="0.3">
      <c r="A58" s="55" t="s">
        <v>386</v>
      </c>
      <c r="B58" s="49">
        <f t="shared" si="14"/>
        <v>56</v>
      </c>
      <c r="C58" s="138" t="str">
        <f t="shared" si="0"/>
        <v>0x0038</v>
      </c>
      <c r="D58" s="141" t="str">
        <f t="shared" si="1"/>
        <v>reg_rt_addr (0x0038)</v>
      </c>
      <c r="E58" s="140" t="s">
        <v>2</v>
      </c>
      <c r="F58" s="127" t="s">
        <v>381</v>
      </c>
      <c r="G58" s="133" t="str">
        <f t="shared" si="2"/>
        <v>0x0001</v>
      </c>
      <c r="H58" s="135"/>
      <c r="I58" s="56"/>
      <c r="O58" s="56"/>
      <c r="P58" s="56"/>
      <c r="Q58" s="56"/>
      <c r="R58" s="56"/>
      <c r="S58" s="56"/>
      <c r="T58" s="56"/>
      <c r="U58" s="56"/>
      <c r="V58" s="56"/>
      <c r="W58" s="56"/>
    </row>
    <row r="59" spans="1:27" s="46" customFormat="1" ht="15.75" thickBot="1" x14ac:dyDescent="0.3">
      <c r="A59" s="55" t="s">
        <v>633</v>
      </c>
      <c r="B59" s="49">
        <f t="shared" si="14"/>
        <v>57</v>
      </c>
      <c r="C59" s="138" t="str">
        <f t="shared" si="0"/>
        <v>0x0039</v>
      </c>
      <c r="D59" s="141" t="str">
        <f t="shared" si="1"/>
        <v>reg_repeat_rate (0x0039)</v>
      </c>
      <c r="E59" s="130" t="s">
        <v>1</v>
      </c>
      <c r="F59" s="283">
        <v>32</v>
      </c>
      <c r="G59" s="133" t="str">
        <f t="shared" si="2"/>
        <v>0x32</v>
      </c>
      <c r="Y59" s="47"/>
    </row>
    <row r="60" spans="1:27" s="46" customFormat="1" ht="15.75" thickBot="1" x14ac:dyDescent="0.3">
      <c r="A60" s="277" t="s">
        <v>682</v>
      </c>
      <c r="B60" s="49">
        <f t="shared" si="14"/>
        <v>58</v>
      </c>
      <c r="C60" s="138" t="str">
        <f t="shared" si="0"/>
        <v>0x003A</v>
      </c>
      <c r="D60" s="141" t="str">
        <f t="shared" si="1"/>
        <v>reg_wrap_subaddr (0x003A)</v>
      </c>
      <c r="E60" s="130" t="s">
        <v>1</v>
      </c>
      <c r="F60" s="283">
        <v>0</v>
      </c>
      <c r="G60" s="284" t="str">
        <f t="shared" si="2"/>
        <v>0x0</v>
      </c>
      <c r="Y60" s="47"/>
    </row>
    <row r="61" spans="1:27" s="46" customFormat="1" ht="15.75" thickBot="1" x14ac:dyDescent="0.3">
      <c r="A61" s="277" t="s">
        <v>699</v>
      </c>
      <c r="B61" s="49">
        <f t="shared" si="14"/>
        <v>59</v>
      </c>
      <c r="C61" s="138" t="str">
        <f t="shared" si="0"/>
        <v>0x003B</v>
      </c>
      <c r="D61" s="141" t="str">
        <f t="shared" ref="D61:D65" si="15">CONCATENATE(A61," (",C61,")")</f>
        <v>reg_rt_vectorword (0x003B)</v>
      </c>
      <c r="E61" s="130" t="s">
        <v>1</v>
      </c>
      <c r="F61" s="283">
        <v>0</v>
      </c>
      <c r="G61" s="284" t="str">
        <f t="shared" ref="G61:G65" si="16">CONCATENATE("0x",F61)</f>
        <v>0x0</v>
      </c>
      <c r="Y61" s="47"/>
    </row>
    <row r="62" spans="1:27" s="46" customFormat="1" ht="15.75" thickBot="1" x14ac:dyDescent="0.3">
      <c r="A62" s="277" t="s">
        <v>700</v>
      </c>
      <c r="B62" s="49">
        <f t="shared" si="14"/>
        <v>60</v>
      </c>
      <c r="C62" s="138" t="str">
        <f t="shared" si="0"/>
        <v>0x003C</v>
      </c>
      <c r="D62" s="141" t="str">
        <f t="shared" si="15"/>
        <v>reg_rt_bit (0x003C)</v>
      </c>
      <c r="E62" s="130" t="s">
        <v>1</v>
      </c>
      <c r="F62" s="283">
        <v>0</v>
      </c>
      <c r="G62" s="284" t="str">
        <f t="shared" si="16"/>
        <v>0x0</v>
      </c>
      <c r="Y62" s="47"/>
    </row>
    <row r="63" spans="1:27" s="46" customFormat="1" ht="15.75" thickBot="1" x14ac:dyDescent="0.3">
      <c r="A63" s="277"/>
      <c r="B63" s="49">
        <f t="shared" si="14"/>
        <v>61</v>
      </c>
      <c r="C63" s="138" t="str">
        <f t="shared" si="0"/>
        <v>0x003D</v>
      </c>
      <c r="D63" s="141" t="str">
        <f t="shared" si="15"/>
        <v xml:space="preserve"> (0x003D)</v>
      </c>
      <c r="E63" s="130" t="s">
        <v>1</v>
      </c>
      <c r="F63" s="283">
        <v>0</v>
      </c>
      <c r="G63" s="284" t="str">
        <f t="shared" si="16"/>
        <v>0x0</v>
      </c>
      <c r="Y63" s="47"/>
    </row>
    <row r="64" spans="1:27" s="46" customFormat="1" ht="15.75" thickBot="1" x14ac:dyDescent="0.3">
      <c r="A64" s="277"/>
      <c r="B64" s="49">
        <f t="shared" si="14"/>
        <v>62</v>
      </c>
      <c r="C64" s="138" t="str">
        <f t="shared" si="0"/>
        <v>0x003E</v>
      </c>
      <c r="D64" s="141" t="str">
        <f t="shared" si="15"/>
        <v xml:space="preserve"> (0x003E)</v>
      </c>
      <c r="E64" s="130" t="s">
        <v>1</v>
      </c>
      <c r="F64" s="283">
        <v>0</v>
      </c>
      <c r="G64" s="284" t="str">
        <f t="shared" si="16"/>
        <v>0x0</v>
      </c>
      <c r="Y64" s="47"/>
    </row>
    <row r="65" spans="1:25" s="46" customFormat="1" ht="15.75" thickBot="1" x14ac:dyDescent="0.3">
      <c r="A65" s="277"/>
      <c r="B65" s="49">
        <f t="shared" si="14"/>
        <v>63</v>
      </c>
      <c r="C65" s="138" t="str">
        <f t="shared" si="0"/>
        <v>0x003F</v>
      </c>
      <c r="D65" s="141" t="str">
        <f t="shared" si="15"/>
        <v xml:space="preserve"> (0x003F)</v>
      </c>
      <c r="E65" s="130" t="s">
        <v>1</v>
      </c>
      <c r="F65" s="283">
        <v>0</v>
      </c>
      <c r="G65" s="284" t="str">
        <f t="shared" si="16"/>
        <v>0x0</v>
      </c>
      <c r="Y65" s="47"/>
    </row>
    <row r="66" spans="1:25" s="46" customFormat="1" x14ac:dyDescent="0.25">
      <c r="A66" s="277"/>
      <c r="B66" s="220"/>
      <c r="C66" s="285"/>
      <c r="D66" s="141"/>
      <c r="E66" s="130"/>
      <c r="F66" s="283"/>
      <c r="G66" s="284"/>
      <c r="Y66" s="47"/>
    </row>
    <row r="67" spans="1:25" s="46" customFormat="1" x14ac:dyDescent="0.25">
      <c r="A67" s="277"/>
      <c r="B67" s="220"/>
      <c r="C67" s="285"/>
      <c r="D67" s="141"/>
      <c r="E67" s="130"/>
      <c r="F67" s="283"/>
      <c r="G67" s="284"/>
      <c r="Y67" s="47"/>
    </row>
    <row r="68" spans="1:25" s="46" customFormat="1" x14ac:dyDescent="0.25">
      <c r="A68" s="277"/>
      <c r="B68" s="220"/>
      <c r="C68" s="285"/>
      <c r="D68" s="141"/>
      <c r="E68" s="130"/>
      <c r="F68" s="283"/>
      <c r="G68" s="284"/>
      <c r="Y68" s="47"/>
    </row>
    <row r="69" spans="1:25" s="28" customFormat="1" x14ac:dyDescent="0.25">
      <c r="C69" s="111"/>
      <c r="D69" s="111"/>
      <c r="E69" s="57"/>
      <c r="F69" s="57"/>
      <c r="G69" s="57"/>
      <c r="Y69" s="27"/>
    </row>
    <row r="70" spans="1:25" s="28" customFormat="1" x14ac:dyDescent="0.25">
      <c r="A70" s="29" t="s">
        <v>162</v>
      </c>
      <c r="B70" s="29" t="s">
        <v>163</v>
      </c>
      <c r="C70" s="112"/>
      <c r="D70" s="112"/>
      <c r="E70" s="119">
        <v>100000000</v>
      </c>
      <c r="F70" s="25"/>
      <c r="G70" s="119"/>
      <c r="H70" s="29"/>
      <c r="Y70" s="27"/>
    </row>
    <row r="71" spans="1:25" s="28" customFormat="1" x14ac:dyDescent="0.25">
      <c r="A71" s="29" t="s">
        <v>165</v>
      </c>
      <c r="B71" s="29" t="s">
        <v>164</v>
      </c>
      <c r="C71" s="112"/>
      <c r="D71" s="112"/>
      <c r="E71" s="119">
        <f>1/E70</f>
        <v>1E-8</v>
      </c>
      <c r="F71" s="25" t="s">
        <v>171</v>
      </c>
      <c r="G71" s="119"/>
      <c r="H71" s="29" t="s">
        <v>31</v>
      </c>
      <c r="Y71" s="27"/>
    </row>
    <row r="72" spans="1:25" s="28" customFormat="1" x14ac:dyDescent="0.25">
      <c r="A72" s="29" t="s">
        <v>169</v>
      </c>
      <c r="B72" s="29" t="s">
        <v>170</v>
      </c>
      <c r="C72" s="112"/>
      <c r="D72" s="112"/>
      <c r="E72" s="119">
        <v>9.9999999999999995E-7</v>
      </c>
      <c r="F72" s="25">
        <f>(E72/$E$71)-1</f>
        <v>99</v>
      </c>
      <c r="G72" s="119"/>
      <c r="H72" s="29" t="str">
        <f>DEC2HEX(F72,4)</f>
        <v>0063</v>
      </c>
      <c r="Y72" s="27"/>
    </row>
    <row r="73" spans="1:25" s="28" customFormat="1" x14ac:dyDescent="0.25">
      <c r="A73" s="29" t="s">
        <v>168</v>
      </c>
      <c r="B73" s="29" t="s">
        <v>167</v>
      </c>
      <c r="C73" s="112"/>
      <c r="D73" s="112"/>
      <c r="E73" s="119">
        <v>3.9999999999999998E-6</v>
      </c>
      <c r="F73" s="25">
        <f>(E73/$E$71)-1</f>
        <v>399</v>
      </c>
      <c r="G73" s="119"/>
      <c r="H73" s="29" t="str">
        <f>DEC2HEX(F73,4)</f>
        <v>018F</v>
      </c>
      <c r="Y73" s="27"/>
    </row>
    <row r="74" spans="1:25" s="28" customFormat="1" x14ac:dyDescent="0.25">
      <c r="A74" s="29" t="s">
        <v>166</v>
      </c>
      <c r="B74" s="29" t="s">
        <v>173</v>
      </c>
      <c r="C74" s="112"/>
      <c r="D74" s="112"/>
      <c r="E74" s="119">
        <v>1.4E-5</v>
      </c>
      <c r="F74" s="25">
        <f>(E74/$E$71)-1</f>
        <v>1399</v>
      </c>
      <c r="G74" s="119"/>
      <c r="H74" s="29" t="str">
        <f>DEC2HEX(F74,4)</f>
        <v>0577</v>
      </c>
      <c r="Y74" s="27"/>
    </row>
    <row r="75" spans="1:25" s="28" customFormat="1" x14ac:dyDescent="0.25">
      <c r="A75" s="29" t="s">
        <v>174</v>
      </c>
      <c r="B75" s="29" t="s">
        <v>167</v>
      </c>
      <c r="C75" s="112"/>
      <c r="D75" s="112"/>
      <c r="E75" s="119">
        <v>3.9999999999999998E-6</v>
      </c>
      <c r="F75" s="25">
        <f>(E75/$E$71)-1</f>
        <v>399</v>
      </c>
      <c r="G75" s="119"/>
      <c r="H75" s="29" t="str">
        <f>DEC2HEX(F75,4)</f>
        <v>018F</v>
      </c>
      <c r="Y75" s="27"/>
    </row>
    <row r="76" spans="1:25" s="28" customFormat="1" x14ac:dyDescent="0.25">
      <c r="A76" s="28" t="s">
        <v>187</v>
      </c>
      <c r="B76" s="28" t="s">
        <v>186</v>
      </c>
      <c r="C76" s="111"/>
      <c r="D76" s="111"/>
      <c r="E76" s="57">
        <v>8.0000000000000004E-4</v>
      </c>
      <c r="F76" s="57">
        <f>(E76/E72)-1</f>
        <v>799.00000000000011</v>
      </c>
      <c r="G76" s="57"/>
      <c r="H76" s="28" t="str">
        <f>DEC2HEX(F76,4)</f>
        <v>031F</v>
      </c>
      <c r="Y76" s="27"/>
    </row>
    <row r="77" spans="1:25" s="28" customFormat="1" x14ac:dyDescent="0.25">
      <c r="C77" s="111"/>
      <c r="D77" s="111"/>
      <c r="E77" s="57"/>
      <c r="F77" s="57"/>
      <c r="G77" s="57"/>
      <c r="Y77" s="27"/>
    </row>
    <row r="78" spans="1:25" s="28" customFormat="1" ht="15.75" thickBot="1" x14ac:dyDescent="0.3">
      <c r="A78" s="279" t="s">
        <v>376</v>
      </c>
      <c r="B78" s="117"/>
      <c r="C78" s="118"/>
      <c r="D78" s="118"/>
      <c r="E78" s="24"/>
      <c r="F78" s="45" t="s">
        <v>378</v>
      </c>
      <c r="G78" s="45"/>
      <c r="X78" s="60" t="str">
        <f t="shared" ref="X78:X102" si="17">CONCATENATE("const static uint16_t c_w",A78, " = 0x",F78,";")</f>
        <v>const static uint16_t c_wBusBusy = 0x8000;</v>
      </c>
      <c r="Y78" s="27"/>
    </row>
    <row r="79" spans="1:25" s="28" customFormat="1" ht="15.75" thickBot="1" x14ac:dyDescent="0.3">
      <c r="A79" s="26" t="s">
        <v>188</v>
      </c>
      <c r="B79" s="117"/>
      <c r="C79" s="118"/>
      <c r="D79" s="118"/>
      <c r="E79" s="24"/>
      <c r="F79" s="45" t="s">
        <v>379</v>
      </c>
      <c r="G79" s="45"/>
      <c r="X79" s="60" t="str">
        <f t="shared" si="17"/>
        <v>const static uint16_t c_wBrdcstEn = 0x4000;</v>
      </c>
      <c r="Y79" s="27"/>
    </row>
    <row r="80" spans="1:25" s="28" customFormat="1" ht="15.75" thickBot="1" x14ac:dyDescent="0.3">
      <c r="A80" s="26" t="s">
        <v>683</v>
      </c>
      <c r="B80" s="117"/>
      <c r="C80" s="118"/>
      <c r="D80" s="118"/>
      <c r="E80" s="24"/>
      <c r="F80" s="45" t="s">
        <v>380</v>
      </c>
      <c r="G80" s="45"/>
      <c r="X80" s="60" t="str">
        <f t="shared" si="17"/>
        <v>const static uint16_t c_wDbcEn = 0x2000;</v>
      </c>
      <c r="Y80" s="27"/>
    </row>
    <row r="81" spans="1:25" s="28" customFormat="1" ht="15.75" thickBot="1" x14ac:dyDescent="0.3">
      <c r="A81" s="280" t="s">
        <v>634</v>
      </c>
      <c r="B81" s="117"/>
      <c r="C81" s="118"/>
      <c r="D81" s="118"/>
      <c r="E81" s="24"/>
      <c r="F81" s="45">
        <v>1000</v>
      </c>
      <c r="G81" s="45"/>
      <c r="X81" s="60" t="str">
        <f t="shared" si="17"/>
        <v>const static uint16_t c_wActiveBus = 0x1000;</v>
      </c>
      <c r="Y81" s="27"/>
    </row>
    <row r="82" spans="1:25" s="28" customFormat="1" ht="15.75" thickBot="1" x14ac:dyDescent="0.3">
      <c r="A82" s="280" t="s">
        <v>684</v>
      </c>
      <c r="B82" s="117"/>
      <c r="C82" s="118"/>
      <c r="D82" s="118"/>
      <c r="E82" s="24"/>
      <c r="F82" s="45" t="s">
        <v>690</v>
      </c>
      <c r="G82" s="45"/>
      <c r="X82" s="60" t="str">
        <f t="shared" si="17"/>
        <v>const static uint16_t c_wUseBcRepeat = 0x0800;</v>
      </c>
      <c r="Y82" s="27"/>
    </row>
    <row r="83" spans="1:25" s="28" customFormat="1" ht="15.75" thickBot="1" x14ac:dyDescent="0.3">
      <c r="A83" s="280" t="s">
        <v>685</v>
      </c>
      <c r="B83" s="117"/>
      <c r="C83" s="118"/>
      <c r="D83" s="118"/>
      <c r="E83" s="24"/>
      <c r="F83" s="45" t="s">
        <v>691</v>
      </c>
      <c r="G83" s="45"/>
      <c r="X83" s="60" t="str">
        <f t="shared" si="17"/>
        <v>const static uint16_t c_wBcRepeatStop = 0x0400;</v>
      </c>
    </row>
    <row r="84" spans="1:25" s="28" customFormat="1" ht="15.75" thickBot="1" x14ac:dyDescent="0.3">
      <c r="A84" s="280" t="s">
        <v>686</v>
      </c>
      <c r="B84" s="117"/>
      <c r="C84" s="118"/>
      <c r="D84" s="118"/>
      <c r="E84" s="24"/>
      <c r="F84" s="45" t="s">
        <v>692</v>
      </c>
      <c r="G84" s="45"/>
      <c r="X84" s="60" t="str">
        <f t="shared" si="17"/>
        <v>const static uint16_t c_wBcRepeatStart = 0x0200;</v>
      </c>
    </row>
    <row r="85" spans="1:25" ht="15.75" thickBot="1" x14ac:dyDescent="0.3">
      <c r="A85" s="281" t="s">
        <v>687</v>
      </c>
      <c r="B85" s="117"/>
      <c r="C85" s="118"/>
      <c r="D85" s="118"/>
      <c r="F85" s="45" t="s">
        <v>576</v>
      </c>
      <c r="G85" s="45"/>
      <c r="H85" s="28"/>
      <c r="I85" s="28"/>
      <c r="J85" s="28"/>
      <c r="K85" s="28"/>
      <c r="L85" s="28"/>
      <c r="M85" s="28"/>
      <c r="N85" s="28"/>
      <c r="O85" s="28"/>
      <c r="P85" s="28"/>
      <c r="Q85" s="28"/>
      <c r="R85" s="28"/>
      <c r="S85" s="28"/>
      <c r="T85" s="28"/>
      <c r="U85" s="28"/>
      <c r="V85" s="28"/>
      <c r="W85" s="30"/>
      <c r="X85" s="60" t="str">
        <f t="shared" si="17"/>
        <v>const static uint16_t c_wEnableHwDataWrap = 0x0100;</v>
      </c>
    </row>
    <row r="86" spans="1:25" ht="15.75" thickBot="1" x14ac:dyDescent="0.3">
      <c r="A86" s="26" t="s">
        <v>688</v>
      </c>
      <c r="B86" s="117"/>
      <c r="C86" s="118"/>
      <c r="D86" s="118"/>
      <c r="F86" s="45" t="s">
        <v>382</v>
      </c>
      <c r="G86" s="45"/>
      <c r="H86" s="28"/>
      <c r="I86" s="28"/>
      <c r="J86" s="28"/>
      <c r="K86" s="28"/>
      <c r="L86" s="28"/>
      <c r="M86" s="28"/>
      <c r="N86" s="28"/>
      <c r="O86" s="28"/>
      <c r="P86" s="28"/>
      <c r="Q86" s="28"/>
      <c r="R86" s="28"/>
      <c r="S86" s="28"/>
      <c r="T86" s="28"/>
      <c r="U86" s="28"/>
      <c r="V86" s="28"/>
      <c r="W86" s="30"/>
      <c r="X86" s="60" t="str">
        <f t="shared" si="17"/>
        <v>const static uint16_t c_wRstCore2 = 0x0002;</v>
      </c>
    </row>
    <row r="87" spans="1:25" ht="15.75" thickBot="1" x14ac:dyDescent="0.3">
      <c r="A87" s="26" t="s">
        <v>689</v>
      </c>
      <c r="B87" s="117"/>
      <c r="C87" s="118"/>
      <c r="D87" s="118"/>
      <c r="F87" s="45" t="s">
        <v>381</v>
      </c>
      <c r="G87" s="45"/>
      <c r="H87" s="28"/>
      <c r="I87" s="28"/>
      <c r="J87" s="28"/>
      <c r="K87" s="28"/>
      <c r="L87" s="28"/>
      <c r="M87" s="28"/>
      <c r="N87" s="28"/>
      <c r="O87" s="28"/>
      <c r="P87" s="28"/>
      <c r="Q87" s="28"/>
      <c r="R87" s="28"/>
      <c r="S87" s="28"/>
      <c r="T87" s="28"/>
      <c r="U87" s="28"/>
      <c r="V87" s="28"/>
      <c r="X87" s="60" t="str">
        <f t="shared" si="17"/>
        <v>const static uint16_t c_wRstCore1 = 0x0001;</v>
      </c>
    </row>
    <row r="88" spans="1:25" ht="15.75" thickBot="1" x14ac:dyDescent="0.3">
      <c r="A88" s="26"/>
      <c r="B88" s="117"/>
      <c r="C88" s="118"/>
      <c r="D88" s="118"/>
      <c r="F88" s="45"/>
      <c r="G88" s="45"/>
      <c r="H88" s="28"/>
      <c r="I88" s="28"/>
      <c r="J88" s="28"/>
      <c r="K88" s="28"/>
      <c r="L88" s="28"/>
      <c r="M88" s="28"/>
      <c r="N88" s="28"/>
      <c r="O88" s="28"/>
      <c r="P88" s="28"/>
      <c r="Q88" s="28"/>
      <c r="R88" s="28"/>
      <c r="S88" s="28"/>
      <c r="T88" s="28"/>
      <c r="U88" s="28"/>
      <c r="V88" s="28"/>
      <c r="X88" s="60" t="str">
        <f t="shared" si="17"/>
        <v>const static uint16_t c_w = 0x;</v>
      </c>
    </row>
    <row r="89" spans="1:25" ht="15.75" thickBot="1" x14ac:dyDescent="0.3">
      <c r="A89" s="26"/>
      <c r="F89" s="45"/>
      <c r="G89" s="45"/>
      <c r="H89" s="30"/>
      <c r="I89" s="30"/>
      <c r="J89" s="30"/>
      <c r="K89" s="30"/>
      <c r="L89" s="30"/>
      <c r="M89" s="30"/>
      <c r="N89" s="30"/>
      <c r="O89" s="30"/>
      <c r="P89" s="30"/>
      <c r="Q89" s="30"/>
      <c r="R89" s="30"/>
      <c r="S89" s="30"/>
      <c r="T89" s="30"/>
      <c r="U89" s="30"/>
      <c r="V89" s="30"/>
      <c r="X89" s="60" t="str">
        <f t="shared" si="17"/>
        <v>const static uint16_t c_w = 0x;</v>
      </c>
    </row>
    <row r="90" spans="1:25" ht="15.75" thickBot="1" x14ac:dyDescent="0.3">
      <c r="A90" s="26"/>
      <c r="F90" s="45"/>
      <c r="G90" s="45"/>
      <c r="H90" s="30"/>
      <c r="I90" s="30"/>
      <c r="J90" s="30"/>
      <c r="K90" s="30"/>
      <c r="L90" s="30"/>
      <c r="M90" s="30"/>
      <c r="N90" s="30"/>
      <c r="O90" s="30"/>
      <c r="P90" s="30"/>
      <c r="Q90" s="30"/>
      <c r="R90" s="30"/>
      <c r="S90" s="30"/>
      <c r="T90" s="30"/>
      <c r="U90" s="30"/>
      <c r="V90" s="30"/>
      <c r="X90" s="60" t="str">
        <f t="shared" si="17"/>
        <v>const static uint16_t c_w = 0x;</v>
      </c>
    </row>
    <row r="91" spans="1:25" ht="15.75" thickBot="1" x14ac:dyDescent="0.3">
      <c r="A91" s="26"/>
      <c r="F91" s="210" t="s">
        <v>626</v>
      </c>
      <c r="G91" s="210" t="s">
        <v>603</v>
      </c>
      <c r="H91" s="208" t="s">
        <v>605</v>
      </c>
      <c r="I91" s="30"/>
      <c r="J91" s="30"/>
      <c r="K91" s="30"/>
      <c r="L91" s="30"/>
      <c r="M91" s="30"/>
      <c r="N91" s="30"/>
      <c r="O91" s="30"/>
      <c r="P91" s="30"/>
      <c r="Q91" s="30"/>
      <c r="R91" s="30"/>
      <c r="S91" s="30"/>
      <c r="T91" s="30"/>
      <c r="U91" s="30"/>
      <c r="V91" s="30"/>
      <c r="X91" s="60"/>
    </row>
    <row r="92" spans="1:25" ht="15.75" thickBot="1" x14ac:dyDescent="0.3">
      <c r="F92" s="208" t="s">
        <v>606</v>
      </c>
      <c r="G92" s="210" t="s">
        <v>602</v>
      </c>
      <c r="H92" t="s">
        <v>604</v>
      </c>
      <c r="X92" s="60" t="str">
        <f>CONCATENATE("const static uint16_t c_w",A86, " = 0x",F92,";")</f>
        <v>const static uint16_t c_wRstCore2 = 0xuint16_t wDefaultValues[16] = {;</v>
      </c>
    </row>
    <row r="93" spans="1:25" ht="15.75" thickBot="1" x14ac:dyDescent="0.3">
      <c r="D93" s="51" t="s">
        <v>23</v>
      </c>
      <c r="E93" s="24">
        <v>1</v>
      </c>
      <c r="F93" s="131" t="s">
        <v>599</v>
      </c>
      <c r="G93" s="131" t="s">
        <v>599</v>
      </c>
      <c r="H93" s="132" t="s">
        <v>599</v>
      </c>
      <c r="I93" s="132" t="s">
        <v>599</v>
      </c>
      <c r="J93" s="132" t="s">
        <v>607</v>
      </c>
      <c r="K93" s="132" t="s">
        <v>608</v>
      </c>
      <c r="L93" s="132" t="s">
        <v>609</v>
      </c>
      <c r="M93" s="132" t="s">
        <v>610</v>
      </c>
      <c r="N93" s="132" t="s">
        <v>611</v>
      </c>
      <c r="O93" s="132" t="s">
        <v>612</v>
      </c>
      <c r="P93" s="132" t="s">
        <v>612</v>
      </c>
      <c r="Q93" s="132" t="s">
        <v>599</v>
      </c>
      <c r="R93" s="132" t="s">
        <v>613</v>
      </c>
      <c r="S93" s="132" t="s">
        <v>614</v>
      </c>
      <c r="T93" s="132" t="s">
        <v>615</v>
      </c>
      <c r="U93" s="132" t="s">
        <v>616</v>
      </c>
      <c r="V93" s="133" t="s">
        <v>613</v>
      </c>
      <c r="X93" s="60" t="str">
        <f>CONCATENATE("const static uint16_t c_w",A87, " = 0x",F93,";")</f>
        <v>const static uint16_t c_wRstCore1 = 0x0x0000;</v>
      </c>
    </row>
    <row r="94" spans="1:25" ht="15.75" thickBot="1" x14ac:dyDescent="0.3">
      <c r="D94" s="48" t="s">
        <v>24</v>
      </c>
      <c r="E94" s="24">
        <f>E93+1</f>
        <v>2</v>
      </c>
      <c r="F94" s="132" t="s">
        <v>599</v>
      </c>
      <c r="G94" t="str">
        <f>CONCATENATE(F92,G93,G92,H93,G92,I93,G92,J93,G92,K93,G92,L93,G92,M93,G92,N93,G92,O93,G92,P93,G92,Q93,G92,R93,G92,S93,G92,T93,G92,U93,G92,V93,H92)</f>
        <v>uint16_t wDefaultValues[16] = {0x0000, 0x0000, 0x0000, 0x0063, 0x018F, 0x0577, 0x195, 0x031F, 0xFFFF, 0xFFFF, 0x0000, 0x0032, 0x01FF, 0x000D, 0x01FA, 0x0032};</v>
      </c>
      <c r="M94" s="26"/>
      <c r="X94" s="60" t="str">
        <f t="shared" si="17"/>
        <v>const static uint16_t c_w = 0x0x0000;</v>
      </c>
    </row>
    <row r="95" spans="1:25" ht="15.75" thickBot="1" x14ac:dyDescent="0.3">
      <c r="D95" s="48" t="s">
        <v>198</v>
      </c>
      <c r="E95" s="24">
        <f t="shared" ref="E95:E162" si="18">E94+1</f>
        <v>3</v>
      </c>
      <c r="F95" s="132" t="s">
        <v>599</v>
      </c>
      <c r="G95" s="51" t="s">
        <v>23</v>
      </c>
      <c r="H95" s="48" t="s">
        <v>24</v>
      </c>
      <c r="I95" s="48" t="s">
        <v>198</v>
      </c>
      <c r="J95" s="48" t="s">
        <v>159</v>
      </c>
      <c r="K95" s="48" t="s">
        <v>160</v>
      </c>
      <c r="L95" s="48" t="s">
        <v>161</v>
      </c>
      <c r="M95" s="48" t="s">
        <v>172</v>
      </c>
      <c r="N95" s="48" t="s">
        <v>185</v>
      </c>
      <c r="O95" s="48" t="s">
        <v>183</v>
      </c>
      <c r="P95" s="48" t="s">
        <v>184</v>
      </c>
      <c r="Q95" s="48" t="s">
        <v>364</v>
      </c>
      <c r="R95" s="48" t="s">
        <v>365</v>
      </c>
      <c r="S95" s="48" t="s">
        <v>366</v>
      </c>
      <c r="T95" s="48" t="s">
        <v>367</v>
      </c>
      <c r="U95" s="48" t="s">
        <v>369</v>
      </c>
      <c r="V95" s="55" t="s">
        <v>368</v>
      </c>
      <c r="X95" s="60" t="str">
        <f t="shared" si="17"/>
        <v>const static uint16_t c_w = 0x0x0000;</v>
      </c>
    </row>
    <row r="96" spans="1:25" ht="15.75" thickBot="1" x14ac:dyDescent="0.3">
      <c r="D96" s="48" t="s">
        <v>159</v>
      </c>
      <c r="E96" s="24">
        <f t="shared" si="18"/>
        <v>4</v>
      </c>
      <c r="F96" s="132" t="s">
        <v>607</v>
      </c>
      <c r="G96" s="186" t="str">
        <f>CONCATENATE(F91,G95,G91,H95,G91,I95,G91,J95,G91,K95,G91,L95,G91,M95,G91,N95,G91,O95,G91,P95,G91,Q95,G91,R95,G91,S95,G91,T95,G91,U95,G91,V95,H91)</f>
        <v>QString qsNames[16] = {"reg_status", "reg_intr_mask", "reg_clear_bits", "reg_tmr_1us", "reg_tmr_GAP", "reg_tmr_NRP", "reg_tmr_REP", "reg_tmr_SAF", "reg_legal_subaddr1", "reg_legal_subaddr2", "reg_legal_rx_mode1", "reg_legal_rx_mode2", "reg_legal_tx_mode1", "reg_legal_tx_mode2", "reg_legal_brdcst_mode1", "reg_legal_brdcst_mode2"};</v>
      </c>
      <c r="H96" s="25"/>
      <c r="I96" s="32"/>
      <c r="J96" s="32"/>
      <c r="K96" s="32"/>
      <c r="P96" s="25"/>
      <c r="Q96" s="25"/>
      <c r="R96" s="25"/>
      <c r="X96" s="60" t="str">
        <f t="shared" si="17"/>
        <v>const static uint16_t c_w = 0x0x0063;</v>
      </c>
    </row>
    <row r="97" spans="4:24" ht="15.75" thickBot="1" x14ac:dyDescent="0.3">
      <c r="D97" s="48" t="s">
        <v>160</v>
      </c>
      <c r="E97" s="24">
        <f t="shared" si="18"/>
        <v>5</v>
      </c>
      <c r="F97" s="132" t="s">
        <v>608</v>
      </c>
      <c r="I97" s="26"/>
      <c r="M97" s="26"/>
      <c r="S97" s="25"/>
      <c r="U97" s="34"/>
      <c r="X97" s="60" t="str">
        <f t="shared" si="17"/>
        <v>const static uint16_t c_w = 0x0x018F;</v>
      </c>
    </row>
    <row r="98" spans="4:24" ht="15.75" thickBot="1" x14ac:dyDescent="0.3">
      <c r="D98" s="48" t="s">
        <v>161</v>
      </c>
      <c r="E98" s="24">
        <f t="shared" si="18"/>
        <v>6</v>
      </c>
      <c r="F98" s="132" t="s">
        <v>609</v>
      </c>
      <c r="I98" s="26"/>
      <c r="M98" s="26"/>
      <c r="R98" s="23"/>
      <c r="S98" s="25"/>
      <c r="X98" s="60" t="str">
        <f t="shared" si="17"/>
        <v>const static uint16_t c_w = 0x0x0577;</v>
      </c>
    </row>
    <row r="99" spans="4:24" ht="15.75" thickBot="1" x14ac:dyDescent="0.3">
      <c r="D99" s="48" t="s">
        <v>172</v>
      </c>
      <c r="E99" s="24">
        <f t="shared" si="18"/>
        <v>7</v>
      </c>
      <c r="F99" s="132" t="s">
        <v>610</v>
      </c>
      <c r="O99" s="35"/>
      <c r="P99" s="36"/>
      <c r="R99" s="23"/>
      <c r="V99" s="36"/>
      <c r="X99" s="60" t="str">
        <f t="shared" si="17"/>
        <v>const static uint16_t c_w = 0x0x195;</v>
      </c>
    </row>
    <row r="100" spans="4:24" ht="15.75" thickBot="1" x14ac:dyDescent="0.3">
      <c r="D100" s="48" t="s">
        <v>185</v>
      </c>
      <c r="E100" s="24">
        <f t="shared" si="18"/>
        <v>8</v>
      </c>
      <c r="F100" s="132" t="s">
        <v>611</v>
      </c>
      <c r="O100" s="35"/>
      <c r="P100" s="36"/>
      <c r="R100" s="23"/>
      <c r="V100" s="36"/>
      <c r="X100" s="60" t="str">
        <f t="shared" si="17"/>
        <v>const static uint16_t c_w = 0x0x031F;</v>
      </c>
    </row>
    <row r="101" spans="4:24" ht="15.75" thickBot="1" x14ac:dyDescent="0.3">
      <c r="D101" s="48" t="s">
        <v>183</v>
      </c>
      <c r="E101" s="24">
        <f t="shared" si="18"/>
        <v>9</v>
      </c>
      <c r="F101" s="132" t="s">
        <v>612</v>
      </c>
      <c r="O101" s="35"/>
      <c r="P101" s="36"/>
      <c r="R101" s="23"/>
      <c r="V101" s="36"/>
      <c r="X101" s="60" t="str">
        <f t="shared" si="17"/>
        <v>const static uint16_t c_w = 0x0xFFFF;</v>
      </c>
    </row>
    <row r="102" spans="4:24" ht="15.75" thickBot="1" x14ac:dyDescent="0.3">
      <c r="D102" s="48" t="s">
        <v>184</v>
      </c>
      <c r="E102" s="24">
        <f t="shared" si="18"/>
        <v>10</v>
      </c>
      <c r="F102" s="132" t="s">
        <v>612</v>
      </c>
      <c r="O102" s="35"/>
      <c r="P102" s="36"/>
      <c r="R102" s="23"/>
      <c r="V102" s="36"/>
      <c r="W102" s="57"/>
      <c r="X102" s="60" t="str">
        <f t="shared" si="17"/>
        <v>const static uint16_t c_w = 0x0xFFFF;</v>
      </c>
    </row>
    <row r="103" spans="4:24" x14ac:dyDescent="0.25">
      <c r="D103" s="48" t="s">
        <v>364</v>
      </c>
      <c r="E103" s="24">
        <f t="shared" si="18"/>
        <v>11</v>
      </c>
      <c r="F103" s="132" t="s">
        <v>599</v>
      </c>
      <c r="O103" s="35"/>
      <c r="P103" s="36"/>
      <c r="R103" s="23"/>
      <c r="V103" s="36"/>
      <c r="W103" s="27"/>
    </row>
    <row r="104" spans="4:24" x14ac:dyDescent="0.25">
      <c r="D104" s="48" t="s">
        <v>365</v>
      </c>
      <c r="E104" s="24">
        <f t="shared" si="18"/>
        <v>12</v>
      </c>
      <c r="F104" s="132" t="s">
        <v>613</v>
      </c>
      <c r="I104" s="27"/>
      <c r="P104" s="25"/>
      <c r="Q104" s="25"/>
      <c r="R104" s="25"/>
      <c r="S104" s="25"/>
      <c r="W104" s="27"/>
    </row>
    <row r="105" spans="4:24" x14ac:dyDescent="0.25">
      <c r="D105" s="48" t="s">
        <v>366</v>
      </c>
      <c r="E105" s="24">
        <f t="shared" si="18"/>
        <v>13</v>
      </c>
      <c r="F105" s="132" t="s">
        <v>614</v>
      </c>
      <c r="L105" s="37"/>
      <c r="S105" s="23"/>
      <c r="W105" s="27"/>
    </row>
    <row r="106" spans="4:24" x14ac:dyDescent="0.25">
      <c r="D106" s="48" t="s">
        <v>367</v>
      </c>
      <c r="E106" s="24">
        <f t="shared" si="18"/>
        <v>14</v>
      </c>
      <c r="F106" s="132" t="s">
        <v>615</v>
      </c>
      <c r="L106" s="37"/>
      <c r="M106" s="25"/>
      <c r="N106" s="25"/>
      <c r="O106" s="25"/>
      <c r="P106" s="25"/>
      <c r="Q106" s="25"/>
      <c r="U106" s="57"/>
      <c r="V106" s="57"/>
      <c r="W106" s="27"/>
    </row>
    <row r="107" spans="4:24" x14ac:dyDescent="0.25">
      <c r="D107" s="48" t="s">
        <v>369</v>
      </c>
      <c r="E107" s="24">
        <f t="shared" si="18"/>
        <v>15</v>
      </c>
      <c r="F107" s="132" t="s">
        <v>616</v>
      </c>
      <c r="L107" s="37"/>
      <c r="M107" s="27"/>
      <c r="O107" s="38"/>
      <c r="P107" s="39"/>
      <c r="Q107" s="27"/>
      <c r="T107" s="23"/>
      <c r="U107" s="38"/>
      <c r="V107" s="39"/>
      <c r="W107" s="27"/>
    </row>
    <row r="108" spans="4:24" ht="15.75" thickBot="1" x14ac:dyDescent="0.3">
      <c r="D108" s="55" t="s">
        <v>368</v>
      </c>
      <c r="E108" s="24">
        <f t="shared" si="18"/>
        <v>16</v>
      </c>
      <c r="F108" s="133" t="s">
        <v>613</v>
      </c>
      <c r="L108" s="37"/>
      <c r="M108" s="27"/>
      <c r="O108" s="38"/>
      <c r="P108" s="39"/>
      <c r="Q108" s="27"/>
      <c r="T108" s="23"/>
      <c r="U108" s="38"/>
      <c r="V108" s="39"/>
      <c r="W108" s="27"/>
    </row>
    <row r="109" spans="4:24" ht="15.75" thickBot="1" x14ac:dyDescent="0.3">
      <c r="F109" s="210" t="s">
        <v>626</v>
      </c>
      <c r="G109" s="210" t="s">
        <v>603</v>
      </c>
      <c r="H109" s="208" t="s">
        <v>605</v>
      </c>
      <c r="I109" s="30"/>
      <c r="J109" s="30"/>
      <c r="K109" s="30"/>
      <c r="L109" s="30"/>
      <c r="M109" s="30"/>
      <c r="N109" s="30"/>
      <c r="O109" s="30"/>
      <c r="P109" s="30"/>
      <c r="Q109" s="30"/>
      <c r="R109" s="30"/>
      <c r="S109" s="30"/>
      <c r="T109" s="30"/>
      <c r="U109" s="30"/>
      <c r="V109" s="30"/>
      <c r="X109" s="60"/>
    </row>
    <row r="110" spans="4:24" ht="15.75" thickBot="1" x14ac:dyDescent="0.3">
      <c r="D110" s="211"/>
      <c r="F110" s="208" t="s">
        <v>606</v>
      </c>
      <c r="G110" s="210" t="s">
        <v>602</v>
      </c>
      <c r="H110" t="s">
        <v>604</v>
      </c>
      <c r="L110" s="37"/>
      <c r="M110" s="27"/>
      <c r="O110" s="38"/>
      <c r="P110" s="39"/>
      <c r="Q110" s="27"/>
      <c r="T110" s="23"/>
      <c r="U110" s="38"/>
      <c r="V110" s="39"/>
      <c r="W110" s="27"/>
    </row>
    <row r="111" spans="4:24" ht="15.75" thickBot="1" x14ac:dyDescent="0.3">
      <c r="D111" s="51" t="s">
        <v>225</v>
      </c>
      <c r="E111" s="24">
        <v>1</v>
      </c>
      <c r="F111" s="131" t="s">
        <v>599</v>
      </c>
      <c r="G111" s="131" t="s">
        <v>599</v>
      </c>
      <c r="H111" s="132" t="s">
        <v>599</v>
      </c>
      <c r="I111" s="132" t="s">
        <v>599</v>
      </c>
      <c r="J111" s="132" t="s">
        <v>599</v>
      </c>
      <c r="K111" s="132" t="s">
        <v>599</v>
      </c>
      <c r="L111" s="132" t="s">
        <v>599</v>
      </c>
      <c r="M111" s="132" t="s">
        <v>599</v>
      </c>
      <c r="N111" s="132" t="s">
        <v>599</v>
      </c>
      <c r="O111" s="132" t="s">
        <v>599</v>
      </c>
      <c r="P111" s="132" t="s">
        <v>599</v>
      </c>
      <c r="Q111" s="132" t="s">
        <v>599</v>
      </c>
      <c r="R111" s="132" t="s">
        <v>599</v>
      </c>
      <c r="S111" s="132" t="s">
        <v>599</v>
      </c>
      <c r="T111" s="132" t="s">
        <v>599</v>
      </c>
      <c r="U111" s="132" t="s">
        <v>599</v>
      </c>
      <c r="V111" s="133" t="s">
        <v>599</v>
      </c>
      <c r="W111" s="27"/>
    </row>
    <row r="112" spans="4:24" ht="15.75" thickBot="1" x14ac:dyDescent="0.3">
      <c r="D112" s="48" t="s">
        <v>226</v>
      </c>
      <c r="E112" s="24">
        <f t="shared" si="18"/>
        <v>2</v>
      </c>
      <c r="F112" s="132" t="s">
        <v>599</v>
      </c>
      <c r="G112" t="str">
        <f>CONCATENATE(F110,G111,G110,H111,G110,I111,G110,J111,G110,K111,G110,L111,G110,M111,G110,N111,G110,O111,G110,P111,G110,Q111,G110,R111,G110,S111,G110,T111,G110,U111,G110,V111,H110)</f>
        <v>uint16_t wDefaultValues[16] = {0x0000, 0x0000, 0x0000, 0x0000, 0x0000, 0x0000, 0x0000, 0x0000, 0x0000, 0x0000, 0x0000, 0x0000, 0x0000, 0x0000, 0x0000, 0x0000};</v>
      </c>
      <c r="L112" s="37"/>
      <c r="M112" s="27"/>
      <c r="O112" s="40"/>
      <c r="P112" s="39"/>
      <c r="Q112" s="27"/>
      <c r="T112" s="41"/>
      <c r="U112" s="38"/>
      <c r="V112" s="39"/>
    </row>
    <row r="113" spans="1:24" ht="15.75" thickBot="1" x14ac:dyDescent="0.3">
      <c r="D113" s="48" t="s">
        <v>227</v>
      </c>
      <c r="E113" s="24">
        <f t="shared" si="18"/>
        <v>3</v>
      </c>
      <c r="F113" s="132" t="s">
        <v>599</v>
      </c>
      <c r="G113" s="51" t="s">
        <v>225</v>
      </c>
      <c r="H113" s="48" t="s">
        <v>226</v>
      </c>
      <c r="I113" s="48" t="s">
        <v>227</v>
      </c>
      <c r="J113" s="48" t="s">
        <v>398</v>
      </c>
      <c r="K113" s="48" t="s">
        <v>204</v>
      </c>
      <c r="L113" s="48" t="s">
        <v>205</v>
      </c>
      <c r="M113" s="48" t="s">
        <v>206</v>
      </c>
      <c r="N113" s="48" t="s">
        <v>558</v>
      </c>
      <c r="O113" s="48" t="s">
        <v>233</v>
      </c>
      <c r="P113" s="48" t="s">
        <v>234</v>
      </c>
      <c r="Q113" s="48" t="s">
        <v>235</v>
      </c>
      <c r="R113" s="48" t="s">
        <v>236</v>
      </c>
      <c r="S113" s="48" t="s">
        <v>243</v>
      </c>
      <c r="T113" s="48" t="s">
        <v>244</v>
      </c>
      <c r="U113" s="48" t="s">
        <v>323</v>
      </c>
      <c r="V113" s="55" t="s">
        <v>324</v>
      </c>
    </row>
    <row r="114" spans="1:24" x14ac:dyDescent="0.25">
      <c r="D114" s="48" t="s">
        <v>398</v>
      </c>
      <c r="E114" s="24">
        <f t="shared" si="18"/>
        <v>4</v>
      </c>
      <c r="F114" s="132" t="s">
        <v>599</v>
      </c>
      <c r="G114" s="186" t="str">
        <f>CONCATENATE(F109,G113,G109,H113,G109,I113,G109,J113,G109,K113,G109,L113,G109,M113,G109,N113,G109,O113,G109,P113,G109,Q113,G109,R113,G109,S113,G109,T113,G109,U113,G109,V113,H109)</f>
        <v>QString qsNames[16] = {"reg_status_rxed1", "reg_mode_cmd_rxed1", "reg_mode_data_rxed1", "reg_rx_cmd1", "reg_tx_control1", "reg_cmd_proc_start1", "reg_cmd_proc_length1", "reg_cmd_rxed1", "reg_24", "reg_25", "reg_26", "reg_27", "reg_28", "reg_29", "reg_bus1_status", "reg_bus1_mask"};</v>
      </c>
      <c r="L114" s="42"/>
      <c r="M114" s="27"/>
      <c r="O114" s="38"/>
      <c r="P114" s="39"/>
      <c r="Q114" s="27"/>
      <c r="T114" s="41"/>
      <c r="U114" s="38"/>
      <c r="V114" s="39"/>
    </row>
    <row r="115" spans="1:24" x14ac:dyDescent="0.25">
      <c r="D115" s="48" t="s">
        <v>204</v>
      </c>
      <c r="E115" s="24">
        <f t="shared" si="18"/>
        <v>5</v>
      </c>
      <c r="F115" s="132" t="s">
        <v>599</v>
      </c>
      <c r="L115" s="42"/>
      <c r="M115" s="27"/>
      <c r="O115" s="38"/>
      <c r="P115" s="39"/>
      <c r="Q115" s="27"/>
      <c r="T115" s="23"/>
      <c r="U115" s="38"/>
      <c r="V115" s="39"/>
    </row>
    <row r="116" spans="1:24" x14ac:dyDescent="0.25">
      <c r="D116" s="48" t="s">
        <v>205</v>
      </c>
      <c r="E116" s="24">
        <f t="shared" si="18"/>
        <v>6</v>
      </c>
      <c r="F116" s="132" t="s">
        <v>599</v>
      </c>
      <c r="T116" s="23"/>
    </row>
    <row r="117" spans="1:24" x14ac:dyDescent="0.25">
      <c r="D117" s="48" t="s">
        <v>206</v>
      </c>
      <c r="E117" s="24">
        <f t="shared" si="18"/>
        <v>7</v>
      </c>
      <c r="F117" s="132" t="s">
        <v>599</v>
      </c>
    </row>
    <row r="118" spans="1:24" x14ac:dyDescent="0.25">
      <c r="D118" s="48" t="s">
        <v>558</v>
      </c>
      <c r="E118" s="24">
        <f t="shared" si="18"/>
        <v>8</v>
      </c>
      <c r="F118" s="132" t="s">
        <v>599</v>
      </c>
    </row>
    <row r="119" spans="1:24" x14ac:dyDescent="0.25">
      <c r="D119" s="48" t="s">
        <v>233</v>
      </c>
      <c r="E119" s="24">
        <f t="shared" si="18"/>
        <v>9</v>
      </c>
      <c r="F119" s="132" t="s">
        <v>599</v>
      </c>
    </row>
    <row r="120" spans="1:24" x14ac:dyDescent="0.25">
      <c r="D120" s="48" t="s">
        <v>234</v>
      </c>
      <c r="E120" s="24">
        <f t="shared" si="18"/>
        <v>10</v>
      </c>
      <c r="F120" s="132" t="s">
        <v>599</v>
      </c>
    </row>
    <row r="121" spans="1:24" x14ac:dyDescent="0.25">
      <c r="D121" s="48" t="s">
        <v>235</v>
      </c>
      <c r="E121" s="24">
        <f t="shared" si="18"/>
        <v>11</v>
      </c>
      <c r="F121" s="132" t="s">
        <v>599</v>
      </c>
    </row>
    <row r="122" spans="1:24" x14ac:dyDescent="0.25">
      <c r="D122" s="48" t="s">
        <v>236</v>
      </c>
      <c r="E122" s="24">
        <f t="shared" si="18"/>
        <v>12</v>
      </c>
      <c r="F122" s="132" t="s">
        <v>599</v>
      </c>
    </row>
    <row r="123" spans="1:24" x14ac:dyDescent="0.25">
      <c r="D123" s="48" t="s">
        <v>243</v>
      </c>
      <c r="E123" s="24">
        <f t="shared" si="18"/>
        <v>13</v>
      </c>
      <c r="F123" s="132" t="s">
        <v>599</v>
      </c>
    </row>
    <row r="124" spans="1:24" x14ac:dyDescent="0.25">
      <c r="D124" s="48" t="s">
        <v>244</v>
      </c>
      <c r="E124" s="24">
        <f t="shared" si="18"/>
        <v>14</v>
      </c>
      <c r="F124" s="132" t="s">
        <v>599</v>
      </c>
    </row>
    <row r="125" spans="1:24" x14ac:dyDescent="0.25">
      <c r="A125" s="33"/>
      <c r="B125" s="43"/>
      <c r="C125" s="114"/>
      <c r="D125" s="48" t="s">
        <v>323</v>
      </c>
      <c r="E125" s="24">
        <f t="shared" si="18"/>
        <v>15</v>
      </c>
      <c r="F125" s="132" t="s">
        <v>599</v>
      </c>
      <c r="G125" s="119"/>
      <c r="H125" s="33"/>
      <c r="I125" s="27"/>
    </row>
    <row r="126" spans="1:24" ht="15.75" thickBot="1" x14ac:dyDescent="0.3">
      <c r="D126" s="55" t="s">
        <v>324</v>
      </c>
      <c r="E126" s="24">
        <f t="shared" si="18"/>
        <v>16</v>
      </c>
      <c r="F126" s="133" t="s">
        <v>599</v>
      </c>
      <c r="H126" s="27"/>
    </row>
    <row r="127" spans="1:24" ht="15.75" thickBot="1" x14ac:dyDescent="0.3">
      <c r="F127" s="210" t="s">
        <v>626</v>
      </c>
      <c r="G127" s="210" t="s">
        <v>603</v>
      </c>
      <c r="H127" s="208" t="s">
        <v>605</v>
      </c>
      <c r="I127" s="30"/>
      <c r="J127" s="30"/>
      <c r="K127" s="30"/>
      <c r="L127" s="30"/>
      <c r="M127" s="30"/>
      <c r="N127" s="30"/>
      <c r="O127" s="30"/>
      <c r="P127" s="30"/>
      <c r="Q127" s="30"/>
      <c r="R127" s="30"/>
      <c r="S127" s="30"/>
      <c r="T127" s="30"/>
      <c r="U127" s="30"/>
      <c r="V127" s="30"/>
      <c r="X127" s="60"/>
    </row>
    <row r="128" spans="1:24" ht="15.75" thickBot="1" x14ac:dyDescent="0.3">
      <c r="D128" s="211"/>
      <c r="F128" s="208" t="s">
        <v>606</v>
      </c>
      <c r="G128" s="210" t="s">
        <v>602</v>
      </c>
      <c r="H128" t="s">
        <v>604</v>
      </c>
    </row>
    <row r="129" spans="1:22" ht="15.75" thickBot="1" x14ac:dyDescent="0.3">
      <c r="D129" s="51" t="s">
        <v>250</v>
      </c>
      <c r="E129" s="24">
        <v>1</v>
      </c>
      <c r="F129" s="131" t="s">
        <v>599</v>
      </c>
      <c r="G129" s="131" t="s">
        <v>599</v>
      </c>
      <c r="H129" s="132" t="s">
        <v>599</v>
      </c>
      <c r="I129" s="132" t="s">
        <v>599</v>
      </c>
      <c r="J129" s="132" t="s">
        <v>599</v>
      </c>
      <c r="K129" s="132" t="s">
        <v>599</v>
      </c>
      <c r="L129" s="132" t="s">
        <v>599</v>
      </c>
      <c r="M129" s="132" t="s">
        <v>599</v>
      </c>
      <c r="N129" s="132" t="s">
        <v>599</v>
      </c>
      <c r="O129" s="132" t="s">
        <v>599</v>
      </c>
      <c r="P129" s="132" t="s">
        <v>599</v>
      </c>
      <c r="Q129" s="132" t="s">
        <v>599</v>
      </c>
      <c r="R129" s="132" t="s">
        <v>599</v>
      </c>
      <c r="S129" s="132" t="s">
        <v>599</v>
      </c>
      <c r="T129" s="132" t="s">
        <v>599</v>
      </c>
      <c r="U129" s="132" t="s">
        <v>599</v>
      </c>
      <c r="V129" s="133" t="s">
        <v>599</v>
      </c>
    </row>
    <row r="130" spans="1:22" ht="15.75" thickBot="1" x14ac:dyDescent="0.3">
      <c r="D130" s="48" t="s">
        <v>251</v>
      </c>
      <c r="E130" s="24">
        <f t="shared" si="18"/>
        <v>2</v>
      </c>
      <c r="F130" s="132" t="s">
        <v>599</v>
      </c>
      <c r="G130" t="str">
        <f>CONCATENATE(F128,G129,G128,H129,G128,I129,G128,J129,G128,K129,G128,L129,G128,M129,G128,N129,G128,O129,G128,P129,G128,Q129,G128,R129,G128,S129,G128,T129,G128,U129,G128,V129,H128)</f>
        <v>uint16_t wDefaultValues[16] = {0x0000, 0x0000, 0x0000, 0x0000, 0x0000, 0x0000, 0x0000, 0x0000, 0x0000, 0x0000, 0x0000, 0x0000, 0x0000, 0x0000, 0x0000, 0x0000};</v>
      </c>
      <c r="H130" s="27"/>
    </row>
    <row r="131" spans="1:22" ht="15.75" thickBot="1" x14ac:dyDescent="0.3">
      <c r="D131" s="48" t="s">
        <v>252</v>
      </c>
      <c r="E131" s="24">
        <f t="shared" si="18"/>
        <v>3</v>
      </c>
      <c r="F131" s="132" t="s">
        <v>599</v>
      </c>
      <c r="G131" s="51" t="s">
        <v>250</v>
      </c>
      <c r="H131" s="48" t="s">
        <v>251</v>
      </c>
      <c r="I131" s="48" t="s">
        <v>252</v>
      </c>
      <c r="J131" s="48" t="s">
        <v>253</v>
      </c>
      <c r="K131" s="48" t="s">
        <v>254</v>
      </c>
      <c r="L131" s="48" t="s">
        <v>255</v>
      </c>
      <c r="M131" s="48" t="s">
        <v>256</v>
      </c>
      <c r="N131" s="48" t="s">
        <v>559</v>
      </c>
      <c r="O131" s="48" t="s">
        <v>237</v>
      </c>
      <c r="P131" s="48" t="s">
        <v>238</v>
      </c>
      <c r="Q131" s="48" t="s">
        <v>239</v>
      </c>
      <c r="R131" s="48" t="s">
        <v>240</v>
      </c>
      <c r="S131" s="48" t="s">
        <v>241</v>
      </c>
      <c r="T131" s="48" t="s">
        <v>242</v>
      </c>
      <c r="U131" s="48" t="s">
        <v>325</v>
      </c>
      <c r="V131" s="55" t="s">
        <v>326</v>
      </c>
    </row>
    <row r="132" spans="1:22" x14ac:dyDescent="0.25">
      <c r="D132" s="48" t="s">
        <v>253</v>
      </c>
      <c r="E132" s="24">
        <f t="shared" si="18"/>
        <v>4</v>
      </c>
      <c r="F132" s="132" t="s">
        <v>599</v>
      </c>
      <c r="G132" s="186" t="str">
        <f>CONCATENATE(F127,G131,G127,H131,G127,I131,G127,J131,G127,K131,G127,L131,G127,M131,G127,N131,G127,O131,G127,P131,G127,Q131,G127,R131,G127,S131,G127,T131,G127,U131,G127,V131,H127)</f>
        <v>QString qsNames[16] = {"reg_status_rxed2", "reg_mode_cmd_rxed2", "reg_mode_data_rxed2", "reg_rx_cmd2", "reg_tx_control2", "reg_cmd_proc_start2", "reg_cmd_proc_length2", "reg_cmd_rxed2", "reg_40", "reg_41", "reg_42", "reg_43", "reg_44", "reg_45", "reg_bus2_status", "reg_bus2_mask"};</v>
      </c>
      <c r="H132" s="27"/>
    </row>
    <row r="133" spans="1:22" x14ac:dyDescent="0.25">
      <c r="D133" s="48" t="s">
        <v>254</v>
      </c>
      <c r="E133" s="24">
        <f t="shared" si="18"/>
        <v>5</v>
      </c>
      <c r="F133" s="132" t="s">
        <v>599</v>
      </c>
      <c r="H133" s="27"/>
    </row>
    <row r="134" spans="1:22" x14ac:dyDescent="0.25">
      <c r="D134" s="48" t="s">
        <v>255</v>
      </c>
      <c r="E134" s="24">
        <f t="shared" si="18"/>
        <v>6</v>
      </c>
      <c r="F134" s="132" t="s">
        <v>599</v>
      </c>
      <c r="H134" s="27"/>
    </row>
    <row r="135" spans="1:22" x14ac:dyDescent="0.25">
      <c r="D135" s="48" t="s">
        <v>256</v>
      </c>
      <c r="E135" s="24">
        <f t="shared" si="18"/>
        <v>7</v>
      </c>
      <c r="F135" s="132" t="s">
        <v>599</v>
      </c>
      <c r="H135" s="27"/>
    </row>
    <row r="136" spans="1:22" x14ac:dyDescent="0.25">
      <c r="D136" s="48" t="s">
        <v>559</v>
      </c>
      <c r="E136" s="24">
        <f t="shared" si="18"/>
        <v>8</v>
      </c>
      <c r="F136" s="132" t="s">
        <v>599</v>
      </c>
      <c r="H136" s="27"/>
    </row>
    <row r="137" spans="1:22" x14ac:dyDescent="0.25">
      <c r="A137" s="25"/>
      <c r="B137" s="25"/>
      <c r="C137" s="115"/>
      <c r="D137" s="48" t="s">
        <v>237</v>
      </c>
      <c r="E137" s="24">
        <f t="shared" si="18"/>
        <v>9</v>
      </c>
      <c r="F137" s="132" t="s">
        <v>599</v>
      </c>
      <c r="G137" s="119"/>
    </row>
    <row r="138" spans="1:22" x14ac:dyDescent="0.25">
      <c r="A138" s="24"/>
      <c r="B138" s="24"/>
      <c r="C138" s="116"/>
      <c r="D138" s="48" t="s">
        <v>238</v>
      </c>
      <c r="E138" s="24">
        <f t="shared" si="18"/>
        <v>10</v>
      </c>
      <c r="F138" s="132" t="s">
        <v>599</v>
      </c>
    </row>
    <row r="139" spans="1:22" x14ac:dyDescent="0.25">
      <c r="A139" s="24"/>
      <c r="B139" s="24"/>
      <c r="C139" s="116"/>
      <c r="D139" s="48" t="s">
        <v>239</v>
      </c>
      <c r="E139" s="24">
        <f t="shared" si="18"/>
        <v>11</v>
      </c>
      <c r="F139" s="132" t="s">
        <v>599</v>
      </c>
    </row>
    <row r="140" spans="1:22" x14ac:dyDescent="0.25">
      <c r="A140" s="24"/>
      <c r="B140" s="24"/>
      <c r="C140" s="116"/>
      <c r="D140" s="48" t="s">
        <v>240</v>
      </c>
      <c r="E140" s="24">
        <f t="shared" si="18"/>
        <v>12</v>
      </c>
      <c r="F140" s="132" t="s">
        <v>599</v>
      </c>
    </row>
    <row r="141" spans="1:22" x14ac:dyDescent="0.25">
      <c r="A141" s="24"/>
      <c r="B141" s="24"/>
      <c r="C141" s="116"/>
      <c r="D141" s="48" t="s">
        <v>241</v>
      </c>
      <c r="E141" s="24">
        <f t="shared" si="18"/>
        <v>13</v>
      </c>
      <c r="F141" s="132" t="s">
        <v>599</v>
      </c>
    </row>
    <row r="142" spans="1:22" x14ac:dyDescent="0.25">
      <c r="A142" s="24"/>
      <c r="B142" s="24"/>
      <c r="C142" s="116"/>
      <c r="D142" s="48" t="s">
        <v>242</v>
      </c>
      <c r="E142" s="24">
        <f t="shared" si="18"/>
        <v>14</v>
      </c>
      <c r="F142" s="132" t="s">
        <v>599</v>
      </c>
    </row>
    <row r="143" spans="1:22" x14ac:dyDescent="0.25">
      <c r="A143" s="24"/>
      <c r="B143" s="24"/>
      <c r="C143" s="116"/>
      <c r="D143" s="48" t="s">
        <v>325</v>
      </c>
      <c r="E143" s="24">
        <f t="shared" si="18"/>
        <v>15</v>
      </c>
      <c r="F143" s="132" t="s">
        <v>599</v>
      </c>
    </row>
    <row r="144" spans="1:22" ht="15.75" thickBot="1" x14ac:dyDescent="0.3">
      <c r="A144" s="24"/>
      <c r="B144" s="24"/>
      <c r="C144" s="116"/>
      <c r="D144" s="55" t="s">
        <v>326</v>
      </c>
      <c r="E144" s="24">
        <f t="shared" si="18"/>
        <v>16</v>
      </c>
      <c r="F144" s="133" t="s">
        <v>599</v>
      </c>
    </row>
    <row r="145" spans="1:24" ht="15.75" thickBot="1" x14ac:dyDescent="0.3">
      <c r="F145" s="210" t="s">
        <v>626</v>
      </c>
      <c r="G145" s="210" t="s">
        <v>603</v>
      </c>
      <c r="H145" s="208" t="s">
        <v>605</v>
      </c>
      <c r="I145" s="30"/>
      <c r="J145" s="30"/>
      <c r="K145" s="30"/>
      <c r="L145" s="30"/>
      <c r="M145" s="30"/>
      <c r="N145" s="30"/>
      <c r="O145" s="30"/>
      <c r="P145" s="30"/>
      <c r="Q145" s="30"/>
      <c r="R145" s="30"/>
      <c r="S145" s="30"/>
      <c r="T145" s="30"/>
      <c r="U145" s="30"/>
      <c r="V145" s="30"/>
      <c r="X145" s="60"/>
    </row>
    <row r="146" spans="1:24" ht="15.75" thickBot="1" x14ac:dyDescent="0.3">
      <c r="A146" s="24"/>
      <c r="B146" s="24"/>
      <c r="C146" s="116"/>
      <c r="D146" s="211"/>
      <c r="F146" s="208" t="s">
        <v>606</v>
      </c>
      <c r="G146" s="210" t="s">
        <v>602</v>
      </c>
      <c r="H146" t="s">
        <v>604</v>
      </c>
    </row>
    <row r="147" spans="1:24" ht="15.75" thickBot="1" x14ac:dyDescent="0.3">
      <c r="A147" s="24"/>
      <c r="B147" s="24"/>
      <c r="C147" s="116"/>
      <c r="D147" s="51" t="s">
        <v>262</v>
      </c>
      <c r="E147" s="24">
        <v>1</v>
      </c>
      <c r="F147" s="131" t="s">
        <v>599</v>
      </c>
      <c r="G147" s="131" t="s">
        <v>599</v>
      </c>
      <c r="H147" s="132" t="s">
        <v>599</v>
      </c>
      <c r="I147" s="132" t="s">
        <v>599</v>
      </c>
      <c r="J147" s="132" t="s">
        <v>599</v>
      </c>
      <c r="K147" s="132" t="s">
        <v>617</v>
      </c>
      <c r="L147" s="132" t="s">
        <v>599</v>
      </c>
      <c r="M147" s="132" t="s">
        <v>599</v>
      </c>
      <c r="N147" s="132" t="s">
        <v>599</v>
      </c>
      <c r="O147" s="133" t="s">
        <v>618</v>
      </c>
      <c r="P147" s="132" t="s">
        <v>599</v>
      </c>
      <c r="Q147" s="132" t="s">
        <v>599</v>
      </c>
      <c r="R147" s="132" t="s">
        <v>599</v>
      </c>
      <c r="S147" s="132" t="s">
        <v>599</v>
      </c>
      <c r="T147" s="132" t="s">
        <v>599</v>
      </c>
      <c r="U147" s="132" t="s">
        <v>599</v>
      </c>
      <c r="V147" s="132" t="s">
        <v>599</v>
      </c>
    </row>
    <row r="148" spans="1:24" ht="15.75" thickBot="1" x14ac:dyDescent="0.3">
      <c r="A148" s="24"/>
      <c r="B148" s="24"/>
      <c r="C148" s="116"/>
      <c r="D148" s="48" t="s">
        <v>279</v>
      </c>
      <c r="E148" s="24">
        <f t="shared" si="18"/>
        <v>2</v>
      </c>
      <c r="F148" s="132" t="s">
        <v>599</v>
      </c>
      <c r="G148" t="str">
        <f>CONCATENATE(F146,G147,G146,H147,G146,I147,G146,J147,G146,K147,G146,L147,G146,M147,G146,N147,G146,O147,G146,P147,G146,Q147,G146,R147,G146,S147,G146,T147,G146,U147,G146,V147,H146)</f>
        <v>uint16_t wDefaultValues[16] = {0x0000, 0x0000, 0x0000, 0x0000, 0x8000, 0x0000, 0x0000, 0x0000, 0x0001, 0x0000, 0x0000, 0x0000, 0x0000, 0x0000, 0x0000, 0x0000};</v>
      </c>
    </row>
    <row r="149" spans="1:24" ht="15.75" thickBot="1" x14ac:dyDescent="0.3">
      <c r="A149" s="24"/>
      <c r="B149" s="24"/>
      <c r="C149" s="116"/>
      <c r="D149" s="48" t="s">
        <v>296</v>
      </c>
      <c r="E149" s="24">
        <f t="shared" si="18"/>
        <v>3</v>
      </c>
      <c r="F149" s="132" t="s">
        <v>599</v>
      </c>
      <c r="G149" s="51" t="s">
        <v>262</v>
      </c>
      <c r="H149" s="48" t="s">
        <v>279</v>
      </c>
      <c r="I149" s="48" t="s">
        <v>296</v>
      </c>
      <c r="J149" s="48" t="s">
        <v>313</v>
      </c>
      <c r="K149" s="48" t="s">
        <v>375</v>
      </c>
      <c r="L149" s="48" t="s">
        <v>22</v>
      </c>
      <c r="M149" s="48" t="s">
        <v>260</v>
      </c>
      <c r="N149" s="48" t="s">
        <v>261</v>
      </c>
      <c r="O149" s="55" t="s">
        <v>386</v>
      </c>
      <c r="P149" s="212" t="s">
        <v>619</v>
      </c>
      <c r="Q149" s="212" t="s">
        <v>620</v>
      </c>
      <c r="R149" s="212" t="s">
        <v>621</v>
      </c>
      <c r="S149" s="212" t="s">
        <v>622</v>
      </c>
      <c r="T149" s="212" t="s">
        <v>623</v>
      </c>
      <c r="U149" s="212" t="s">
        <v>624</v>
      </c>
      <c r="V149" s="212" t="s">
        <v>625</v>
      </c>
    </row>
    <row r="150" spans="1:24" x14ac:dyDescent="0.25">
      <c r="A150" s="24"/>
      <c r="B150" s="24"/>
      <c r="C150" s="116"/>
      <c r="D150" s="48" t="s">
        <v>313</v>
      </c>
      <c r="E150" s="24">
        <f t="shared" si="18"/>
        <v>4</v>
      </c>
      <c r="F150" s="132" t="s">
        <v>599</v>
      </c>
      <c r="G150" s="186" t="str">
        <f>CONCATENATE(F145,G149,G145,H149,G145,I149,G145,J149,G145,K149,G145,L149,G145,M149,G145,N149,G145,O149,G145,P149,G145,Q149,G145,R149,G145,S149,G145,T149,G145,U149,G145,V149,H145)</f>
        <v>QString qsNames[16] = {"Timestamp3 MSB", "Timestamp2", "Timestamp1", "Timestamp0 LSB", "reg_rt_control", "reg_err_inj_data", "reg_gID", "reg_fw_version", "reg_rt_addr", "reserved1", "reserved2", "reserved3", "reserved4", "reserved5", "reserved6", "reserved7"};</v>
      </c>
    </row>
    <row r="151" spans="1:24" x14ac:dyDescent="0.25">
      <c r="A151" s="24"/>
      <c r="B151" s="24"/>
      <c r="C151" s="116"/>
      <c r="D151" s="48" t="s">
        <v>375</v>
      </c>
      <c r="E151" s="24">
        <f t="shared" si="18"/>
        <v>5</v>
      </c>
      <c r="F151" s="132" t="s">
        <v>617</v>
      </c>
    </row>
    <row r="152" spans="1:24" x14ac:dyDescent="0.25">
      <c r="D152" s="48" t="s">
        <v>22</v>
      </c>
      <c r="E152" s="24">
        <f t="shared" si="18"/>
        <v>6</v>
      </c>
      <c r="F152" s="132" t="s">
        <v>599</v>
      </c>
    </row>
    <row r="153" spans="1:24" x14ac:dyDescent="0.25">
      <c r="D153" s="48" t="s">
        <v>260</v>
      </c>
      <c r="E153" s="24">
        <f t="shared" si="18"/>
        <v>7</v>
      </c>
      <c r="F153" s="132" t="s">
        <v>599</v>
      </c>
    </row>
    <row r="154" spans="1:24" x14ac:dyDescent="0.25">
      <c r="D154" s="48" t="s">
        <v>261</v>
      </c>
      <c r="E154" s="24">
        <f t="shared" si="18"/>
        <v>8</v>
      </c>
      <c r="F154" s="132" t="s">
        <v>599</v>
      </c>
    </row>
    <row r="155" spans="1:24" ht="15.75" thickBot="1" x14ac:dyDescent="0.3">
      <c r="D155" s="55" t="s">
        <v>386</v>
      </c>
      <c r="E155" s="24">
        <f t="shared" si="18"/>
        <v>9</v>
      </c>
      <c r="F155" s="133" t="s">
        <v>618</v>
      </c>
    </row>
    <row r="156" spans="1:24" x14ac:dyDescent="0.25">
      <c r="D156" s="212" t="s">
        <v>619</v>
      </c>
      <c r="E156" s="24">
        <f t="shared" si="18"/>
        <v>10</v>
      </c>
      <c r="F156" s="132" t="s">
        <v>599</v>
      </c>
    </row>
    <row r="157" spans="1:24" x14ac:dyDescent="0.25">
      <c r="D157" s="212" t="s">
        <v>620</v>
      </c>
      <c r="E157" s="24">
        <f t="shared" si="18"/>
        <v>11</v>
      </c>
      <c r="F157" s="132" t="s">
        <v>599</v>
      </c>
    </row>
    <row r="158" spans="1:24" x14ac:dyDescent="0.25">
      <c r="D158" s="212" t="s">
        <v>621</v>
      </c>
      <c r="E158" s="24">
        <f t="shared" si="18"/>
        <v>12</v>
      </c>
      <c r="F158" s="132" t="s">
        <v>599</v>
      </c>
    </row>
    <row r="159" spans="1:24" x14ac:dyDescent="0.25">
      <c r="D159" s="212" t="s">
        <v>622</v>
      </c>
      <c r="E159" s="24">
        <f t="shared" si="18"/>
        <v>13</v>
      </c>
      <c r="F159" s="132" t="s">
        <v>599</v>
      </c>
    </row>
    <row r="160" spans="1:24" x14ac:dyDescent="0.25">
      <c r="D160" s="212" t="s">
        <v>623</v>
      </c>
      <c r="E160" s="24">
        <f t="shared" si="18"/>
        <v>14</v>
      </c>
      <c r="F160" s="132" t="s">
        <v>599</v>
      </c>
    </row>
    <row r="161" spans="4:6" x14ac:dyDescent="0.25">
      <c r="D161" s="212" t="s">
        <v>624</v>
      </c>
      <c r="E161" s="24">
        <f t="shared" si="18"/>
        <v>15</v>
      </c>
      <c r="F161" s="132" t="s">
        <v>599</v>
      </c>
    </row>
    <row r="162" spans="4:6" x14ac:dyDescent="0.25">
      <c r="D162" s="212" t="s">
        <v>625</v>
      </c>
      <c r="E162" s="24">
        <f t="shared" si="18"/>
        <v>16</v>
      </c>
      <c r="F162" s="132" t="s">
        <v>599</v>
      </c>
    </row>
  </sheetData>
  <mergeCells count="2">
    <mergeCell ref="T22:V22"/>
    <mergeCell ref="T38:V38"/>
  </mergeCells>
  <phoneticPr fontId="1" type="noConversion"/>
  <pageMargins left="0.7" right="0.7" top="0.75" bottom="0.75" header="0.3" footer="0.3"/>
  <pageSetup paperSize="9" scale="43" orientation="landscape" horizontalDpi="4294967293" r:id="rId1"/>
  <rowBreaks count="1" manualBreakCount="1">
    <brk id="120" max="16383"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1"/>
  <sheetViews>
    <sheetView topLeftCell="A17" workbookViewId="0">
      <selection activeCell="J30" sqref="J30"/>
    </sheetView>
  </sheetViews>
  <sheetFormatPr defaultRowHeight="30" customHeight="1" x14ac:dyDescent="0.25"/>
  <cols>
    <col min="1" max="1" width="37.85546875" style="242" customWidth="1"/>
    <col min="2" max="2" width="9.85546875" style="242" customWidth="1"/>
    <col min="3" max="3" width="9.42578125" style="242" customWidth="1"/>
    <col min="4" max="16384" width="9.140625" style="242"/>
  </cols>
  <sheetData>
    <row r="1" spans="1:3" ht="30" customHeight="1" thickBot="1" x14ac:dyDescent="0.3">
      <c r="A1" s="290" t="s">
        <v>635</v>
      </c>
      <c r="B1" s="291"/>
      <c r="C1" s="292"/>
    </row>
    <row r="2" spans="1:3" ht="30" customHeight="1" thickBot="1" x14ac:dyDescent="0.3">
      <c r="A2" s="287" t="s">
        <v>636</v>
      </c>
      <c r="B2" s="288"/>
      <c r="C2" s="289"/>
    </row>
    <row r="3" spans="1:3" ht="30" customHeight="1" thickBot="1" x14ac:dyDescent="0.3">
      <c r="A3" s="253"/>
      <c r="B3" s="251" t="s">
        <v>642</v>
      </c>
      <c r="C3" s="252" t="s">
        <v>643</v>
      </c>
    </row>
    <row r="4" spans="1:3" ht="30" customHeight="1" x14ac:dyDescent="0.25">
      <c r="A4" s="253" t="s">
        <v>637</v>
      </c>
      <c r="B4" s="249" t="s">
        <v>644</v>
      </c>
      <c r="C4" s="250"/>
    </row>
    <row r="5" spans="1:3" ht="30" customHeight="1" x14ac:dyDescent="0.25">
      <c r="A5" s="245" t="s">
        <v>638</v>
      </c>
      <c r="B5" s="243" t="s">
        <v>644</v>
      </c>
      <c r="C5" s="244"/>
    </row>
    <row r="6" spans="1:3" ht="30" customHeight="1" x14ac:dyDescent="0.25">
      <c r="A6" s="245" t="s">
        <v>639</v>
      </c>
      <c r="B6" s="243" t="s">
        <v>644</v>
      </c>
      <c r="C6" s="244"/>
    </row>
    <row r="7" spans="1:3" ht="30" customHeight="1" x14ac:dyDescent="0.25">
      <c r="A7" s="245" t="s">
        <v>640</v>
      </c>
      <c r="B7" s="243" t="s">
        <v>644</v>
      </c>
      <c r="C7" s="244"/>
    </row>
    <row r="8" spans="1:3" ht="30" customHeight="1" thickBot="1" x14ac:dyDescent="0.3">
      <c r="A8" s="246" t="s">
        <v>641</v>
      </c>
      <c r="B8" s="247" t="s">
        <v>644</v>
      </c>
      <c r="C8" s="248"/>
    </row>
    <row r="9" spans="1:3" ht="30" customHeight="1" thickBot="1" x14ac:dyDescent="0.3">
      <c r="A9" s="287" t="s">
        <v>645</v>
      </c>
      <c r="B9" s="288"/>
      <c r="C9" s="289"/>
    </row>
    <row r="10" spans="1:3" ht="30" customHeight="1" thickBot="1" x14ac:dyDescent="0.3">
      <c r="A10" s="253"/>
      <c r="B10" s="251" t="s">
        <v>642</v>
      </c>
      <c r="C10" s="252" t="s">
        <v>643</v>
      </c>
    </row>
    <row r="11" spans="1:3" ht="30" customHeight="1" x14ac:dyDescent="0.25">
      <c r="A11" s="253" t="s">
        <v>637</v>
      </c>
      <c r="B11" s="249" t="s">
        <v>644</v>
      </c>
      <c r="C11" s="250"/>
    </row>
    <row r="12" spans="1:3" ht="30" customHeight="1" x14ac:dyDescent="0.25">
      <c r="A12" s="245" t="s">
        <v>638</v>
      </c>
      <c r="B12" s="243" t="s">
        <v>644</v>
      </c>
      <c r="C12" s="244"/>
    </row>
    <row r="13" spans="1:3" ht="30" customHeight="1" x14ac:dyDescent="0.25">
      <c r="A13" s="245" t="s">
        <v>639</v>
      </c>
      <c r="B13" s="243" t="s">
        <v>644</v>
      </c>
      <c r="C13" s="244"/>
    </row>
    <row r="14" spans="1:3" ht="30" customHeight="1" x14ac:dyDescent="0.25">
      <c r="A14" s="245" t="s">
        <v>640</v>
      </c>
      <c r="B14" s="243" t="s">
        <v>644</v>
      </c>
      <c r="C14" s="244"/>
    </row>
    <row r="15" spans="1:3" ht="30" customHeight="1" thickBot="1" x14ac:dyDescent="0.3">
      <c r="A15" s="246" t="s">
        <v>641</v>
      </c>
      <c r="B15" s="247" t="s">
        <v>644</v>
      </c>
      <c r="C15" s="248"/>
    </row>
    <row r="16" spans="1:3" ht="30" customHeight="1" thickBot="1" x14ac:dyDescent="0.3"/>
    <row r="17" spans="1:4" s="255" customFormat="1" ht="30" customHeight="1" thickBot="1" x14ac:dyDescent="0.3">
      <c r="A17" s="296" t="s">
        <v>646</v>
      </c>
      <c r="B17" s="297"/>
      <c r="C17" s="297"/>
      <c r="D17" s="298"/>
    </row>
    <row r="18" spans="1:4" s="255" customFormat="1" ht="30" customHeight="1" thickBot="1" x14ac:dyDescent="0.3">
      <c r="A18" s="293" t="s">
        <v>648</v>
      </c>
      <c r="B18" s="294"/>
      <c r="C18" s="294"/>
      <c r="D18" s="295"/>
    </row>
    <row r="19" spans="1:4" s="256" customFormat="1" ht="20.100000000000001" customHeight="1" x14ac:dyDescent="0.25">
      <c r="A19" s="264" t="s">
        <v>30</v>
      </c>
      <c r="B19" s="265" t="s">
        <v>642</v>
      </c>
      <c r="C19" s="254" t="s">
        <v>643</v>
      </c>
      <c r="D19" s="260" t="s">
        <v>647</v>
      </c>
    </row>
    <row r="20" spans="1:4" s="255" customFormat="1" ht="20.100000000000001" customHeight="1" x14ac:dyDescent="0.25">
      <c r="A20" s="245" t="s">
        <v>661</v>
      </c>
      <c r="B20" s="257" t="s">
        <v>649</v>
      </c>
      <c r="C20" s="243"/>
      <c r="D20" s="244"/>
    </row>
    <row r="21" spans="1:4" s="255" customFormat="1" ht="20.100000000000001" customHeight="1" x14ac:dyDescent="0.25">
      <c r="A21" s="245" t="s">
        <v>650</v>
      </c>
      <c r="B21" s="257" t="s">
        <v>651</v>
      </c>
      <c r="C21" s="243"/>
      <c r="D21" s="244"/>
    </row>
    <row r="22" spans="1:4" s="255" customFormat="1" ht="20.100000000000001" customHeight="1" x14ac:dyDescent="0.25">
      <c r="A22" s="245" t="s">
        <v>652</v>
      </c>
      <c r="B22" s="257" t="s">
        <v>649</v>
      </c>
      <c r="C22" s="243"/>
      <c r="D22" s="244"/>
    </row>
    <row r="23" spans="1:4" s="255" customFormat="1" ht="20.100000000000001" customHeight="1" thickBot="1" x14ac:dyDescent="0.3">
      <c r="A23" s="262" t="s">
        <v>653</v>
      </c>
      <c r="B23" s="259" t="s">
        <v>651</v>
      </c>
      <c r="C23" s="258"/>
      <c r="D23" s="263"/>
    </row>
    <row r="24" spans="1:4" s="255" customFormat="1" ht="30" customHeight="1" thickBot="1" x14ac:dyDescent="0.3">
      <c r="A24" s="293" t="s">
        <v>654</v>
      </c>
      <c r="B24" s="294"/>
      <c r="C24" s="294"/>
      <c r="D24" s="295"/>
    </row>
    <row r="25" spans="1:4" s="256" customFormat="1" ht="20.100000000000001" customHeight="1" x14ac:dyDescent="0.25">
      <c r="A25" s="264" t="s">
        <v>30</v>
      </c>
      <c r="B25" s="265" t="s">
        <v>642</v>
      </c>
      <c r="C25" s="254" t="s">
        <v>643</v>
      </c>
      <c r="D25" s="260" t="s">
        <v>647</v>
      </c>
    </row>
    <row r="26" spans="1:4" s="255" customFormat="1" ht="20.100000000000001" customHeight="1" x14ac:dyDescent="0.25">
      <c r="A26" s="245" t="s">
        <v>661</v>
      </c>
      <c r="B26" s="257" t="s">
        <v>655</v>
      </c>
      <c r="C26" s="243"/>
      <c r="D26" s="244"/>
    </row>
    <row r="27" spans="1:4" s="255" customFormat="1" ht="20.100000000000001" customHeight="1" x14ac:dyDescent="0.25">
      <c r="A27" s="245" t="s">
        <v>650</v>
      </c>
      <c r="B27" s="257" t="s">
        <v>656</v>
      </c>
      <c r="C27" s="243"/>
      <c r="D27" s="244"/>
    </row>
    <row r="28" spans="1:4" s="255" customFormat="1" ht="20.100000000000001" customHeight="1" x14ac:dyDescent="0.25">
      <c r="A28" s="245" t="s">
        <v>652</v>
      </c>
      <c r="B28" s="257" t="s">
        <v>655</v>
      </c>
      <c r="C28" s="243"/>
      <c r="D28" s="244"/>
    </row>
    <row r="29" spans="1:4" s="255" customFormat="1" ht="20.100000000000001" customHeight="1" thickBot="1" x14ac:dyDescent="0.3">
      <c r="A29" s="262" t="s">
        <v>653</v>
      </c>
      <c r="B29" s="259" t="s">
        <v>656</v>
      </c>
      <c r="C29" s="258"/>
      <c r="D29" s="263"/>
    </row>
    <row r="30" spans="1:4" ht="30" customHeight="1" thickBot="1" x14ac:dyDescent="0.3">
      <c r="A30" s="293" t="s">
        <v>657</v>
      </c>
      <c r="B30" s="294"/>
      <c r="C30" s="294"/>
      <c r="D30" s="295"/>
    </row>
    <row r="31" spans="1:4" s="256" customFormat="1" ht="19.5" customHeight="1" x14ac:dyDescent="0.25">
      <c r="A31" s="264" t="s">
        <v>30</v>
      </c>
      <c r="B31" s="265" t="s">
        <v>642</v>
      </c>
      <c r="C31" s="254" t="s">
        <v>643</v>
      </c>
      <c r="D31" s="260" t="s">
        <v>647</v>
      </c>
    </row>
    <row r="32" spans="1:4" s="255" customFormat="1" ht="20.100000000000001" customHeight="1" x14ac:dyDescent="0.25">
      <c r="A32" s="245" t="s">
        <v>661</v>
      </c>
      <c r="B32" s="257" t="s">
        <v>658</v>
      </c>
      <c r="C32" s="243"/>
      <c r="D32" s="244"/>
    </row>
    <row r="33" spans="1:4" s="255" customFormat="1" ht="20.100000000000001" customHeight="1" x14ac:dyDescent="0.25">
      <c r="A33" s="245" t="s">
        <v>650</v>
      </c>
      <c r="B33" s="257" t="s">
        <v>656</v>
      </c>
      <c r="C33" s="243"/>
      <c r="D33" s="244"/>
    </row>
    <row r="34" spans="1:4" s="255" customFormat="1" ht="20.100000000000001" customHeight="1" x14ac:dyDescent="0.25">
      <c r="A34" s="245" t="s">
        <v>652</v>
      </c>
      <c r="B34" s="257" t="s">
        <v>658</v>
      </c>
      <c r="C34" s="243"/>
      <c r="D34" s="244"/>
    </row>
    <row r="35" spans="1:4" s="255" customFormat="1" ht="20.100000000000001" customHeight="1" thickBot="1" x14ac:dyDescent="0.3">
      <c r="A35" s="262" t="s">
        <v>653</v>
      </c>
      <c r="B35" s="259" t="s">
        <v>656</v>
      </c>
      <c r="C35" s="258"/>
      <c r="D35" s="263"/>
    </row>
    <row r="36" spans="1:4" ht="30" customHeight="1" thickBot="1" x14ac:dyDescent="0.3">
      <c r="A36" s="293" t="s">
        <v>659</v>
      </c>
      <c r="B36" s="294"/>
      <c r="C36" s="294"/>
      <c r="D36" s="295"/>
    </row>
    <row r="37" spans="1:4" s="256" customFormat="1" ht="20.100000000000001" customHeight="1" x14ac:dyDescent="0.25">
      <c r="A37" s="264" t="s">
        <v>30</v>
      </c>
      <c r="B37" s="265" t="s">
        <v>642</v>
      </c>
      <c r="C37" s="254" t="s">
        <v>643</v>
      </c>
      <c r="D37" s="260" t="s">
        <v>647</v>
      </c>
    </row>
    <row r="38" spans="1:4" s="255" customFormat="1" ht="20.100000000000001" customHeight="1" x14ac:dyDescent="0.25">
      <c r="A38" s="245" t="s">
        <v>661</v>
      </c>
      <c r="B38" s="257" t="s">
        <v>660</v>
      </c>
      <c r="C38" s="243"/>
      <c r="D38" s="244"/>
    </row>
    <row r="39" spans="1:4" s="255" customFormat="1" ht="20.100000000000001" customHeight="1" x14ac:dyDescent="0.25">
      <c r="A39" s="245" t="s">
        <v>650</v>
      </c>
      <c r="B39" s="257" t="s">
        <v>651</v>
      </c>
      <c r="C39" s="243"/>
      <c r="D39" s="244"/>
    </row>
    <row r="40" spans="1:4" s="255" customFormat="1" ht="20.100000000000001" customHeight="1" x14ac:dyDescent="0.25">
      <c r="A40" s="245" t="s">
        <v>652</v>
      </c>
      <c r="B40" s="257" t="s">
        <v>660</v>
      </c>
      <c r="C40" s="243"/>
      <c r="D40" s="244"/>
    </row>
    <row r="41" spans="1:4" s="255" customFormat="1" ht="20.100000000000001" customHeight="1" thickBot="1" x14ac:dyDescent="0.3">
      <c r="A41" s="246" t="s">
        <v>653</v>
      </c>
      <c r="B41" s="261" t="s">
        <v>651</v>
      </c>
      <c r="C41" s="247"/>
      <c r="D41" s="248"/>
    </row>
  </sheetData>
  <mergeCells count="8">
    <mergeCell ref="A2:C2"/>
    <mergeCell ref="A1:C1"/>
    <mergeCell ref="A9:C9"/>
    <mergeCell ref="A36:D36"/>
    <mergeCell ref="A18:D18"/>
    <mergeCell ref="A17:D17"/>
    <mergeCell ref="A24:D24"/>
    <mergeCell ref="A30:D30"/>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C59"/>
  <sheetViews>
    <sheetView zoomScale="85" zoomScaleNormal="85" workbookViewId="0">
      <selection activeCell="R7" sqref="R7"/>
    </sheetView>
  </sheetViews>
  <sheetFormatPr defaultRowHeight="15" x14ac:dyDescent="0.25"/>
  <cols>
    <col min="1" max="1" width="23.140625" bestFit="1" customWidth="1"/>
    <col min="2" max="2" width="4.5703125" bestFit="1" customWidth="1"/>
    <col min="3" max="3" width="8.140625" bestFit="1" customWidth="1"/>
    <col min="4" max="4" width="31.28515625" bestFit="1" customWidth="1"/>
    <col min="5" max="5" width="11.42578125" bestFit="1" customWidth="1"/>
    <col min="6" max="6" width="10.28515625" customWidth="1"/>
    <col min="7" max="7" width="7.5703125" bestFit="1" customWidth="1"/>
    <col min="8" max="9" width="8.42578125" bestFit="1" customWidth="1"/>
    <col min="10" max="10" width="7.85546875" bestFit="1" customWidth="1"/>
    <col min="11" max="11" width="15.140625" bestFit="1" customWidth="1"/>
    <col min="12" max="12" width="11.7109375" bestFit="1" customWidth="1"/>
    <col min="13" max="13" width="13.7109375" bestFit="1" customWidth="1"/>
    <col min="14" max="14" width="11.7109375" bestFit="1" customWidth="1"/>
    <col min="15" max="15" width="10.140625" bestFit="1" customWidth="1"/>
    <col min="16" max="16" width="15.42578125" bestFit="1" customWidth="1"/>
    <col min="17" max="17" width="15.5703125" bestFit="1" customWidth="1"/>
    <col min="18" max="18" width="14.7109375" bestFit="1" customWidth="1"/>
    <col min="19" max="19" width="12.5703125" bestFit="1" customWidth="1"/>
    <col min="20" max="20" width="12.7109375" bestFit="1" customWidth="1"/>
    <col min="21" max="21" width="11.7109375" bestFit="1" customWidth="1"/>
    <col min="22" max="22" width="8.7109375" bestFit="1" customWidth="1"/>
    <col min="23" max="23" width="10.7109375" bestFit="1" customWidth="1"/>
    <col min="24" max="24" width="54.28515625" bestFit="1" customWidth="1"/>
    <col min="25" max="25" width="34.140625" bestFit="1" customWidth="1"/>
    <col min="26" max="26" width="55.140625" bestFit="1" customWidth="1"/>
    <col min="27" max="27" width="53.85546875" bestFit="1" customWidth="1"/>
    <col min="28" max="28" width="56" customWidth="1"/>
    <col min="29" max="29" width="51.28515625" bestFit="1" customWidth="1"/>
  </cols>
  <sheetData>
    <row r="1" spans="1:29" ht="15.75" thickBot="1" x14ac:dyDescent="0.3">
      <c r="A1" s="166" t="s">
        <v>0</v>
      </c>
      <c r="B1" s="167" t="s">
        <v>21</v>
      </c>
      <c r="C1" s="168" t="s">
        <v>397</v>
      </c>
      <c r="D1" s="168"/>
      <c r="E1" s="169" t="s">
        <v>1</v>
      </c>
      <c r="F1" s="169" t="s">
        <v>3</v>
      </c>
      <c r="G1" s="169" t="s">
        <v>3</v>
      </c>
      <c r="H1" s="169">
        <v>15</v>
      </c>
      <c r="I1" s="169">
        <v>14</v>
      </c>
      <c r="J1" s="169">
        <v>13</v>
      </c>
      <c r="K1" s="169">
        <v>12</v>
      </c>
      <c r="L1" s="169">
        <v>11</v>
      </c>
      <c r="M1" s="169">
        <v>10</v>
      </c>
      <c r="N1" s="169">
        <v>9</v>
      </c>
      <c r="O1" s="169">
        <v>8</v>
      </c>
      <c r="P1" s="169">
        <v>7</v>
      </c>
      <c r="Q1" s="169">
        <v>6</v>
      </c>
      <c r="R1" s="169">
        <v>5</v>
      </c>
      <c r="S1" s="169">
        <v>4</v>
      </c>
      <c r="T1" s="169">
        <v>3</v>
      </c>
      <c r="U1" s="169">
        <v>2</v>
      </c>
      <c r="V1" s="169">
        <v>1</v>
      </c>
      <c r="W1" s="169">
        <v>0</v>
      </c>
      <c r="X1" s="170" t="s">
        <v>20</v>
      </c>
      <c r="Y1" s="179" t="s">
        <v>257</v>
      </c>
      <c r="Z1" s="180" t="s">
        <v>258</v>
      </c>
      <c r="AA1" s="180" t="s">
        <v>259</v>
      </c>
      <c r="AB1" s="181" t="s">
        <v>552</v>
      </c>
    </row>
    <row r="2" spans="1:29" ht="15.75" thickBot="1" x14ac:dyDescent="0.3">
      <c r="A2" s="51" t="s">
        <v>23</v>
      </c>
      <c r="B2" s="52">
        <v>0</v>
      </c>
      <c r="C2" s="173" t="str">
        <f>CONCATENATE("0x",DEC2HEX(B2,4))</f>
        <v>0x0000</v>
      </c>
      <c r="D2" s="174" t="str">
        <f>CONCATENATE(A2," (",C2,")")</f>
        <v>reg_status (0x0000)</v>
      </c>
      <c r="E2" s="54" t="s">
        <v>2</v>
      </c>
      <c r="F2" s="58" t="s">
        <v>231</v>
      </c>
      <c r="G2" s="58" t="str">
        <f>CONCATENATE("0x",F2)</f>
        <v>0x0000</v>
      </c>
      <c r="H2" s="59"/>
      <c r="I2" s="59"/>
      <c r="J2" s="59"/>
      <c r="K2" s="59"/>
      <c r="L2" s="161" t="s">
        <v>538</v>
      </c>
      <c r="M2" s="161" t="s">
        <v>537</v>
      </c>
      <c r="N2" s="161" t="s">
        <v>553</v>
      </c>
      <c r="O2" s="161" t="s">
        <v>554</v>
      </c>
      <c r="P2" s="161" t="s">
        <v>539</v>
      </c>
      <c r="Q2" s="161" t="s">
        <v>546</v>
      </c>
      <c r="R2" s="161"/>
      <c r="S2" s="161"/>
      <c r="T2" s="161"/>
      <c r="U2" s="161"/>
      <c r="V2" s="161"/>
      <c r="W2" s="161"/>
      <c r="X2" s="50" t="str">
        <f t="shared" ref="X2:X16" si="0">CONCATENATE("const static uint16_t c_w",A2, " = ",C2,";")</f>
        <v>const static uint16_t c_wreg_status = 0x0000;</v>
      </c>
      <c r="Y2" s="53" t="str">
        <f>IF(E2&lt;&gt;"READ",CONCATENATE(A2," &lt;= X""",F2,""";"),"")</f>
        <v/>
      </c>
      <c r="Z2" s="53" t="str">
        <f>IF(E2&lt;&gt;"WRITE",CONCATENATE("       when X""",C2,""" =&gt; DataOut &lt;= ",A2,";"),"")</f>
        <v xml:space="preserve">       when X"0x0000" =&gt; DataOut &lt;= reg_status;</v>
      </c>
      <c r="AA2" s="53" t="str">
        <f>IF(E2&lt;&gt;"READ",CONCATENATE("       when X""",C2,""" =&gt;  ",A2," &lt;= DataIn;"),"")</f>
        <v/>
      </c>
      <c r="AB2" s="175" t="str">
        <f>IF(E2&lt;&gt;"READ",CONCATENATE(A2," : BUFFER std_logic_vector (15 DOWNTO 0);"),CONCATENATE(A2," : IN std_logic_vector (15 DOWNTO 0);"))</f>
        <v>reg_status : IN std_logic_vector (15 DOWNTO 0);</v>
      </c>
      <c r="AC2" s="53" t="str">
        <f>CONCATENATE("pl1553BaseAddress[c_w",A2, "] = 0x",F2,";")</f>
        <v>pl1553BaseAddress[c_wreg_status] = 0x0000;</v>
      </c>
    </row>
    <row r="3" spans="1:29" ht="15.75" thickBot="1" x14ac:dyDescent="0.3">
      <c r="A3" s="48" t="s">
        <v>24</v>
      </c>
      <c r="B3" s="44">
        <f>B2+1</f>
        <v>1</v>
      </c>
      <c r="C3" s="171" t="str">
        <f t="shared" ref="C3:C17" si="1">CONCATENATE("0x",DEC2HEX(B3,4))</f>
        <v>0x0001</v>
      </c>
      <c r="D3" s="172" t="str">
        <f t="shared" ref="D3:D17" si="2">CONCATENATE(A3," (",C3,")")</f>
        <v>reg_intr_mask (0x0001)</v>
      </c>
      <c r="E3" s="24" t="s">
        <v>1</v>
      </c>
      <c r="F3" s="45" t="s">
        <v>231</v>
      </c>
      <c r="G3" s="45" t="str">
        <f t="shared" ref="G3:G17" si="3">CONCATENATE("0x",F3)</f>
        <v>0x0000</v>
      </c>
      <c r="H3" s="23"/>
      <c r="I3" s="23"/>
      <c r="J3" s="23"/>
      <c r="K3" s="23"/>
      <c r="L3" s="145" t="s">
        <v>538</v>
      </c>
      <c r="M3" s="145" t="s">
        <v>537</v>
      </c>
      <c r="N3" s="145" t="s">
        <v>553</v>
      </c>
      <c r="O3" s="145" t="s">
        <v>554</v>
      </c>
      <c r="P3" s="145" t="s">
        <v>539</v>
      </c>
      <c r="Q3" s="145" t="s">
        <v>546</v>
      </c>
      <c r="R3" s="145"/>
      <c r="S3" s="145"/>
      <c r="T3" s="145"/>
      <c r="U3" s="145"/>
      <c r="V3" s="145"/>
      <c r="W3" s="145"/>
      <c r="X3" s="50" t="str">
        <f t="shared" si="0"/>
        <v>const static uint16_t c_wreg_intr_mask = 0x0001;</v>
      </c>
      <c r="Y3" s="27" t="str">
        <f t="shared" ref="Y3:Y17" si="4">IF(E3&lt;&gt;"READ",CONCATENATE(A3," &lt;= X""",F3,""";"),"")</f>
        <v>reg_intr_mask &lt;= X"0000";</v>
      </c>
      <c r="Z3" s="27" t="str">
        <f t="shared" ref="Z3:Z17" si="5">IF(E3&lt;&gt;"WRITE",CONCATENATE("       when X""",C3,""" =&gt; DataOut &lt;= ",A3,";"),"")</f>
        <v xml:space="preserve">       when X"0x0001" =&gt; DataOut &lt;= reg_intr_mask;</v>
      </c>
      <c r="AA3" s="27" t="str">
        <f t="shared" ref="AA3:AA17" si="6">IF(E3&lt;&gt;"READ",CONCATENATE("       when X""",C3,""" =&gt;  ",A3," &lt;= DataIn;"),"")</f>
        <v xml:space="preserve">       when X"0x0001" =&gt;  reg_intr_mask &lt;= DataIn;</v>
      </c>
      <c r="AB3" s="147" t="str">
        <f t="shared" ref="AB3:AB17" si="7">IF(E3&lt;&gt;"READ",CONCATENATE(A3," : BUFFER std_logic_vector (15 DOWNTO 0);"),CONCATENATE(A3," : IN std_logic_vector (15 DOWNTO 0);"))</f>
        <v>reg_intr_mask : BUFFER std_logic_vector (15 DOWNTO 0);</v>
      </c>
      <c r="AC3" s="53" t="str">
        <f t="shared" ref="AC3:AC17" si="8">CONCATENATE("pl1553BaseAddress[c_w",A3, "] = 0x",F3,";")</f>
        <v>pl1553BaseAddress[c_wreg_intr_mask] = 0x0000;</v>
      </c>
    </row>
    <row r="4" spans="1:29" ht="15.75" thickBot="1" x14ac:dyDescent="0.3">
      <c r="A4" s="48" t="s">
        <v>260</v>
      </c>
      <c r="B4" s="44">
        <f t="shared" ref="B4:B17" si="9">B3+1</f>
        <v>2</v>
      </c>
      <c r="C4" s="171" t="str">
        <f t="shared" si="1"/>
        <v>0x0002</v>
      </c>
      <c r="D4" s="172" t="str">
        <f t="shared" si="2"/>
        <v>reg_gID (0x0002)</v>
      </c>
      <c r="E4" s="24" t="s">
        <v>1</v>
      </c>
      <c r="F4" s="45" t="s">
        <v>575</v>
      </c>
      <c r="G4" s="45" t="str">
        <f t="shared" si="3"/>
        <v>0xBEEF</v>
      </c>
      <c r="H4" s="24">
        <v>1</v>
      </c>
      <c r="I4" s="24">
        <v>0</v>
      </c>
      <c r="J4" s="24">
        <v>1</v>
      </c>
      <c r="K4" s="24">
        <v>1</v>
      </c>
      <c r="L4" s="23">
        <v>1</v>
      </c>
      <c r="M4" s="23">
        <v>1</v>
      </c>
      <c r="N4" s="24">
        <v>1</v>
      </c>
      <c r="O4" s="24">
        <v>0</v>
      </c>
      <c r="P4" s="24">
        <v>1</v>
      </c>
      <c r="Q4" s="24">
        <v>1</v>
      </c>
      <c r="R4" s="24">
        <v>1</v>
      </c>
      <c r="S4" s="24">
        <v>0</v>
      </c>
      <c r="T4" s="24">
        <v>1</v>
      </c>
      <c r="U4" s="24">
        <v>1</v>
      </c>
      <c r="V4" s="24">
        <v>1</v>
      </c>
      <c r="W4" s="23">
        <v>1</v>
      </c>
      <c r="X4" s="50" t="str">
        <f t="shared" si="0"/>
        <v>const static uint16_t c_wreg_gID = 0x0002;</v>
      </c>
      <c r="Y4" s="27" t="str">
        <f t="shared" si="4"/>
        <v>reg_gID &lt;= X"BEEF";</v>
      </c>
      <c r="Z4" s="27" t="str">
        <f t="shared" si="5"/>
        <v xml:space="preserve">       when X"0x0002" =&gt; DataOut &lt;= reg_gID;</v>
      </c>
      <c r="AA4" s="27" t="str">
        <f t="shared" si="6"/>
        <v xml:space="preserve">       when X"0x0002" =&gt;  reg_gID &lt;= DataIn;</v>
      </c>
      <c r="AB4" s="147" t="str">
        <f t="shared" si="7"/>
        <v>reg_gID : BUFFER std_logic_vector (15 DOWNTO 0);</v>
      </c>
      <c r="AC4" s="53" t="str">
        <f t="shared" si="8"/>
        <v>pl1553BaseAddress[c_wreg_gID] = 0xBEEF;</v>
      </c>
    </row>
    <row r="5" spans="1:29" ht="15.75" thickBot="1" x14ac:dyDescent="0.3">
      <c r="A5" s="48" t="s">
        <v>261</v>
      </c>
      <c r="B5" s="44">
        <f t="shared" si="9"/>
        <v>3</v>
      </c>
      <c r="C5" s="171" t="str">
        <f t="shared" si="1"/>
        <v>0x0003</v>
      </c>
      <c r="D5" s="172" t="str">
        <f t="shared" si="2"/>
        <v>reg_fw_version (0x0003)</v>
      </c>
      <c r="E5" s="24" t="s">
        <v>2</v>
      </c>
      <c r="F5" s="45" t="s">
        <v>576</v>
      </c>
      <c r="G5" s="45" t="str">
        <f t="shared" si="3"/>
        <v>0x0100</v>
      </c>
      <c r="H5" s="24">
        <v>0</v>
      </c>
      <c r="I5" s="24">
        <v>0</v>
      </c>
      <c r="J5" s="24">
        <v>0</v>
      </c>
      <c r="K5" s="24">
        <v>0</v>
      </c>
      <c r="L5" s="24">
        <v>0</v>
      </c>
      <c r="M5" s="24">
        <v>0</v>
      </c>
      <c r="N5" s="24">
        <v>0</v>
      </c>
      <c r="O5" s="24">
        <v>1</v>
      </c>
      <c r="P5" s="24">
        <v>0</v>
      </c>
      <c r="Q5" s="24">
        <v>0</v>
      </c>
      <c r="R5" s="24">
        <v>0</v>
      </c>
      <c r="S5" s="24">
        <v>0</v>
      </c>
      <c r="T5" s="24">
        <v>0</v>
      </c>
      <c r="U5" s="24">
        <v>0</v>
      </c>
      <c r="V5" s="24">
        <v>0</v>
      </c>
      <c r="W5" s="24">
        <v>0</v>
      </c>
      <c r="X5" s="50" t="str">
        <f t="shared" si="0"/>
        <v>const static uint16_t c_wreg_fw_version = 0x0003;</v>
      </c>
      <c r="Y5" s="27" t="str">
        <f t="shared" si="4"/>
        <v/>
      </c>
      <c r="Z5" s="27" t="str">
        <f t="shared" si="5"/>
        <v xml:space="preserve">       when X"0x0003" =&gt; DataOut &lt;= reg_fw_version;</v>
      </c>
      <c r="AA5" s="27" t="str">
        <f t="shared" si="6"/>
        <v/>
      </c>
      <c r="AB5" s="147" t="str">
        <f t="shared" si="7"/>
        <v>reg_fw_version : IN std_logic_vector (15 DOWNTO 0);</v>
      </c>
      <c r="AC5" s="53" t="str">
        <f t="shared" si="8"/>
        <v>pl1553BaseAddress[c_wreg_fw_version] = 0x0100;</v>
      </c>
    </row>
    <row r="6" spans="1:29" ht="15.75" thickBot="1" x14ac:dyDescent="0.3">
      <c r="A6" s="48" t="s">
        <v>557</v>
      </c>
      <c r="B6" s="44">
        <f t="shared" si="9"/>
        <v>4</v>
      </c>
      <c r="C6" s="171" t="str">
        <f t="shared" si="1"/>
        <v>0x0004</v>
      </c>
      <c r="D6" s="172" t="str">
        <f t="shared" si="2"/>
        <v>reg_mode_addr_wr (0x0004)</v>
      </c>
      <c r="E6" s="24" t="s">
        <v>1</v>
      </c>
      <c r="F6" s="45" t="s">
        <v>231</v>
      </c>
      <c r="G6" s="45" t="str">
        <f t="shared" si="3"/>
        <v>0x0000</v>
      </c>
      <c r="H6" s="145" t="s">
        <v>534</v>
      </c>
      <c r="I6" s="145" t="s">
        <v>535</v>
      </c>
      <c r="J6" s="145" t="s">
        <v>536</v>
      </c>
      <c r="K6" s="145" t="s">
        <v>574</v>
      </c>
      <c r="L6" s="145" t="s">
        <v>538</v>
      </c>
      <c r="M6" s="145" t="s">
        <v>537</v>
      </c>
      <c r="N6" s="145" t="s">
        <v>553</v>
      </c>
      <c r="O6" s="145" t="s">
        <v>554</v>
      </c>
      <c r="P6" s="145" t="s">
        <v>539</v>
      </c>
      <c r="Q6" s="145" t="s">
        <v>546</v>
      </c>
      <c r="R6" s="145" t="s">
        <v>540</v>
      </c>
      <c r="S6" s="145" t="s">
        <v>545</v>
      </c>
      <c r="T6" s="145" t="s">
        <v>542</v>
      </c>
      <c r="U6" s="145" t="s">
        <v>543</v>
      </c>
      <c r="V6" s="145" t="s">
        <v>544</v>
      </c>
      <c r="W6" s="145" t="s">
        <v>541</v>
      </c>
      <c r="X6" s="50" t="str">
        <f t="shared" si="0"/>
        <v>const static uint16_t c_wreg_mode_addr_wr = 0x0004;</v>
      </c>
      <c r="Y6" s="27" t="str">
        <f t="shared" si="4"/>
        <v>reg_mode_addr_wr &lt;= X"0000";</v>
      </c>
      <c r="Z6" s="27" t="str">
        <f t="shared" si="5"/>
        <v xml:space="preserve">       when X"0x0004" =&gt; DataOut &lt;= reg_mode_addr_wr;</v>
      </c>
      <c r="AA6" s="27" t="str">
        <f t="shared" si="6"/>
        <v xml:space="preserve">       when X"0x0004" =&gt;  reg_mode_addr_wr &lt;= DataIn;</v>
      </c>
      <c r="AB6" s="147" t="str">
        <f t="shared" si="7"/>
        <v>reg_mode_addr_wr : BUFFER std_logic_vector (15 DOWNTO 0);</v>
      </c>
      <c r="AC6" s="53" t="str">
        <f t="shared" si="8"/>
        <v>pl1553BaseAddress[c_wreg_mode_addr_wr] = 0x0000;</v>
      </c>
    </row>
    <row r="7" spans="1:29" ht="15.75" thickBot="1" x14ac:dyDescent="0.3">
      <c r="A7" s="48" t="s">
        <v>556</v>
      </c>
      <c r="B7" s="44">
        <f t="shared" si="9"/>
        <v>5</v>
      </c>
      <c r="C7" s="171" t="str">
        <f t="shared" si="1"/>
        <v>0x0005</v>
      </c>
      <c r="D7" s="172" t="str">
        <f t="shared" si="2"/>
        <v>reg_mode_addr_rd (0x0005)</v>
      </c>
      <c r="E7" s="24" t="s">
        <v>1</v>
      </c>
      <c r="F7" s="45" t="s">
        <v>231</v>
      </c>
      <c r="G7" s="45" t="str">
        <f t="shared" si="3"/>
        <v>0x0000</v>
      </c>
      <c r="H7" s="24"/>
      <c r="I7" s="24"/>
      <c r="J7" s="24"/>
      <c r="K7" s="24"/>
      <c r="L7" s="24"/>
      <c r="M7" s="24"/>
      <c r="N7" s="145" t="s">
        <v>553</v>
      </c>
      <c r="O7" s="145" t="s">
        <v>554</v>
      </c>
      <c r="P7" s="145" t="s">
        <v>539</v>
      </c>
      <c r="Q7" s="145" t="s">
        <v>546</v>
      </c>
      <c r="R7" s="145" t="s">
        <v>540</v>
      </c>
      <c r="S7" s="145" t="s">
        <v>545</v>
      </c>
      <c r="T7" s="145" t="s">
        <v>542</v>
      </c>
      <c r="U7" s="145" t="s">
        <v>543</v>
      </c>
      <c r="V7" s="145" t="s">
        <v>544</v>
      </c>
      <c r="W7" s="145" t="s">
        <v>541</v>
      </c>
      <c r="X7" s="50" t="str">
        <f t="shared" si="0"/>
        <v>const static uint16_t c_wreg_mode_addr_rd = 0x0005;</v>
      </c>
      <c r="Y7" s="27" t="str">
        <f t="shared" si="4"/>
        <v>reg_mode_addr_rd &lt;= X"0000";</v>
      </c>
      <c r="Z7" s="27" t="str">
        <f t="shared" si="5"/>
        <v xml:space="preserve">       when X"0x0005" =&gt; DataOut &lt;= reg_mode_addr_rd;</v>
      </c>
      <c r="AA7" s="27" t="str">
        <f t="shared" si="6"/>
        <v xml:space="preserve">       when X"0x0005" =&gt;  reg_mode_addr_rd &lt;= DataIn;</v>
      </c>
      <c r="AB7" s="147" t="str">
        <f t="shared" si="7"/>
        <v>reg_mode_addr_rd : BUFFER std_logic_vector (15 DOWNTO 0);</v>
      </c>
      <c r="AC7" s="53" t="str">
        <f t="shared" si="8"/>
        <v>pl1553BaseAddress[c_wreg_mode_addr_rd] = 0x0000;</v>
      </c>
    </row>
    <row r="8" spans="1:29" ht="15.75" thickBot="1" x14ac:dyDescent="0.3">
      <c r="A8" s="48" t="s">
        <v>569</v>
      </c>
      <c r="B8" s="44">
        <f t="shared" si="9"/>
        <v>6</v>
      </c>
      <c r="C8" s="171" t="str">
        <f t="shared" si="1"/>
        <v>0x0006</v>
      </c>
      <c r="D8" s="172" t="str">
        <f t="shared" si="2"/>
        <v>reg_control (0x0006)</v>
      </c>
      <c r="E8" s="24" t="s">
        <v>1</v>
      </c>
      <c r="F8" s="45" t="s">
        <v>231</v>
      </c>
      <c r="G8" s="45" t="str">
        <f t="shared" si="3"/>
        <v>0x0000</v>
      </c>
      <c r="H8" s="24"/>
      <c r="I8" s="24"/>
      <c r="J8" s="24"/>
      <c r="K8" s="24" t="s">
        <v>632</v>
      </c>
      <c r="L8" s="24"/>
      <c r="M8" s="24"/>
      <c r="N8" s="24"/>
      <c r="O8" s="24"/>
      <c r="P8" s="24"/>
      <c r="Q8" s="24"/>
      <c r="S8" s="24" t="s">
        <v>629</v>
      </c>
      <c r="T8" t="s">
        <v>630</v>
      </c>
      <c r="U8" s="24" t="s">
        <v>628</v>
      </c>
      <c r="V8" s="24" t="s">
        <v>627</v>
      </c>
      <c r="W8" s="24" t="s">
        <v>570</v>
      </c>
      <c r="X8" s="50" t="str">
        <f t="shared" si="0"/>
        <v>const static uint16_t c_wreg_control = 0x0006;</v>
      </c>
      <c r="Y8" s="27" t="str">
        <f t="shared" si="4"/>
        <v>reg_control &lt;= X"0000";</v>
      </c>
      <c r="Z8" s="27" t="str">
        <f t="shared" si="5"/>
        <v xml:space="preserve">       when X"0x0006" =&gt; DataOut &lt;= reg_control;</v>
      </c>
      <c r="AA8" s="27" t="str">
        <f t="shared" si="6"/>
        <v xml:space="preserve">       when X"0x0006" =&gt;  reg_control &lt;= DataIn;</v>
      </c>
      <c r="AB8" s="147" t="str">
        <f t="shared" si="7"/>
        <v>reg_control : BUFFER std_logic_vector (15 DOWNTO 0);</v>
      </c>
      <c r="AC8" s="53" t="str">
        <f t="shared" si="8"/>
        <v>pl1553BaseAddress[c_wreg_control] = 0x0000;</v>
      </c>
    </row>
    <row r="9" spans="1:29" ht="15.75" thickBot="1" x14ac:dyDescent="0.3">
      <c r="A9" s="48" t="s">
        <v>693</v>
      </c>
      <c r="B9" s="44">
        <f t="shared" si="9"/>
        <v>7</v>
      </c>
      <c r="C9" s="171" t="str">
        <f t="shared" si="1"/>
        <v>0x0007</v>
      </c>
      <c r="D9" s="172" t="str">
        <f t="shared" si="2"/>
        <v>reg_sw_version (0x0007)</v>
      </c>
      <c r="E9" s="24" t="s">
        <v>1</v>
      </c>
      <c r="F9" s="45" t="s">
        <v>231</v>
      </c>
      <c r="G9" s="45" t="str">
        <f t="shared" si="3"/>
        <v>0x0000</v>
      </c>
      <c r="H9" s="24"/>
      <c r="I9" s="24"/>
      <c r="J9" s="24"/>
      <c r="K9" s="24"/>
      <c r="L9" s="24"/>
      <c r="M9" s="24"/>
      <c r="N9" s="24"/>
      <c r="O9" s="24"/>
      <c r="P9" s="24"/>
      <c r="Q9" s="24"/>
      <c r="R9" s="24"/>
      <c r="S9" s="24"/>
      <c r="T9" s="24"/>
      <c r="U9" s="24"/>
      <c r="V9" s="24"/>
      <c r="W9" s="24"/>
      <c r="X9" s="50" t="str">
        <f t="shared" si="0"/>
        <v>const static uint16_t c_wreg_sw_version = 0x0007;</v>
      </c>
      <c r="Y9" s="27" t="str">
        <f t="shared" si="4"/>
        <v>reg_sw_version &lt;= X"0000";</v>
      </c>
      <c r="Z9" s="27" t="str">
        <f t="shared" si="5"/>
        <v xml:space="preserve">       when X"0x0007" =&gt; DataOut &lt;= reg_sw_version;</v>
      </c>
      <c r="AA9" s="27" t="str">
        <f t="shared" si="6"/>
        <v xml:space="preserve">       when X"0x0007" =&gt;  reg_sw_version &lt;= DataIn;</v>
      </c>
      <c r="AB9" s="147" t="str">
        <f t="shared" si="7"/>
        <v>reg_sw_version : BUFFER std_logic_vector (15 DOWNTO 0);</v>
      </c>
      <c r="AC9" s="53" t="str">
        <f t="shared" si="8"/>
        <v>pl1553BaseAddress[c_wreg_sw_version] = 0x0000;</v>
      </c>
    </row>
    <row r="10" spans="1:29" ht="15.75" thickBot="1" x14ac:dyDescent="0.3">
      <c r="A10" s="48" t="s">
        <v>548</v>
      </c>
      <c r="B10" s="44">
        <f t="shared" si="9"/>
        <v>8</v>
      </c>
      <c r="C10" s="171" t="str">
        <f t="shared" si="1"/>
        <v>0x0008</v>
      </c>
      <c r="D10" s="172" t="str">
        <f t="shared" si="2"/>
        <v>reg_8 (0x0008)</v>
      </c>
      <c r="E10" s="24" t="s">
        <v>1</v>
      </c>
      <c r="F10" s="45" t="s">
        <v>231</v>
      </c>
      <c r="G10" s="45" t="str">
        <f t="shared" si="3"/>
        <v>0x0000</v>
      </c>
      <c r="H10" s="24"/>
      <c r="I10" s="24"/>
      <c r="J10" s="24"/>
      <c r="K10" s="24"/>
      <c r="L10" s="24"/>
      <c r="M10" s="24"/>
      <c r="N10" s="24"/>
      <c r="O10" s="24"/>
      <c r="P10" s="24"/>
      <c r="Q10" s="24"/>
      <c r="R10" s="24"/>
      <c r="S10" s="24"/>
      <c r="T10" s="24"/>
      <c r="U10" s="24"/>
      <c r="V10" s="24"/>
      <c r="W10" s="24"/>
      <c r="X10" s="50" t="str">
        <f t="shared" si="0"/>
        <v>const static uint16_t c_wreg_8 = 0x0008;</v>
      </c>
      <c r="Y10" s="27" t="str">
        <f t="shared" si="4"/>
        <v>reg_8 &lt;= X"0000";</v>
      </c>
      <c r="Z10" s="27" t="str">
        <f t="shared" si="5"/>
        <v xml:space="preserve">       when X"0x0008" =&gt; DataOut &lt;= reg_8;</v>
      </c>
      <c r="AA10" s="27" t="str">
        <f t="shared" si="6"/>
        <v xml:space="preserve">       when X"0x0008" =&gt;  reg_8 &lt;= DataIn;</v>
      </c>
      <c r="AB10" s="147" t="str">
        <f t="shared" si="7"/>
        <v>reg_8 : BUFFER std_logic_vector (15 DOWNTO 0);</v>
      </c>
      <c r="AC10" s="53" t="str">
        <f t="shared" si="8"/>
        <v>pl1553BaseAddress[c_wreg_8] = 0x0000;</v>
      </c>
    </row>
    <row r="11" spans="1:29" ht="15.75" thickBot="1" x14ac:dyDescent="0.3">
      <c r="A11" s="48" t="s">
        <v>549</v>
      </c>
      <c r="B11" s="44">
        <f t="shared" si="9"/>
        <v>9</v>
      </c>
      <c r="C11" s="171" t="str">
        <f t="shared" si="1"/>
        <v>0x0009</v>
      </c>
      <c r="D11" s="172" t="str">
        <f t="shared" si="2"/>
        <v>reg_9 (0x0009)</v>
      </c>
      <c r="E11" s="24" t="s">
        <v>1</v>
      </c>
      <c r="F11" s="45" t="s">
        <v>231</v>
      </c>
      <c r="G11" s="45" t="str">
        <f t="shared" si="3"/>
        <v>0x0000</v>
      </c>
      <c r="H11" s="24"/>
      <c r="I11" s="24"/>
      <c r="J11" s="24"/>
      <c r="K11" s="24"/>
      <c r="L11" s="24"/>
      <c r="M11" s="24"/>
      <c r="N11" s="24"/>
      <c r="O11" s="24"/>
      <c r="P11" s="24"/>
      <c r="Q11" s="24"/>
      <c r="R11" s="24"/>
      <c r="S11" s="24"/>
      <c r="T11" s="163"/>
      <c r="U11" s="163"/>
      <c r="V11" s="163"/>
      <c r="W11" s="163"/>
      <c r="X11" s="50" t="str">
        <f t="shared" si="0"/>
        <v>const static uint16_t c_wreg_9 = 0x0009;</v>
      </c>
      <c r="Y11" s="27" t="str">
        <f t="shared" si="4"/>
        <v>reg_9 &lt;= X"0000";</v>
      </c>
      <c r="Z11" s="27" t="str">
        <f t="shared" si="5"/>
        <v xml:space="preserve">       when X"0x0009" =&gt; DataOut &lt;= reg_9;</v>
      </c>
      <c r="AA11" s="27" t="str">
        <f t="shared" si="6"/>
        <v xml:space="preserve">       when X"0x0009" =&gt;  reg_9 &lt;= DataIn;</v>
      </c>
      <c r="AB11" s="147" t="str">
        <f t="shared" si="7"/>
        <v>reg_9 : BUFFER std_logic_vector (15 DOWNTO 0);</v>
      </c>
      <c r="AC11" s="53" t="str">
        <f t="shared" si="8"/>
        <v>pl1553BaseAddress[c_wreg_9] = 0x0000;</v>
      </c>
    </row>
    <row r="12" spans="1:29" ht="15.75" thickBot="1" x14ac:dyDescent="0.3">
      <c r="A12" s="48" t="s">
        <v>550</v>
      </c>
      <c r="B12" s="44">
        <f t="shared" si="9"/>
        <v>10</v>
      </c>
      <c r="C12" s="171" t="str">
        <f t="shared" si="1"/>
        <v>0x000A</v>
      </c>
      <c r="D12" s="172" t="str">
        <f t="shared" si="2"/>
        <v>reg_10 (0x000A)</v>
      </c>
      <c r="E12" s="24" t="s">
        <v>1</v>
      </c>
      <c r="F12" s="45" t="s">
        <v>231</v>
      </c>
      <c r="G12" s="45" t="str">
        <f t="shared" si="3"/>
        <v>0x0000</v>
      </c>
      <c r="H12" s="24"/>
      <c r="I12" s="24"/>
      <c r="J12" s="24"/>
      <c r="K12" s="24"/>
      <c r="L12" s="24"/>
      <c r="M12" s="24"/>
      <c r="N12" s="24"/>
      <c r="O12" s="24"/>
      <c r="P12" s="24"/>
      <c r="Q12" s="24"/>
      <c r="R12" s="24"/>
      <c r="S12" s="24"/>
      <c r="T12" s="24"/>
      <c r="U12" s="24"/>
      <c r="V12" s="24"/>
      <c r="W12" s="24"/>
      <c r="X12" s="50" t="str">
        <f t="shared" si="0"/>
        <v>const static uint16_t c_wreg_10 = 0x000A;</v>
      </c>
      <c r="Y12" s="27" t="str">
        <f t="shared" si="4"/>
        <v>reg_10 &lt;= X"0000";</v>
      </c>
      <c r="Z12" s="27" t="str">
        <f t="shared" si="5"/>
        <v xml:space="preserve">       when X"0x000A" =&gt; DataOut &lt;= reg_10;</v>
      </c>
      <c r="AA12" s="27" t="str">
        <f t="shared" si="6"/>
        <v xml:space="preserve">       when X"0x000A" =&gt;  reg_10 &lt;= DataIn;</v>
      </c>
      <c r="AB12" s="147" t="str">
        <f t="shared" si="7"/>
        <v>reg_10 : BUFFER std_logic_vector (15 DOWNTO 0);</v>
      </c>
      <c r="AC12" s="53" t="str">
        <f t="shared" si="8"/>
        <v>pl1553BaseAddress[c_wreg_10] = 0x0000;</v>
      </c>
    </row>
    <row r="13" spans="1:29" ht="15.75" thickBot="1" x14ac:dyDescent="0.3">
      <c r="A13" s="48" t="s">
        <v>551</v>
      </c>
      <c r="B13" s="44">
        <f t="shared" si="9"/>
        <v>11</v>
      </c>
      <c r="C13" s="171" t="str">
        <f t="shared" si="1"/>
        <v>0x000B</v>
      </c>
      <c r="D13" s="172" t="str">
        <f t="shared" si="2"/>
        <v>reg_11 (0x000B)</v>
      </c>
      <c r="E13" s="24" t="s">
        <v>1</v>
      </c>
      <c r="F13" s="45" t="s">
        <v>231</v>
      </c>
      <c r="G13" s="45" t="str">
        <f t="shared" si="3"/>
        <v>0x0000</v>
      </c>
      <c r="H13" s="24"/>
      <c r="I13" s="24"/>
      <c r="J13" s="24"/>
      <c r="K13" s="24"/>
      <c r="L13" s="24"/>
      <c r="M13" s="24"/>
      <c r="N13" s="24"/>
      <c r="O13" s="24"/>
      <c r="P13" s="24"/>
      <c r="Q13" s="24"/>
      <c r="R13" s="24"/>
      <c r="S13" s="24"/>
      <c r="T13" s="24"/>
      <c r="U13" s="24"/>
      <c r="V13" s="24"/>
      <c r="W13" s="24"/>
      <c r="X13" s="50" t="str">
        <f t="shared" si="0"/>
        <v>const static uint16_t c_wreg_11 = 0x000B;</v>
      </c>
      <c r="Y13" s="27" t="str">
        <f t="shared" si="4"/>
        <v>reg_11 &lt;= X"0000";</v>
      </c>
      <c r="Z13" s="27" t="str">
        <f t="shared" si="5"/>
        <v xml:space="preserve">       when X"0x000B" =&gt; DataOut &lt;= reg_11;</v>
      </c>
      <c r="AA13" s="27" t="str">
        <f t="shared" si="6"/>
        <v xml:space="preserve">       when X"0x000B" =&gt;  reg_11 &lt;= DataIn;</v>
      </c>
      <c r="AB13" s="147" t="str">
        <f t="shared" si="7"/>
        <v>reg_11 : BUFFER std_logic_vector (15 DOWNTO 0);</v>
      </c>
      <c r="AC13" s="53" t="str">
        <f t="shared" si="8"/>
        <v>pl1553BaseAddress[c_wreg_11] = 0x0000;</v>
      </c>
    </row>
    <row r="14" spans="1:29" ht="15.75" thickBot="1" x14ac:dyDescent="0.3">
      <c r="A14" s="51" t="s">
        <v>597</v>
      </c>
      <c r="B14" s="44">
        <f t="shared" si="9"/>
        <v>12</v>
      </c>
      <c r="C14" s="171" t="str">
        <f t="shared" si="1"/>
        <v>0x000C</v>
      </c>
      <c r="D14" s="172" t="str">
        <f t="shared" si="2"/>
        <v>Timestamp3_MSB (0x000C)</v>
      </c>
      <c r="E14" s="24" t="s">
        <v>1</v>
      </c>
      <c r="F14" s="45" t="s">
        <v>231</v>
      </c>
      <c r="G14" s="45" t="str">
        <f t="shared" si="3"/>
        <v>0x0000</v>
      </c>
      <c r="H14" s="24"/>
      <c r="I14" s="24"/>
      <c r="J14" s="24"/>
      <c r="K14" s="24"/>
      <c r="L14" s="24"/>
      <c r="M14" s="24"/>
      <c r="N14" s="24"/>
      <c r="O14" s="24"/>
      <c r="P14" s="24"/>
      <c r="Q14" s="24"/>
      <c r="R14" s="24"/>
      <c r="S14" s="24"/>
      <c r="T14" s="24"/>
      <c r="U14" s="24"/>
      <c r="V14" s="24"/>
      <c r="W14" s="24"/>
      <c r="X14" s="50" t="str">
        <f t="shared" si="0"/>
        <v>const static uint16_t c_wTimestamp3_MSB = 0x000C;</v>
      </c>
      <c r="Y14" s="27" t="str">
        <f t="shared" si="4"/>
        <v>Timestamp3_MSB &lt;= X"0000";</v>
      </c>
      <c r="Z14" s="27" t="str">
        <f t="shared" si="5"/>
        <v xml:space="preserve">       when X"0x000C" =&gt; DataOut &lt;= Timestamp3_MSB;</v>
      </c>
      <c r="AA14" s="27" t="str">
        <f t="shared" si="6"/>
        <v xml:space="preserve">       when X"0x000C" =&gt;  Timestamp3_MSB &lt;= DataIn;</v>
      </c>
      <c r="AB14" s="147" t="str">
        <f t="shared" si="7"/>
        <v>Timestamp3_MSB : BUFFER std_logic_vector (15 DOWNTO 0);</v>
      </c>
      <c r="AC14" s="53" t="str">
        <f t="shared" si="8"/>
        <v>pl1553BaseAddress[c_wTimestamp3_MSB] = 0x0000;</v>
      </c>
    </row>
    <row r="15" spans="1:29" ht="15.75" thickBot="1" x14ac:dyDescent="0.3">
      <c r="A15" s="48" t="s">
        <v>279</v>
      </c>
      <c r="B15" s="44">
        <f t="shared" si="9"/>
        <v>13</v>
      </c>
      <c r="C15" s="171" t="str">
        <f t="shared" si="1"/>
        <v>0x000D</v>
      </c>
      <c r="D15" s="172" t="str">
        <f t="shared" si="2"/>
        <v>Timestamp2 (0x000D)</v>
      </c>
      <c r="E15" s="24" t="s">
        <v>1</v>
      </c>
      <c r="F15" s="45" t="s">
        <v>231</v>
      </c>
      <c r="G15" s="45" t="str">
        <f t="shared" si="3"/>
        <v>0x0000</v>
      </c>
      <c r="H15" s="24"/>
      <c r="I15" s="24"/>
      <c r="J15" s="24"/>
      <c r="K15" s="24"/>
      <c r="L15" s="24"/>
      <c r="M15" s="24"/>
      <c r="N15" s="24"/>
      <c r="O15" s="24"/>
      <c r="P15" s="24"/>
      <c r="Q15" s="24"/>
      <c r="R15" s="24"/>
      <c r="S15" s="24"/>
      <c r="T15" s="24"/>
      <c r="U15" s="24"/>
      <c r="V15" s="24"/>
      <c r="W15" s="24"/>
      <c r="X15" s="50" t="str">
        <f t="shared" si="0"/>
        <v>const static uint16_t c_wTimestamp2 = 0x000D;</v>
      </c>
      <c r="Y15" s="27" t="str">
        <f t="shared" si="4"/>
        <v>Timestamp2 &lt;= X"0000";</v>
      </c>
      <c r="Z15" s="27" t="str">
        <f t="shared" si="5"/>
        <v xml:space="preserve">       when X"0x000D" =&gt; DataOut &lt;= Timestamp2;</v>
      </c>
      <c r="AA15" s="27" t="str">
        <f t="shared" si="6"/>
        <v xml:space="preserve">       when X"0x000D" =&gt;  Timestamp2 &lt;= DataIn;</v>
      </c>
      <c r="AB15" s="147" t="str">
        <f t="shared" si="7"/>
        <v>Timestamp2 : BUFFER std_logic_vector (15 DOWNTO 0);</v>
      </c>
      <c r="AC15" s="53" t="str">
        <f t="shared" si="8"/>
        <v>pl1553BaseAddress[c_wTimestamp2] = 0x0000;</v>
      </c>
    </row>
    <row r="16" spans="1:29" ht="15.75" thickBot="1" x14ac:dyDescent="0.3">
      <c r="A16" s="48" t="s">
        <v>296</v>
      </c>
      <c r="B16" s="44">
        <f t="shared" si="9"/>
        <v>14</v>
      </c>
      <c r="C16" s="171" t="str">
        <f t="shared" si="1"/>
        <v>0x000E</v>
      </c>
      <c r="D16" s="172" t="str">
        <f t="shared" si="2"/>
        <v>Timestamp1 (0x000E)</v>
      </c>
      <c r="E16" s="24" t="s">
        <v>1</v>
      </c>
      <c r="F16" s="45" t="s">
        <v>231</v>
      </c>
      <c r="G16" s="45" t="str">
        <f t="shared" si="3"/>
        <v>0x0000</v>
      </c>
      <c r="H16" s="24"/>
      <c r="I16" s="24"/>
      <c r="J16" s="24"/>
      <c r="K16" s="24"/>
      <c r="L16" s="24"/>
      <c r="M16" s="24"/>
      <c r="N16" s="24"/>
      <c r="O16" s="24"/>
      <c r="P16" s="24"/>
      <c r="Q16" s="24"/>
      <c r="R16" s="24"/>
      <c r="S16" s="24"/>
      <c r="T16" s="24"/>
      <c r="U16" s="24"/>
      <c r="V16" s="24"/>
      <c r="W16" s="24"/>
      <c r="X16" s="50" t="str">
        <f t="shared" si="0"/>
        <v>const static uint16_t c_wTimestamp1 = 0x000E;</v>
      </c>
      <c r="Y16" s="27" t="str">
        <f t="shared" si="4"/>
        <v>Timestamp1 &lt;= X"0000";</v>
      </c>
      <c r="Z16" s="27" t="str">
        <f t="shared" si="5"/>
        <v xml:space="preserve">       when X"0x000E" =&gt; DataOut &lt;= Timestamp1;</v>
      </c>
      <c r="AA16" s="27" t="str">
        <f t="shared" si="6"/>
        <v xml:space="preserve">       when X"0x000E" =&gt;  Timestamp1 &lt;= DataIn;</v>
      </c>
      <c r="AB16" s="147" t="str">
        <f t="shared" si="7"/>
        <v>Timestamp1 : BUFFER std_logic_vector (15 DOWNTO 0);</v>
      </c>
      <c r="AC16" s="53" t="str">
        <f t="shared" si="8"/>
        <v>pl1553BaseAddress[c_wTimestamp1] = 0x0000;</v>
      </c>
    </row>
    <row r="17" spans="1:29" ht="15.75" thickBot="1" x14ac:dyDescent="0.3">
      <c r="A17" s="48" t="s">
        <v>598</v>
      </c>
      <c r="B17" s="49">
        <f t="shared" si="9"/>
        <v>15</v>
      </c>
      <c r="C17" s="176" t="str">
        <f t="shared" si="1"/>
        <v>0x000F</v>
      </c>
      <c r="D17" s="177" t="str">
        <f t="shared" si="2"/>
        <v>Timestamp0_LSB (0x000F)</v>
      </c>
      <c r="E17" s="56" t="s">
        <v>1</v>
      </c>
      <c r="F17" s="127" t="s">
        <v>231</v>
      </c>
      <c r="G17" s="127" t="str">
        <f t="shared" si="3"/>
        <v>0x0000</v>
      </c>
      <c r="H17" s="56"/>
      <c r="I17" s="56"/>
      <c r="J17" s="56"/>
      <c r="K17" s="56"/>
      <c r="L17" s="56"/>
      <c r="M17" s="56"/>
      <c r="N17" s="56"/>
      <c r="O17" s="56"/>
      <c r="P17" s="56"/>
      <c r="Q17" s="56"/>
      <c r="R17" s="56"/>
      <c r="S17" s="56"/>
      <c r="T17" s="56"/>
      <c r="U17" s="56"/>
      <c r="V17" s="56"/>
      <c r="W17" s="56"/>
      <c r="X17" s="50" t="str">
        <f>CONCATENATE("const static uint16_t c_w",A17, " = ",C17,";")</f>
        <v>const static uint16_t c_wTimestamp0_LSB = 0x000F;</v>
      </c>
      <c r="Y17" s="50" t="str">
        <f t="shared" si="4"/>
        <v>Timestamp0_LSB &lt;= X"0000";</v>
      </c>
      <c r="Z17" s="50" t="str">
        <f t="shared" si="5"/>
        <v xml:space="preserve">       when X"0x000F" =&gt; DataOut &lt;= Timestamp0_LSB;</v>
      </c>
      <c r="AA17" s="50" t="str">
        <f t="shared" si="6"/>
        <v xml:space="preserve">       when X"0x000F" =&gt;  Timestamp0_LSB &lt;= DataIn;</v>
      </c>
      <c r="AB17" s="178" t="str">
        <f t="shared" si="7"/>
        <v>Timestamp0_LSB : BUFFER std_logic_vector (15 DOWNTO 0);</v>
      </c>
      <c r="AC17" s="53" t="str">
        <f t="shared" si="8"/>
        <v>pl1553BaseAddress[c_wTimestamp0_LSB] = 0x0000;</v>
      </c>
    </row>
    <row r="19" spans="1:29" ht="15.75" thickBot="1" x14ac:dyDescent="0.3">
      <c r="G19" s="208" t="s">
        <v>606</v>
      </c>
      <c r="H19" s="210" t="s">
        <v>602</v>
      </c>
      <c r="I19" t="s">
        <v>604</v>
      </c>
    </row>
    <row r="20" spans="1:29" x14ac:dyDescent="0.25">
      <c r="A20" s="191" t="s">
        <v>571</v>
      </c>
      <c r="B20" s="183">
        <v>15</v>
      </c>
      <c r="C20" s="183"/>
      <c r="D20" s="183"/>
      <c r="E20" s="184"/>
      <c r="G20" t="s">
        <v>599</v>
      </c>
      <c r="H20" t="s">
        <v>599</v>
      </c>
      <c r="I20" t="s">
        <v>599</v>
      </c>
      <c r="J20" t="s">
        <v>600</v>
      </c>
      <c r="K20" t="s">
        <v>601</v>
      </c>
      <c r="L20" t="s">
        <v>599</v>
      </c>
      <c r="M20" t="s">
        <v>599</v>
      </c>
      <c r="N20" t="s">
        <v>599</v>
      </c>
      <c r="O20" t="s">
        <v>599</v>
      </c>
      <c r="P20" t="s">
        <v>599</v>
      </c>
      <c r="Q20" t="s">
        <v>599</v>
      </c>
      <c r="R20" t="s">
        <v>599</v>
      </c>
      <c r="S20" t="s">
        <v>599</v>
      </c>
      <c r="T20" t="s">
        <v>599</v>
      </c>
      <c r="U20" t="s">
        <v>599</v>
      </c>
      <c r="V20" t="s">
        <v>599</v>
      </c>
      <c r="W20" t="s">
        <v>599</v>
      </c>
    </row>
    <row r="21" spans="1:29" x14ac:dyDescent="0.25">
      <c r="A21" s="185"/>
      <c r="B21" s="186">
        <f>B20-1</f>
        <v>14</v>
      </c>
      <c r="C21" s="186"/>
      <c r="D21" s="186"/>
      <c r="E21" s="187"/>
      <c r="G21" t="s">
        <v>599</v>
      </c>
      <c r="H21" t="str">
        <f>CONCATENATE(G19,H20,H19,I20,H19,J20,H19,K20,H19,L20,H19,M20,H19,N20,H19,O20,H19,P20,H19,Q20,H19,R20,H19,S20,H19,T20,H19,U20,H19,V20,H19,W20,I19)</f>
        <v>uint16_t wDefaultValues[16] = {0x0000, 0x0000, 0xBEEF, 0x0100, 0x0000, 0x0000, 0x0000, 0x0000, 0x0000, 0x0000, 0x0000, 0x0000, 0x0000, 0x0000, 0x0000, 0x0000};</v>
      </c>
    </row>
    <row r="22" spans="1:29" x14ac:dyDescent="0.25">
      <c r="A22" s="185"/>
      <c r="B22" s="186">
        <f t="shared" ref="B22:B35" si="10">B21-1</f>
        <v>13</v>
      </c>
      <c r="C22" s="186"/>
      <c r="D22" s="186"/>
      <c r="E22" s="187"/>
      <c r="G22" t="s">
        <v>600</v>
      </c>
    </row>
    <row r="23" spans="1:29" x14ac:dyDescent="0.25">
      <c r="A23" s="185"/>
      <c r="B23" s="186">
        <f t="shared" si="10"/>
        <v>12</v>
      </c>
      <c r="C23" s="186"/>
      <c r="D23" s="186"/>
      <c r="E23" s="187"/>
      <c r="G23" t="s">
        <v>601</v>
      </c>
    </row>
    <row r="24" spans="1:29" x14ac:dyDescent="0.25">
      <c r="A24" s="185"/>
      <c r="B24" s="186">
        <f t="shared" si="10"/>
        <v>11</v>
      </c>
      <c r="C24" s="186"/>
      <c r="D24" s="186"/>
      <c r="E24" s="187"/>
      <c r="G24" t="s">
        <v>599</v>
      </c>
    </row>
    <row r="25" spans="1:29" x14ac:dyDescent="0.25">
      <c r="A25" s="185"/>
      <c r="B25" s="186">
        <f t="shared" si="10"/>
        <v>10</v>
      </c>
      <c r="C25" s="186"/>
      <c r="D25" s="186"/>
      <c r="E25" s="187"/>
      <c r="G25" t="s">
        <v>599</v>
      </c>
    </row>
    <row r="26" spans="1:29" x14ac:dyDescent="0.25">
      <c r="A26" s="185"/>
      <c r="B26" s="186">
        <f t="shared" si="10"/>
        <v>9</v>
      </c>
      <c r="C26" s="186"/>
      <c r="D26" s="186"/>
      <c r="E26" s="187"/>
      <c r="G26" t="s">
        <v>599</v>
      </c>
    </row>
    <row r="27" spans="1:29" x14ac:dyDescent="0.25">
      <c r="A27" s="185"/>
      <c r="B27" s="186">
        <f t="shared" si="10"/>
        <v>8</v>
      </c>
      <c r="C27" s="186"/>
      <c r="D27" s="186"/>
      <c r="E27" s="187"/>
      <c r="G27" t="s">
        <v>599</v>
      </c>
    </row>
    <row r="28" spans="1:29" x14ac:dyDescent="0.25">
      <c r="A28" s="185"/>
      <c r="B28" s="186">
        <f t="shared" si="10"/>
        <v>7</v>
      </c>
      <c r="C28" s="186"/>
      <c r="D28" s="186"/>
      <c r="E28" s="187"/>
      <c r="G28" t="s">
        <v>599</v>
      </c>
    </row>
    <row r="29" spans="1:29" x14ac:dyDescent="0.25">
      <c r="A29" s="185"/>
      <c r="B29" s="186">
        <f t="shared" si="10"/>
        <v>6</v>
      </c>
      <c r="C29" s="186"/>
      <c r="D29" s="186"/>
      <c r="E29" s="187"/>
      <c r="G29" t="s">
        <v>599</v>
      </c>
    </row>
    <row r="30" spans="1:29" x14ac:dyDescent="0.25">
      <c r="A30" s="185"/>
      <c r="B30" s="186">
        <f t="shared" si="10"/>
        <v>5</v>
      </c>
      <c r="C30" s="186"/>
      <c r="D30" s="186"/>
      <c r="E30" s="187"/>
      <c r="G30" t="s">
        <v>599</v>
      </c>
    </row>
    <row r="31" spans="1:29" x14ac:dyDescent="0.25">
      <c r="A31" s="185"/>
      <c r="B31" s="186">
        <f t="shared" si="10"/>
        <v>4</v>
      </c>
      <c r="C31" s="186"/>
      <c r="D31" s="186"/>
      <c r="E31" s="187"/>
      <c r="G31" t="s">
        <v>599</v>
      </c>
    </row>
    <row r="32" spans="1:29" x14ac:dyDescent="0.25">
      <c r="A32" s="185"/>
      <c r="B32" s="186">
        <f t="shared" si="10"/>
        <v>3</v>
      </c>
      <c r="C32" s="186"/>
      <c r="D32" s="186"/>
      <c r="E32" s="187"/>
      <c r="G32" t="s">
        <v>599</v>
      </c>
    </row>
    <row r="33" spans="1:24" x14ac:dyDescent="0.25">
      <c r="A33" s="185"/>
      <c r="B33" s="186">
        <f t="shared" si="10"/>
        <v>2</v>
      </c>
      <c r="C33" s="186"/>
      <c r="D33" s="186"/>
      <c r="E33" s="187"/>
      <c r="G33" t="s">
        <v>599</v>
      </c>
    </row>
    <row r="34" spans="1:24" x14ac:dyDescent="0.25">
      <c r="A34" s="185"/>
      <c r="B34" s="186">
        <f t="shared" si="10"/>
        <v>1</v>
      </c>
      <c r="C34" s="186"/>
      <c r="D34" s="186" t="s">
        <v>572</v>
      </c>
      <c r="E34" s="187"/>
      <c r="G34" t="s">
        <v>599</v>
      </c>
    </row>
    <row r="35" spans="1:24" ht="15.75" thickBot="1" x14ac:dyDescent="0.3">
      <c r="A35" s="188"/>
      <c r="B35" s="189">
        <f t="shared" si="10"/>
        <v>0</v>
      </c>
      <c r="C35" s="189"/>
      <c r="D35" s="189" t="s">
        <v>573</v>
      </c>
      <c r="E35" s="190"/>
      <c r="G35" t="s">
        <v>599</v>
      </c>
    </row>
    <row r="36" spans="1:24" x14ac:dyDescent="0.25">
      <c r="A36" s="186"/>
      <c r="B36" s="186"/>
      <c r="C36" s="186"/>
      <c r="D36" s="186"/>
      <c r="E36" s="186"/>
      <c r="G36" s="210" t="s">
        <v>626</v>
      </c>
      <c r="H36" s="210" t="s">
        <v>603</v>
      </c>
      <c r="I36" s="208" t="s">
        <v>605</v>
      </c>
    </row>
    <row r="37" spans="1:24" x14ac:dyDescent="0.25">
      <c r="D37" s="266" t="s">
        <v>666</v>
      </c>
      <c r="E37" s="266" t="s">
        <v>667</v>
      </c>
      <c r="F37" s="266" t="s">
        <v>668</v>
      </c>
      <c r="G37" s="209" t="s">
        <v>23</v>
      </c>
      <c r="H37" s="209" t="s">
        <v>23</v>
      </c>
      <c r="I37" s="209" t="s">
        <v>24</v>
      </c>
      <c r="J37" s="209" t="s">
        <v>260</v>
      </c>
      <c r="K37" s="209" t="s">
        <v>261</v>
      </c>
      <c r="L37" s="209" t="s">
        <v>557</v>
      </c>
      <c r="M37" s="209" t="s">
        <v>556</v>
      </c>
      <c r="N37" s="209" t="s">
        <v>569</v>
      </c>
      <c r="O37" s="48" t="s">
        <v>631</v>
      </c>
      <c r="P37" s="209" t="s">
        <v>548</v>
      </c>
      <c r="Q37" s="209" t="s">
        <v>549</v>
      </c>
      <c r="R37" s="209" t="s">
        <v>550</v>
      </c>
      <c r="S37" s="209" t="s">
        <v>551</v>
      </c>
      <c r="T37" s="209" t="s">
        <v>597</v>
      </c>
      <c r="U37" s="209" t="s">
        <v>279</v>
      </c>
      <c r="V37" s="209" t="s">
        <v>296</v>
      </c>
      <c r="W37" s="209" t="s">
        <v>598</v>
      </c>
      <c r="X37" s="186"/>
    </row>
    <row r="38" spans="1:24" x14ac:dyDescent="0.25">
      <c r="A38" t="s">
        <v>665</v>
      </c>
      <c r="B38">
        <v>150</v>
      </c>
      <c r="C38">
        <v>150</v>
      </c>
      <c r="D38" s="266">
        <v>157</v>
      </c>
      <c r="E38" s="266">
        <v>143</v>
      </c>
      <c r="F38" s="266">
        <f>E38+D38</f>
        <v>300</v>
      </c>
      <c r="G38" s="209" t="s">
        <v>24</v>
      </c>
      <c r="H38" s="186" t="str">
        <f>CONCATENATE(G36,H37,H36,I37,H36,J37,H36,K37,H36,L37,H36,M37,H36,N37,H36,O37,H36,P37,H36,Q37,H36,R37,H36,S37,H36,T37,H36,U37,H36,V37,H36,W37,I36)</f>
        <v>QString qsNames[16] = {"reg_status", "reg_intr_mask", "reg_gID", "reg_fw_version", "reg_mode_addr_wr", "reg_mode_addr_rd", "reg_control", "reg_sw_verison", "reg_8", "reg_9", "reg_10", "reg_11", "Timestamp3_MSB", "Timestamp2", "Timestamp1", "Timestamp0_LSB"};</v>
      </c>
      <c r="I38" s="186"/>
      <c r="J38" s="186"/>
      <c r="K38" s="186"/>
      <c r="L38" s="186"/>
      <c r="M38" s="186"/>
      <c r="N38" s="186"/>
      <c r="O38" s="186"/>
      <c r="P38" s="186"/>
      <c r="Q38" s="186"/>
      <c r="R38" s="186"/>
      <c r="S38" s="186"/>
      <c r="T38" s="186"/>
      <c r="U38" s="186"/>
      <c r="V38" s="186"/>
      <c r="W38" s="186"/>
      <c r="X38" s="186"/>
    </row>
    <row r="39" spans="1:24" x14ac:dyDescent="0.25">
      <c r="A39" t="s">
        <v>664</v>
      </c>
      <c r="B39">
        <v>150</v>
      </c>
      <c r="C39">
        <v>150</v>
      </c>
      <c r="D39" s="266">
        <v>221</v>
      </c>
      <c r="E39" s="266">
        <v>208</v>
      </c>
      <c r="F39" s="266">
        <f>E39+D39</f>
        <v>429</v>
      </c>
      <c r="G39" s="209" t="s">
        <v>260</v>
      </c>
      <c r="H39" s="186"/>
      <c r="I39" s="186"/>
      <c r="J39" s="186"/>
      <c r="K39" s="186"/>
      <c r="L39" s="186"/>
      <c r="M39" s="186"/>
      <c r="N39" s="186"/>
      <c r="O39" s="186"/>
      <c r="P39" s="186"/>
      <c r="Q39" s="186"/>
      <c r="R39" s="186"/>
      <c r="S39" s="186"/>
      <c r="T39" s="186"/>
      <c r="U39" s="186"/>
      <c r="V39" s="186"/>
      <c r="W39" s="186"/>
      <c r="X39" s="186"/>
    </row>
    <row r="40" spans="1:24" x14ac:dyDescent="0.25">
      <c r="A40" t="s">
        <v>662</v>
      </c>
      <c r="B40">
        <v>50</v>
      </c>
      <c r="C40">
        <v>50</v>
      </c>
      <c r="D40" s="266">
        <v>43</v>
      </c>
      <c r="E40" s="266">
        <v>57</v>
      </c>
      <c r="F40" s="266">
        <f>E40+D40</f>
        <v>100</v>
      </c>
      <c r="G40" s="209" t="s">
        <v>261</v>
      </c>
      <c r="H40" s="186"/>
      <c r="I40" s="186"/>
      <c r="J40" s="186"/>
      <c r="K40" s="186"/>
      <c r="L40" s="186"/>
      <c r="M40" s="186"/>
      <c r="N40" s="186"/>
      <c r="O40" s="186"/>
      <c r="P40" s="186"/>
      <c r="Q40" s="186"/>
      <c r="R40" s="186"/>
      <c r="S40" s="186"/>
      <c r="T40" s="186"/>
      <c r="U40" s="186"/>
      <c r="V40" s="186"/>
      <c r="W40" s="186"/>
      <c r="X40" s="186"/>
    </row>
    <row r="41" spans="1:24" x14ac:dyDescent="0.25">
      <c r="A41" t="s">
        <v>663</v>
      </c>
      <c r="B41">
        <v>50</v>
      </c>
      <c r="C41">
        <v>50</v>
      </c>
      <c r="D41" s="266"/>
      <c r="E41" s="266"/>
      <c r="F41" s="266">
        <f t="shared" ref="F41:F59" si="11">E41+D41</f>
        <v>0</v>
      </c>
      <c r="G41" s="209" t="s">
        <v>557</v>
      </c>
      <c r="H41" s="186"/>
      <c r="I41" s="186"/>
      <c r="J41" s="186"/>
      <c r="K41" s="186"/>
      <c r="L41" s="186"/>
      <c r="M41" s="186"/>
      <c r="N41" s="186"/>
      <c r="O41" s="186"/>
      <c r="P41" s="186"/>
      <c r="Q41" s="186"/>
      <c r="R41" s="186"/>
      <c r="S41" s="186"/>
      <c r="T41" s="186"/>
      <c r="U41" s="186"/>
      <c r="V41" s="186"/>
      <c r="W41" s="186"/>
      <c r="X41" s="186"/>
    </row>
    <row r="42" spans="1:24" x14ac:dyDescent="0.25">
      <c r="D42" s="266" t="s">
        <v>577</v>
      </c>
      <c r="E42" s="266"/>
      <c r="F42" s="266" t="e">
        <f t="shared" si="11"/>
        <v>#VALUE!</v>
      </c>
      <c r="G42" s="209" t="s">
        <v>556</v>
      </c>
      <c r="H42" s="186"/>
      <c r="I42" s="186"/>
      <c r="J42" s="186"/>
      <c r="K42" s="186"/>
      <c r="L42" s="186"/>
      <c r="M42" s="186"/>
      <c r="N42" s="186"/>
      <c r="O42" s="186"/>
      <c r="P42" s="186"/>
      <c r="Q42" s="186"/>
      <c r="R42" s="186"/>
      <c r="S42" s="186"/>
      <c r="T42" s="186"/>
      <c r="U42" s="186"/>
      <c r="V42" s="186"/>
      <c r="W42" s="186"/>
      <c r="X42" s="186"/>
    </row>
    <row r="43" spans="1:24" x14ac:dyDescent="0.25">
      <c r="D43" s="266" t="s">
        <v>670</v>
      </c>
      <c r="E43" s="266" t="s">
        <v>669</v>
      </c>
      <c r="F43" s="266"/>
      <c r="G43" s="209" t="s">
        <v>569</v>
      </c>
      <c r="H43" s="186"/>
      <c r="I43" s="186"/>
      <c r="J43" s="186"/>
      <c r="K43" s="186"/>
      <c r="L43" s="186"/>
      <c r="M43" s="186"/>
      <c r="N43" s="186"/>
      <c r="O43" s="186"/>
      <c r="P43" s="186"/>
      <c r="Q43" s="186"/>
      <c r="R43" s="186"/>
      <c r="S43" s="186"/>
      <c r="T43" s="186"/>
      <c r="U43" s="186"/>
      <c r="V43" s="186"/>
      <c r="W43" s="186"/>
      <c r="X43" s="186"/>
    </row>
    <row r="44" spans="1:24" x14ac:dyDescent="0.25">
      <c r="D44" s="266">
        <v>148</v>
      </c>
      <c r="E44" s="266">
        <v>150</v>
      </c>
      <c r="F44" s="266">
        <f t="shared" si="11"/>
        <v>298</v>
      </c>
      <c r="G44" s="48" t="s">
        <v>631</v>
      </c>
      <c r="H44" s="186"/>
      <c r="I44" s="186"/>
      <c r="J44" s="186"/>
      <c r="K44" s="186"/>
      <c r="L44" s="186"/>
      <c r="M44" s="186"/>
      <c r="N44" s="186"/>
      <c r="O44" s="186"/>
      <c r="P44" s="186"/>
      <c r="Q44" s="186"/>
      <c r="R44" s="186"/>
      <c r="S44" s="186"/>
      <c r="T44" s="186"/>
      <c r="U44" s="186"/>
      <c r="V44" s="186"/>
      <c r="W44" s="186"/>
      <c r="X44" s="186"/>
    </row>
    <row r="45" spans="1:24" x14ac:dyDescent="0.25">
      <c r="D45" s="276">
        <v>213</v>
      </c>
      <c r="E45" s="276">
        <v>151</v>
      </c>
      <c r="F45" s="266">
        <f t="shared" si="11"/>
        <v>364</v>
      </c>
      <c r="G45" s="209" t="s">
        <v>548</v>
      </c>
      <c r="H45" s="186"/>
      <c r="I45" s="186"/>
      <c r="J45" s="186"/>
      <c r="K45" s="186"/>
      <c r="L45" s="186"/>
      <c r="M45" s="186"/>
      <c r="N45" s="186"/>
      <c r="O45" s="186"/>
      <c r="P45" s="186"/>
      <c r="Q45" s="186"/>
      <c r="R45" s="186"/>
      <c r="S45" s="186"/>
      <c r="T45" s="186"/>
      <c r="U45" s="186"/>
      <c r="V45" s="186"/>
      <c r="W45" s="186"/>
      <c r="X45" s="186"/>
    </row>
    <row r="46" spans="1:24" x14ac:dyDescent="0.25">
      <c r="D46" s="276">
        <f>364-151</f>
        <v>213</v>
      </c>
      <c r="E46" s="276">
        <v>151</v>
      </c>
      <c r="F46" s="266">
        <f t="shared" si="11"/>
        <v>364</v>
      </c>
      <c r="G46" s="209" t="s">
        <v>549</v>
      </c>
      <c r="H46" s="186"/>
      <c r="I46" s="186"/>
      <c r="J46" s="186"/>
      <c r="K46" s="186"/>
      <c r="L46" s="186"/>
      <c r="M46" s="186"/>
      <c r="N46" s="186"/>
      <c r="O46" s="186"/>
      <c r="P46" s="186"/>
      <c r="Q46" s="186"/>
      <c r="R46" s="186"/>
      <c r="S46" s="186"/>
      <c r="T46" s="186"/>
      <c r="U46" s="186"/>
      <c r="V46" s="186"/>
      <c r="W46" s="186"/>
      <c r="X46" s="186"/>
    </row>
    <row r="47" spans="1:24" x14ac:dyDescent="0.25">
      <c r="D47" s="276">
        <f>365-151</f>
        <v>214</v>
      </c>
      <c r="E47" s="276">
        <v>151</v>
      </c>
      <c r="F47" s="266">
        <f t="shared" si="11"/>
        <v>365</v>
      </c>
      <c r="G47" s="209" t="s">
        <v>550</v>
      </c>
      <c r="H47" s="186"/>
      <c r="I47" s="186"/>
      <c r="J47" s="186"/>
      <c r="K47" s="186"/>
      <c r="L47" s="186"/>
      <c r="M47" s="186"/>
      <c r="N47" s="186"/>
      <c r="O47" s="186"/>
      <c r="P47" s="186"/>
      <c r="Q47" s="186"/>
      <c r="R47" s="186"/>
      <c r="S47" s="186"/>
      <c r="T47" s="186"/>
      <c r="U47" s="186"/>
      <c r="V47" s="186"/>
      <c r="W47" s="186"/>
      <c r="X47" s="186"/>
    </row>
    <row r="48" spans="1:24" x14ac:dyDescent="0.25">
      <c r="D48" s="266"/>
      <c r="E48" s="266"/>
      <c r="F48" s="266">
        <f t="shared" si="11"/>
        <v>0</v>
      </c>
      <c r="G48" s="209" t="s">
        <v>551</v>
      </c>
      <c r="H48" s="186"/>
      <c r="I48" s="186"/>
      <c r="J48" s="186"/>
      <c r="K48" s="186"/>
      <c r="L48" s="186"/>
      <c r="M48" s="186"/>
      <c r="N48" s="186"/>
      <c r="O48" s="186"/>
      <c r="P48" s="186"/>
      <c r="Q48" s="186"/>
      <c r="R48" s="186"/>
      <c r="S48" s="186"/>
      <c r="T48" s="186"/>
      <c r="U48" s="186"/>
      <c r="V48" s="186"/>
      <c r="W48" s="186"/>
      <c r="X48" s="186"/>
    </row>
    <row r="49" spans="4:24" x14ac:dyDescent="0.25">
      <c r="D49" s="266" t="s">
        <v>671</v>
      </c>
      <c r="E49" s="266"/>
      <c r="F49" s="266" t="e">
        <f t="shared" si="11"/>
        <v>#VALUE!</v>
      </c>
      <c r="G49" s="209" t="s">
        <v>597</v>
      </c>
      <c r="H49" s="186"/>
      <c r="I49" s="186"/>
      <c r="J49" s="186"/>
      <c r="K49" s="186"/>
      <c r="L49" s="186"/>
      <c r="M49" s="186"/>
      <c r="N49" s="186"/>
      <c r="O49" s="186"/>
      <c r="P49" s="186"/>
      <c r="Q49" s="186"/>
      <c r="R49" s="186"/>
      <c r="S49" s="186"/>
      <c r="T49" s="186"/>
      <c r="U49" s="186"/>
      <c r="V49" s="186"/>
      <c r="W49" s="186"/>
      <c r="X49" s="186"/>
    </row>
    <row r="50" spans="4:24" x14ac:dyDescent="0.25">
      <c r="D50" s="266" t="s">
        <v>669</v>
      </c>
      <c r="E50" s="266" t="s">
        <v>670</v>
      </c>
      <c r="F50" s="266"/>
      <c r="G50" s="209" t="s">
        <v>279</v>
      </c>
      <c r="H50" s="186"/>
      <c r="I50" s="186"/>
      <c r="J50" s="186"/>
      <c r="K50" s="186"/>
      <c r="L50" s="186"/>
      <c r="M50" s="186"/>
      <c r="N50" s="186"/>
      <c r="O50" s="186"/>
      <c r="P50" s="186"/>
      <c r="Q50" s="186"/>
      <c r="R50" s="186"/>
      <c r="S50" s="186"/>
      <c r="T50" s="186"/>
      <c r="U50" s="186"/>
      <c r="V50" s="186"/>
      <c r="W50" s="186"/>
      <c r="X50" s="186"/>
    </row>
    <row r="51" spans="4:24" x14ac:dyDescent="0.25">
      <c r="D51" s="266">
        <v>156</v>
      </c>
      <c r="E51" s="266">
        <v>143</v>
      </c>
      <c r="F51" s="266">
        <f t="shared" si="11"/>
        <v>299</v>
      </c>
      <c r="G51" s="209" t="s">
        <v>296</v>
      </c>
      <c r="H51" s="186"/>
      <c r="I51" s="186"/>
      <c r="J51" s="186"/>
      <c r="K51" s="186"/>
      <c r="L51" s="186"/>
      <c r="M51" s="186"/>
      <c r="N51" s="186"/>
      <c r="O51" s="186"/>
      <c r="P51" s="186"/>
      <c r="Q51" s="186"/>
      <c r="R51" s="186"/>
      <c r="S51" s="186"/>
      <c r="T51" s="186"/>
      <c r="U51" s="186"/>
      <c r="V51" s="186"/>
      <c r="W51" s="186"/>
      <c r="X51" s="186"/>
    </row>
    <row r="52" spans="4:24" x14ac:dyDescent="0.25">
      <c r="D52" s="266">
        <v>157</v>
      </c>
      <c r="E52" s="266">
        <v>143</v>
      </c>
      <c r="F52" s="266">
        <f t="shared" si="11"/>
        <v>300</v>
      </c>
      <c r="G52" s="209" t="s">
        <v>598</v>
      </c>
      <c r="H52" s="186"/>
      <c r="I52" s="186"/>
      <c r="J52" s="186"/>
      <c r="K52" s="186"/>
      <c r="L52" s="186"/>
      <c r="M52" s="186"/>
      <c r="N52" s="186"/>
      <c r="O52" s="186"/>
      <c r="P52" s="186"/>
      <c r="Q52" s="186"/>
      <c r="R52" s="186"/>
      <c r="S52" s="186"/>
      <c r="T52" s="186"/>
      <c r="U52" s="186"/>
      <c r="V52" s="186"/>
      <c r="W52" s="186"/>
      <c r="X52" s="186"/>
    </row>
    <row r="53" spans="4:24" x14ac:dyDescent="0.25">
      <c r="D53" s="266">
        <v>157</v>
      </c>
      <c r="E53" s="266">
        <v>143</v>
      </c>
      <c r="F53" s="266">
        <f t="shared" si="11"/>
        <v>300</v>
      </c>
      <c r="G53" s="186"/>
      <c r="H53" s="186"/>
      <c r="I53" s="186"/>
      <c r="J53" s="186"/>
      <c r="K53" s="186"/>
      <c r="L53" s="186"/>
      <c r="M53" s="186"/>
      <c r="N53" s="186"/>
      <c r="O53" s="186"/>
      <c r="P53" s="186"/>
      <c r="Q53" s="186"/>
      <c r="R53" s="186"/>
      <c r="S53" s="186"/>
      <c r="T53" s="186"/>
      <c r="U53" s="186"/>
      <c r="V53" s="186"/>
      <c r="W53" s="186"/>
      <c r="X53" s="186"/>
    </row>
    <row r="54" spans="4:24" x14ac:dyDescent="0.25">
      <c r="D54" s="266">
        <v>157</v>
      </c>
      <c r="E54" s="266">
        <v>143</v>
      </c>
      <c r="F54" s="266">
        <f t="shared" si="11"/>
        <v>300</v>
      </c>
    </row>
    <row r="55" spans="4:24" x14ac:dyDescent="0.25">
      <c r="D55" s="266"/>
      <c r="E55" s="266"/>
      <c r="F55" s="266">
        <f t="shared" si="11"/>
        <v>0</v>
      </c>
    </row>
    <row r="56" spans="4:24" x14ac:dyDescent="0.25">
      <c r="D56" s="266"/>
      <c r="E56" s="266"/>
      <c r="F56" s="266">
        <f t="shared" si="11"/>
        <v>0</v>
      </c>
    </row>
    <row r="57" spans="4:24" x14ac:dyDescent="0.25">
      <c r="D57" s="266"/>
      <c r="E57" s="266"/>
      <c r="F57" s="266">
        <f t="shared" si="11"/>
        <v>0</v>
      </c>
    </row>
    <row r="58" spans="4:24" x14ac:dyDescent="0.25">
      <c r="D58" s="266"/>
      <c r="E58" s="266"/>
      <c r="F58" s="266">
        <f t="shared" si="11"/>
        <v>0</v>
      </c>
    </row>
    <row r="59" spans="4:24" x14ac:dyDescent="0.25">
      <c r="D59" s="266"/>
      <c r="E59" s="266"/>
      <c r="F59" s="266">
        <f t="shared" si="11"/>
        <v>0</v>
      </c>
    </row>
  </sheetData>
  <pageMargins left="0.7" right="0.7" top="0.75" bottom="0.75" header="0.3" footer="0.3"/>
  <pageSetup paperSize="9" scale="50" orientation="landscape" horizontalDpi="4294967293" verticalDpi="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40"/>
  <sheetViews>
    <sheetView topLeftCell="D1" workbookViewId="0">
      <selection activeCell="L9" sqref="L9"/>
    </sheetView>
  </sheetViews>
  <sheetFormatPr defaultRowHeight="15" x14ac:dyDescent="0.25"/>
  <cols>
    <col min="1" max="1" width="9.140625" style="164"/>
    <col min="2" max="2" width="16.7109375" style="164" bestFit="1" customWidth="1"/>
    <col min="3" max="3" width="41.5703125" customWidth="1"/>
    <col min="4" max="6" width="9.140625" style="164"/>
    <col min="7" max="7" width="9.140625" style="182"/>
    <col min="8" max="8" width="9.140625" style="192"/>
    <col min="9" max="9" width="11.7109375" bestFit="1" customWidth="1"/>
    <col min="10" max="10" width="16.7109375" style="164" bestFit="1" customWidth="1"/>
    <col min="11" max="11" width="14.5703125" style="164" bestFit="1" customWidth="1"/>
    <col min="12" max="12" width="10.28515625" style="192" bestFit="1" customWidth="1"/>
    <col min="13" max="18" width="5.5703125" style="164" bestFit="1" customWidth="1"/>
    <col min="19" max="46" width="6.5703125" style="164" bestFit="1" customWidth="1"/>
  </cols>
  <sheetData>
    <row r="1" spans="1:46" x14ac:dyDescent="0.25">
      <c r="A1" s="192"/>
      <c r="B1" s="192"/>
      <c r="D1" s="192"/>
      <c r="E1" s="192"/>
      <c r="F1" s="192"/>
      <c r="G1" s="192">
        <v>1</v>
      </c>
      <c r="H1" s="192">
        <f>G1+1</f>
        <v>2</v>
      </c>
      <c r="I1" s="207">
        <f>H1+1</f>
        <v>3</v>
      </c>
      <c r="J1" s="207">
        <f>I1+8</f>
        <v>11</v>
      </c>
      <c r="K1" s="207">
        <f>J1+2</f>
        <v>13</v>
      </c>
      <c r="L1" s="207">
        <f>K1+2</f>
        <v>15</v>
      </c>
      <c r="M1" s="207">
        <f t="shared" ref="M1" si="0">L1+1</f>
        <v>16</v>
      </c>
      <c r="N1" s="192" t="str">
        <f t="shared" ref="N1:AT1" si="1">DEC2HEX(N2,2)</f>
        <v>15</v>
      </c>
      <c r="O1" s="192" t="str">
        <f t="shared" si="1"/>
        <v>17</v>
      </c>
      <c r="P1" s="192" t="str">
        <f t="shared" si="1"/>
        <v>19</v>
      </c>
      <c r="Q1" s="192" t="str">
        <f t="shared" si="1"/>
        <v>1B</v>
      </c>
      <c r="R1" s="192" t="str">
        <f t="shared" si="1"/>
        <v>1D</v>
      </c>
      <c r="S1" s="192" t="str">
        <f t="shared" si="1"/>
        <v>1F</v>
      </c>
      <c r="T1" s="192" t="str">
        <f t="shared" si="1"/>
        <v>21</v>
      </c>
      <c r="U1" s="192" t="str">
        <f t="shared" si="1"/>
        <v>23</v>
      </c>
      <c r="V1" s="192" t="str">
        <f t="shared" si="1"/>
        <v>25</v>
      </c>
      <c r="W1" s="192" t="str">
        <f t="shared" si="1"/>
        <v>27</v>
      </c>
      <c r="X1" s="192" t="str">
        <f t="shared" si="1"/>
        <v>29</v>
      </c>
      <c r="Y1" s="192" t="str">
        <f t="shared" si="1"/>
        <v>2B</v>
      </c>
      <c r="Z1" s="192" t="str">
        <f t="shared" si="1"/>
        <v>2D</v>
      </c>
      <c r="AA1" s="192" t="str">
        <f t="shared" si="1"/>
        <v>2F</v>
      </c>
      <c r="AB1" s="192" t="str">
        <f t="shared" si="1"/>
        <v>31</v>
      </c>
      <c r="AC1" s="192" t="str">
        <f t="shared" si="1"/>
        <v>33</v>
      </c>
      <c r="AD1" s="192" t="str">
        <f t="shared" si="1"/>
        <v>35</v>
      </c>
      <c r="AE1" s="192" t="str">
        <f t="shared" si="1"/>
        <v>37</v>
      </c>
      <c r="AF1" s="192" t="str">
        <f t="shared" si="1"/>
        <v>39</v>
      </c>
      <c r="AG1" s="192" t="str">
        <f t="shared" si="1"/>
        <v>3B</v>
      </c>
      <c r="AH1" s="192" t="str">
        <f t="shared" si="1"/>
        <v>3D</v>
      </c>
      <c r="AI1" s="192" t="str">
        <f t="shared" si="1"/>
        <v>3F</v>
      </c>
      <c r="AJ1" s="192" t="str">
        <f t="shared" si="1"/>
        <v>41</v>
      </c>
      <c r="AK1" s="192" t="str">
        <f t="shared" si="1"/>
        <v>43</v>
      </c>
      <c r="AL1" s="192" t="str">
        <f t="shared" si="1"/>
        <v>45</v>
      </c>
      <c r="AM1" s="192" t="str">
        <f t="shared" si="1"/>
        <v>47</v>
      </c>
      <c r="AN1" s="192" t="str">
        <f t="shared" si="1"/>
        <v>49</v>
      </c>
      <c r="AO1" s="192" t="str">
        <f t="shared" si="1"/>
        <v>4B</v>
      </c>
      <c r="AP1" s="192" t="str">
        <f t="shared" si="1"/>
        <v>4D</v>
      </c>
      <c r="AQ1" s="192" t="str">
        <f t="shared" si="1"/>
        <v>4F</v>
      </c>
      <c r="AR1" s="192" t="str">
        <f t="shared" si="1"/>
        <v>51</v>
      </c>
      <c r="AS1" s="192" t="str">
        <f t="shared" si="1"/>
        <v>53</v>
      </c>
      <c r="AT1" s="192" t="str">
        <f t="shared" si="1"/>
        <v>54</v>
      </c>
    </row>
    <row r="2" spans="1:46" x14ac:dyDescent="0.25">
      <c r="A2" s="182"/>
      <c r="B2" s="182"/>
      <c r="D2" s="182">
        <v>0</v>
      </c>
      <c r="E2" s="182">
        <f>D2+1</f>
        <v>1</v>
      </c>
      <c r="F2" s="182">
        <f t="shared" ref="F2:AT2" si="2">E2+1</f>
        <v>2</v>
      </c>
      <c r="G2" s="193">
        <f t="shared" ref="G2" si="3">F2+1</f>
        <v>3</v>
      </c>
      <c r="H2" s="193">
        <f t="shared" ref="H2" si="4">G2+1</f>
        <v>4</v>
      </c>
      <c r="I2" s="193">
        <f t="shared" ref="I2" si="5">H2+1</f>
        <v>5</v>
      </c>
      <c r="J2" s="182">
        <f>I2+8</f>
        <v>13</v>
      </c>
      <c r="K2" s="182">
        <f>J2+2</f>
        <v>15</v>
      </c>
      <c r="L2" s="192">
        <f>K2+2</f>
        <v>17</v>
      </c>
      <c r="M2" s="182">
        <f>L2+2</f>
        <v>19</v>
      </c>
      <c r="N2" s="182">
        <f>M2+2</f>
        <v>21</v>
      </c>
      <c r="O2" s="192">
        <f t="shared" ref="O2:AR2" si="6">N2+2</f>
        <v>23</v>
      </c>
      <c r="P2" s="192">
        <f t="shared" si="6"/>
        <v>25</v>
      </c>
      <c r="Q2" s="192">
        <f t="shared" si="6"/>
        <v>27</v>
      </c>
      <c r="R2" s="192">
        <f t="shared" si="6"/>
        <v>29</v>
      </c>
      <c r="S2" s="192">
        <f t="shared" si="6"/>
        <v>31</v>
      </c>
      <c r="T2" s="192">
        <f t="shared" si="6"/>
        <v>33</v>
      </c>
      <c r="U2" s="192">
        <f t="shared" si="6"/>
        <v>35</v>
      </c>
      <c r="V2" s="192">
        <f t="shared" si="6"/>
        <v>37</v>
      </c>
      <c r="W2" s="192">
        <f t="shared" si="6"/>
        <v>39</v>
      </c>
      <c r="X2" s="192">
        <f t="shared" si="6"/>
        <v>41</v>
      </c>
      <c r="Y2" s="192">
        <f t="shared" si="6"/>
        <v>43</v>
      </c>
      <c r="Z2" s="192">
        <f t="shared" si="6"/>
        <v>45</v>
      </c>
      <c r="AA2" s="192">
        <f t="shared" si="6"/>
        <v>47</v>
      </c>
      <c r="AB2" s="192">
        <f t="shared" si="6"/>
        <v>49</v>
      </c>
      <c r="AC2" s="192">
        <f t="shared" si="6"/>
        <v>51</v>
      </c>
      <c r="AD2" s="192">
        <f t="shared" si="6"/>
        <v>53</v>
      </c>
      <c r="AE2" s="192">
        <f t="shared" si="6"/>
        <v>55</v>
      </c>
      <c r="AF2" s="192">
        <f t="shared" si="6"/>
        <v>57</v>
      </c>
      <c r="AG2" s="192">
        <f t="shared" si="6"/>
        <v>59</v>
      </c>
      <c r="AH2" s="192">
        <f t="shared" si="6"/>
        <v>61</v>
      </c>
      <c r="AI2" s="192">
        <f t="shared" si="6"/>
        <v>63</v>
      </c>
      <c r="AJ2" s="192">
        <f t="shared" si="6"/>
        <v>65</v>
      </c>
      <c r="AK2" s="192">
        <f t="shared" si="6"/>
        <v>67</v>
      </c>
      <c r="AL2" s="192">
        <f t="shared" si="6"/>
        <v>69</v>
      </c>
      <c r="AM2" s="192">
        <f t="shared" si="6"/>
        <v>71</v>
      </c>
      <c r="AN2" s="192">
        <f t="shared" si="6"/>
        <v>73</v>
      </c>
      <c r="AO2" s="192">
        <f t="shared" si="6"/>
        <v>75</v>
      </c>
      <c r="AP2" s="192">
        <f t="shared" si="6"/>
        <v>77</v>
      </c>
      <c r="AQ2" s="192">
        <f>AP2+2</f>
        <v>79</v>
      </c>
      <c r="AR2" s="192">
        <f t="shared" si="6"/>
        <v>81</v>
      </c>
      <c r="AS2" s="192">
        <f>AR2+2</f>
        <v>83</v>
      </c>
      <c r="AT2" s="182">
        <f t="shared" si="2"/>
        <v>84</v>
      </c>
    </row>
    <row r="3" spans="1:46" s="79" customFormat="1" x14ac:dyDescent="0.25">
      <c r="A3" s="80" t="s">
        <v>399</v>
      </c>
      <c r="B3" s="80"/>
      <c r="D3" s="80" t="s">
        <v>403</v>
      </c>
      <c r="E3" s="80" t="s">
        <v>404</v>
      </c>
      <c r="F3" s="80" t="s">
        <v>405</v>
      </c>
      <c r="G3" s="80" t="s">
        <v>567</v>
      </c>
      <c r="H3" s="80" t="s">
        <v>406</v>
      </c>
      <c r="I3" t="s">
        <v>578</v>
      </c>
      <c r="J3" s="80" t="s">
        <v>586</v>
      </c>
      <c r="K3" s="80" t="s">
        <v>587</v>
      </c>
      <c r="L3" s="80" t="s">
        <v>577</v>
      </c>
      <c r="M3" s="80" t="s">
        <v>462</v>
      </c>
      <c r="N3" s="80" t="s">
        <v>463</v>
      </c>
      <c r="O3" s="80" t="s">
        <v>464</v>
      </c>
      <c r="P3" s="80" t="s">
        <v>465</v>
      </c>
      <c r="Q3" s="80" t="s">
        <v>466</v>
      </c>
      <c r="R3" s="80" t="s">
        <v>467</v>
      </c>
      <c r="S3" s="80" t="s">
        <v>468</v>
      </c>
      <c r="T3" s="80" t="s">
        <v>469</v>
      </c>
      <c r="U3" s="80" t="s">
        <v>470</v>
      </c>
      <c r="V3" s="80" t="s">
        <v>471</v>
      </c>
      <c r="W3" s="80" t="s">
        <v>472</v>
      </c>
      <c r="X3" s="80" t="s">
        <v>473</v>
      </c>
      <c r="Y3" s="80" t="s">
        <v>474</v>
      </c>
      <c r="Z3" s="80" t="s">
        <v>475</v>
      </c>
      <c r="AA3" s="80" t="s">
        <v>476</v>
      </c>
      <c r="AB3" s="80" t="s">
        <v>477</v>
      </c>
      <c r="AC3" s="80" t="s">
        <v>478</v>
      </c>
      <c r="AD3" s="80" t="s">
        <v>479</v>
      </c>
      <c r="AE3" s="80" t="s">
        <v>480</v>
      </c>
      <c r="AF3" s="80" t="s">
        <v>481</v>
      </c>
      <c r="AG3" s="80" t="s">
        <v>482</v>
      </c>
      <c r="AH3" s="80" t="s">
        <v>483</v>
      </c>
      <c r="AI3" s="80" t="s">
        <v>484</v>
      </c>
      <c r="AJ3" s="80" t="s">
        <v>485</v>
      </c>
      <c r="AK3" s="80" t="s">
        <v>486</v>
      </c>
      <c r="AL3" s="80" t="s">
        <v>487</v>
      </c>
      <c r="AM3" s="80" t="s">
        <v>488</v>
      </c>
      <c r="AN3" s="80" t="s">
        <v>489</v>
      </c>
      <c r="AO3" s="80" t="s">
        <v>490</v>
      </c>
      <c r="AP3" s="80" t="s">
        <v>491</v>
      </c>
      <c r="AQ3" s="80" t="s">
        <v>492</v>
      </c>
      <c r="AR3" s="80" t="s">
        <v>493</v>
      </c>
      <c r="AS3" s="80" t="s">
        <v>494</v>
      </c>
      <c r="AT3" s="80" t="s">
        <v>417</v>
      </c>
    </row>
    <row r="4" spans="1:46" x14ac:dyDescent="0.25">
      <c r="A4" s="164" t="s">
        <v>400</v>
      </c>
      <c r="B4" s="164" t="s">
        <v>401</v>
      </c>
      <c r="C4" t="s">
        <v>402</v>
      </c>
      <c r="D4" s="200" t="s">
        <v>407</v>
      </c>
      <c r="E4" s="201" t="str">
        <f t="shared" ref="E4:E11" si="7">A4</f>
        <v>0x01</v>
      </c>
      <c r="F4" s="199">
        <v>14</v>
      </c>
      <c r="G4" s="198" t="s">
        <v>593</v>
      </c>
      <c r="H4" s="202" t="s">
        <v>590</v>
      </c>
      <c r="I4" s="194" t="s">
        <v>594</v>
      </c>
      <c r="J4" s="196" t="s">
        <v>414</v>
      </c>
      <c r="K4" s="195" t="s">
        <v>494</v>
      </c>
      <c r="L4" s="197" t="s">
        <v>417</v>
      </c>
    </row>
    <row r="5" spans="1:46" x14ac:dyDescent="0.25">
      <c r="A5" s="164" t="s">
        <v>410</v>
      </c>
      <c r="B5" s="164" t="s">
        <v>411</v>
      </c>
      <c r="C5" t="s">
        <v>421</v>
      </c>
      <c r="D5" s="200" t="s">
        <v>407</v>
      </c>
      <c r="E5" s="201" t="str">
        <f t="shared" si="7"/>
        <v>0x11</v>
      </c>
      <c r="F5" s="199">
        <v>16</v>
      </c>
      <c r="G5" s="198" t="s">
        <v>593</v>
      </c>
      <c r="H5" s="202" t="s">
        <v>590</v>
      </c>
      <c r="I5" s="194" t="s">
        <v>594</v>
      </c>
      <c r="J5" s="196" t="s">
        <v>415</v>
      </c>
      <c r="K5" s="196" t="s">
        <v>416</v>
      </c>
      <c r="L5" s="195" t="s">
        <v>494</v>
      </c>
      <c r="M5" s="197" t="s">
        <v>417</v>
      </c>
    </row>
    <row r="6" spans="1:46" x14ac:dyDescent="0.25">
      <c r="A6" s="164" t="s">
        <v>408</v>
      </c>
      <c r="B6" s="164" t="s">
        <v>401</v>
      </c>
      <c r="C6" t="s">
        <v>419</v>
      </c>
      <c r="D6" s="200" t="s">
        <v>407</v>
      </c>
      <c r="E6" s="201" t="str">
        <f t="shared" si="7"/>
        <v>0x02</v>
      </c>
      <c r="F6" s="199">
        <v>16</v>
      </c>
      <c r="G6" s="198" t="s">
        <v>593</v>
      </c>
      <c r="H6" s="202" t="s">
        <v>590</v>
      </c>
      <c r="I6" s="194" t="s">
        <v>594</v>
      </c>
      <c r="J6" s="196" t="s">
        <v>422</v>
      </c>
      <c r="K6" s="196" t="s">
        <v>424</v>
      </c>
      <c r="L6" s="195" t="s">
        <v>494</v>
      </c>
      <c r="M6" s="197" t="s">
        <v>417</v>
      </c>
    </row>
    <row r="7" spans="1:46" x14ac:dyDescent="0.25">
      <c r="A7" s="164" t="s">
        <v>418</v>
      </c>
      <c r="B7" s="164" t="s">
        <v>411</v>
      </c>
      <c r="C7" t="s">
        <v>420</v>
      </c>
      <c r="D7" s="200" t="s">
        <v>407</v>
      </c>
      <c r="E7" s="201" t="str">
        <f t="shared" si="7"/>
        <v>0x12</v>
      </c>
      <c r="F7" s="199">
        <v>16</v>
      </c>
      <c r="G7" s="198" t="s">
        <v>593</v>
      </c>
      <c r="H7" s="202" t="s">
        <v>590</v>
      </c>
      <c r="I7" s="194" t="s">
        <v>594</v>
      </c>
      <c r="J7" s="196" t="s">
        <v>423</v>
      </c>
      <c r="K7" s="196" t="s">
        <v>425</v>
      </c>
      <c r="L7" s="195" t="s">
        <v>494</v>
      </c>
      <c r="M7" s="197" t="s">
        <v>417</v>
      </c>
    </row>
    <row r="8" spans="1:46" x14ac:dyDescent="0.25">
      <c r="A8" s="182" t="s">
        <v>409</v>
      </c>
      <c r="B8" s="182" t="s">
        <v>401</v>
      </c>
      <c r="C8" t="s">
        <v>498</v>
      </c>
      <c r="D8" s="200" t="s">
        <v>407</v>
      </c>
      <c r="E8" s="201" t="str">
        <f t="shared" si="7"/>
        <v>0x03</v>
      </c>
      <c r="F8" s="199">
        <v>16</v>
      </c>
      <c r="G8" s="198" t="s">
        <v>593</v>
      </c>
      <c r="H8" s="203" t="s">
        <v>591</v>
      </c>
      <c r="I8" s="194" t="s">
        <v>594</v>
      </c>
      <c r="J8" s="196" t="s">
        <v>427</v>
      </c>
      <c r="K8" s="196" t="s">
        <v>429</v>
      </c>
      <c r="L8" s="195" t="s">
        <v>494</v>
      </c>
      <c r="M8" s="197" t="s">
        <v>417</v>
      </c>
      <c r="O8" s="182"/>
      <c r="P8" s="182"/>
      <c r="Q8" s="182"/>
      <c r="R8" s="182"/>
      <c r="S8" s="182"/>
      <c r="T8" s="182"/>
      <c r="U8" s="182"/>
      <c r="V8" s="182"/>
      <c r="W8" s="182"/>
      <c r="X8" s="182"/>
      <c r="Y8" s="182"/>
      <c r="Z8" s="182"/>
      <c r="AA8" s="182"/>
      <c r="AB8" s="182"/>
      <c r="AC8" s="182"/>
      <c r="AD8" s="182"/>
      <c r="AE8" s="182"/>
      <c r="AF8" s="182"/>
      <c r="AG8" s="182"/>
      <c r="AH8" s="182"/>
      <c r="AI8" s="182"/>
      <c r="AJ8" s="182"/>
      <c r="AK8" s="182"/>
      <c r="AL8" s="182"/>
      <c r="AM8" s="182"/>
      <c r="AN8" s="182"/>
      <c r="AO8" s="182"/>
      <c r="AP8" s="182"/>
      <c r="AQ8" s="182"/>
      <c r="AR8" s="182"/>
      <c r="AS8" s="182"/>
      <c r="AT8" s="182"/>
    </row>
    <row r="9" spans="1:46" x14ac:dyDescent="0.25">
      <c r="A9" s="164" t="s">
        <v>426</v>
      </c>
      <c r="B9" s="164" t="s">
        <v>411</v>
      </c>
      <c r="C9" t="s">
        <v>499</v>
      </c>
      <c r="D9" s="200" t="s">
        <v>407</v>
      </c>
      <c r="E9" s="201" t="str">
        <f t="shared" si="7"/>
        <v>0x13</v>
      </c>
      <c r="F9" s="206" t="s">
        <v>595</v>
      </c>
      <c r="G9" s="198" t="s">
        <v>593</v>
      </c>
      <c r="H9" s="204" t="s">
        <v>591</v>
      </c>
      <c r="I9" s="194" t="s">
        <v>594</v>
      </c>
      <c r="J9" s="196" t="s">
        <v>428</v>
      </c>
      <c r="K9" s="196" t="s">
        <v>429</v>
      </c>
      <c r="L9" s="282" t="s">
        <v>592</v>
      </c>
      <c r="M9" s="164" t="s">
        <v>430</v>
      </c>
      <c r="N9" s="164" t="s">
        <v>431</v>
      </c>
      <c r="O9" s="164" t="s">
        <v>432</v>
      </c>
      <c r="P9" s="164" t="s">
        <v>433</v>
      </c>
      <c r="Q9" s="164" t="s">
        <v>434</v>
      </c>
      <c r="R9" s="164" t="s">
        <v>435</v>
      </c>
      <c r="S9" s="164" t="s">
        <v>436</v>
      </c>
      <c r="T9" s="164" t="s">
        <v>437</v>
      </c>
      <c r="U9" s="164" t="s">
        <v>438</v>
      </c>
      <c r="V9" s="164" t="s">
        <v>439</v>
      </c>
      <c r="W9" s="164" t="s">
        <v>440</v>
      </c>
      <c r="X9" s="164" t="s">
        <v>441</v>
      </c>
      <c r="Y9" s="164" t="s">
        <v>442</v>
      </c>
      <c r="Z9" s="164" t="s">
        <v>443</v>
      </c>
      <c r="AA9" s="164" t="s">
        <v>444</v>
      </c>
      <c r="AB9" s="164" t="s">
        <v>445</v>
      </c>
      <c r="AC9" s="164" t="s">
        <v>446</v>
      </c>
      <c r="AD9" s="164" t="s">
        <v>447</v>
      </c>
      <c r="AE9" s="164" t="s">
        <v>448</v>
      </c>
      <c r="AF9" s="164" t="s">
        <v>449</v>
      </c>
      <c r="AG9" s="164" t="s">
        <v>450</v>
      </c>
      <c r="AH9" s="164" t="s">
        <v>451</v>
      </c>
      <c r="AI9" s="164" t="s">
        <v>452</v>
      </c>
      <c r="AJ9" s="164" t="s">
        <v>453</v>
      </c>
      <c r="AK9" s="164" t="s">
        <v>454</v>
      </c>
      <c r="AL9" s="164" t="s">
        <v>455</v>
      </c>
      <c r="AM9" s="164" t="s">
        <v>456</v>
      </c>
      <c r="AN9" s="164" t="s">
        <v>457</v>
      </c>
      <c r="AO9" s="164" t="s">
        <v>458</v>
      </c>
      <c r="AP9" s="164" t="s">
        <v>459</v>
      </c>
      <c r="AQ9" s="164" t="s">
        <v>460</v>
      </c>
      <c r="AR9" s="164" t="s">
        <v>461</v>
      </c>
      <c r="AS9" s="195" t="s">
        <v>494</v>
      </c>
      <c r="AT9" s="197" t="s">
        <v>417</v>
      </c>
    </row>
    <row r="10" spans="1:46" x14ac:dyDescent="0.25">
      <c r="A10" s="164" t="s">
        <v>412</v>
      </c>
      <c r="B10" s="164" t="s">
        <v>401</v>
      </c>
      <c r="C10" t="s">
        <v>496</v>
      </c>
      <c r="D10" s="200" t="s">
        <v>407</v>
      </c>
      <c r="E10" s="201" t="str">
        <f t="shared" si="7"/>
        <v>0x04</v>
      </c>
      <c r="F10" s="206" t="s">
        <v>596</v>
      </c>
      <c r="G10" s="198" t="s">
        <v>593</v>
      </c>
      <c r="H10" s="203" t="s">
        <v>591</v>
      </c>
      <c r="I10" s="194" t="s">
        <v>594</v>
      </c>
      <c r="J10" s="196" t="s">
        <v>500</v>
      </c>
      <c r="K10" s="196" t="s">
        <v>501</v>
      </c>
      <c r="L10" s="205" t="s">
        <v>592</v>
      </c>
      <c r="M10" s="164" t="s">
        <v>430</v>
      </c>
      <c r="N10" s="164" t="s">
        <v>431</v>
      </c>
      <c r="O10" s="164" t="s">
        <v>432</v>
      </c>
      <c r="P10" s="164" t="s">
        <v>433</v>
      </c>
      <c r="Q10" s="164" t="s">
        <v>434</v>
      </c>
      <c r="R10" s="164" t="s">
        <v>435</v>
      </c>
      <c r="S10" s="164" t="s">
        <v>436</v>
      </c>
      <c r="T10" s="164" t="s">
        <v>437</v>
      </c>
      <c r="U10" s="164" t="s">
        <v>438</v>
      </c>
      <c r="V10" s="164" t="s">
        <v>439</v>
      </c>
      <c r="W10" s="164" t="s">
        <v>440</v>
      </c>
      <c r="X10" s="164" t="s">
        <v>441</v>
      </c>
      <c r="Y10" s="164" t="s">
        <v>442</v>
      </c>
      <c r="Z10" s="164" t="s">
        <v>443</v>
      </c>
      <c r="AA10" s="164" t="s">
        <v>444</v>
      </c>
      <c r="AB10" s="164" t="s">
        <v>445</v>
      </c>
      <c r="AC10" s="164" t="s">
        <v>446</v>
      </c>
      <c r="AD10" s="164" t="s">
        <v>447</v>
      </c>
      <c r="AE10" s="164" t="s">
        <v>448</v>
      </c>
      <c r="AF10" s="164" t="s">
        <v>449</v>
      </c>
      <c r="AG10" s="164" t="s">
        <v>450</v>
      </c>
      <c r="AH10" s="164" t="s">
        <v>451</v>
      </c>
      <c r="AI10" s="164" t="s">
        <v>452</v>
      </c>
      <c r="AJ10" s="164" t="s">
        <v>453</v>
      </c>
      <c r="AK10" s="164" t="s">
        <v>454</v>
      </c>
      <c r="AL10" s="164" t="s">
        <v>455</v>
      </c>
      <c r="AM10" s="164" t="s">
        <v>456</v>
      </c>
      <c r="AN10" s="164" t="s">
        <v>457</v>
      </c>
      <c r="AO10" s="164" t="s">
        <v>458</v>
      </c>
      <c r="AP10" s="164" t="s">
        <v>459</v>
      </c>
      <c r="AQ10" s="164" t="s">
        <v>460</v>
      </c>
      <c r="AR10" s="164" t="s">
        <v>461</v>
      </c>
      <c r="AS10" s="195" t="s">
        <v>494</v>
      </c>
      <c r="AT10" s="197" t="s">
        <v>417</v>
      </c>
    </row>
    <row r="11" spans="1:46" x14ac:dyDescent="0.25">
      <c r="A11" s="164" t="s">
        <v>495</v>
      </c>
      <c r="B11" s="164" t="s">
        <v>411</v>
      </c>
      <c r="C11" t="s">
        <v>497</v>
      </c>
      <c r="D11" s="200" t="s">
        <v>407</v>
      </c>
      <c r="E11" s="201" t="str">
        <f t="shared" si="7"/>
        <v>0x14</v>
      </c>
      <c r="F11" s="206" t="s">
        <v>596</v>
      </c>
      <c r="G11" s="198" t="s">
        <v>593</v>
      </c>
      <c r="H11" s="204" t="s">
        <v>591</v>
      </c>
      <c r="I11" s="194" t="s">
        <v>594</v>
      </c>
      <c r="J11" s="196" t="s">
        <v>502</v>
      </c>
      <c r="K11" s="196" t="s">
        <v>501</v>
      </c>
      <c r="L11" s="205" t="s">
        <v>592</v>
      </c>
      <c r="M11" s="164" t="s">
        <v>430</v>
      </c>
      <c r="N11" s="164" t="s">
        <v>431</v>
      </c>
      <c r="O11" s="164" t="s">
        <v>432</v>
      </c>
      <c r="P11" s="164" t="s">
        <v>433</v>
      </c>
      <c r="Q11" s="164" t="s">
        <v>434</v>
      </c>
      <c r="R11" s="164" t="s">
        <v>435</v>
      </c>
      <c r="S11" s="164" t="s">
        <v>436</v>
      </c>
      <c r="T11" s="164" t="s">
        <v>437</v>
      </c>
      <c r="U11" s="164" t="s">
        <v>438</v>
      </c>
      <c r="V11" s="164" t="s">
        <v>439</v>
      </c>
      <c r="W11" s="164" t="s">
        <v>440</v>
      </c>
      <c r="X11" s="164" t="s">
        <v>441</v>
      </c>
      <c r="Y11" s="164" t="s">
        <v>442</v>
      </c>
      <c r="Z11" s="164" t="s">
        <v>443</v>
      </c>
      <c r="AA11" s="164" t="s">
        <v>444</v>
      </c>
      <c r="AB11" s="164" t="s">
        <v>445</v>
      </c>
      <c r="AC11" s="164" t="s">
        <v>446</v>
      </c>
      <c r="AD11" s="164" t="s">
        <v>447</v>
      </c>
      <c r="AE11" s="164" t="s">
        <v>448</v>
      </c>
      <c r="AF11" s="164" t="s">
        <v>449</v>
      </c>
      <c r="AG11" s="164" t="s">
        <v>450</v>
      </c>
      <c r="AH11" s="164" t="s">
        <v>451</v>
      </c>
      <c r="AI11" s="164" t="s">
        <v>452</v>
      </c>
      <c r="AJ11" s="164" t="s">
        <v>453</v>
      </c>
      <c r="AK11" s="164" t="s">
        <v>454</v>
      </c>
      <c r="AL11" s="164" t="s">
        <v>455</v>
      </c>
      <c r="AM11" s="164" t="s">
        <v>456</v>
      </c>
      <c r="AN11" s="164" t="s">
        <v>457</v>
      </c>
      <c r="AO11" s="164" t="s">
        <v>458</v>
      </c>
      <c r="AP11" s="164" t="s">
        <v>459</v>
      </c>
      <c r="AQ11" s="164" t="s">
        <v>460</v>
      </c>
      <c r="AR11" s="164" t="s">
        <v>461</v>
      </c>
      <c r="AS11" s="195" t="s">
        <v>494</v>
      </c>
      <c r="AT11" s="197" t="s">
        <v>417</v>
      </c>
    </row>
    <row r="12" spans="1:46" s="214" customFormat="1" x14ac:dyDescent="0.25">
      <c r="A12" s="213" t="s">
        <v>413</v>
      </c>
      <c r="B12" s="213" t="s">
        <v>401</v>
      </c>
      <c r="C12" s="214" t="s">
        <v>579</v>
      </c>
      <c r="D12" s="200" t="s">
        <v>407</v>
      </c>
      <c r="E12" s="213" t="str">
        <f t="shared" ref="E12:E13" si="8">A12</f>
        <v>0x05</v>
      </c>
      <c r="F12" s="200">
        <v>16</v>
      </c>
      <c r="G12" s="213" t="s">
        <v>593</v>
      </c>
      <c r="H12" s="215" t="s">
        <v>591</v>
      </c>
      <c r="I12" s="216" t="s">
        <v>594</v>
      </c>
      <c r="J12" s="213" t="s">
        <v>422</v>
      </c>
      <c r="K12" s="213" t="s">
        <v>424</v>
      </c>
      <c r="L12" s="213" t="s">
        <v>494</v>
      </c>
      <c r="M12" s="200" t="s">
        <v>417</v>
      </c>
      <c r="N12" s="213"/>
      <c r="O12" s="213"/>
      <c r="P12" s="213"/>
      <c r="Q12" s="213"/>
      <c r="R12" s="213"/>
      <c r="S12" s="213"/>
      <c r="T12" s="213"/>
      <c r="U12" s="213"/>
      <c r="V12" s="213"/>
      <c r="W12" s="213"/>
      <c r="X12" s="213"/>
      <c r="Y12" s="213"/>
      <c r="Z12" s="213"/>
      <c r="AA12" s="213"/>
      <c r="AB12" s="213"/>
      <c r="AC12" s="213"/>
      <c r="AD12" s="213"/>
      <c r="AE12" s="213"/>
      <c r="AF12" s="213"/>
      <c r="AG12" s="213"/>
      <c r="AH12" s="213"/>
      <c r="AI12" s="213"/>
      <c r="AJ12" s="213"/>
      <c r="AK12" s="213"/>
      <c r="AL12" s="213"/>
      <c r="AM12" s="213"/>
      <c r="AN12" s="213"/>
      <c r="AO12" s="213"/>
      <c r="AP12" s="213"/>
      <c r="AQ12" s="213"/>
      <c r="AR12" s="213"/>
      <c r="AS12" s="213"/>
      <c r="AT12" s="213"/>
    </row>
    <row r="13" spans="1:46" s="214" customFormat="1" x14ac:dyDescent="0.25">
      <c r="A13" s="213" t="s">
        <v>503</v>
      </c>
      <c r="B13" s="213" t="s">
        <v>411</v>
      </c>
      <c r="C13" s="214" t="s">
        <v>580</v>
      </c>
      <c r="D13" s="200" t="s">
        <v>407</v>
      </c>
      <c r="E13" s="213" t="str">
        <f t="shared" si="8"/>
        <v>0x15</v>
      </c>
      <c r="F13" s="200">
        <v>16</v>
      </c>
      <c r="G13" s="213" t="s">
        <v>593</v>
      </c>
      <c r="H13" s="217" t="s">
        <v>591</v>
      </c>
      <c r="I13" s="216" t="s">
        <v>594</v>
      </c>
      <c r="J13" s="213" t="s">
        <v>423</v>
      </c>
      <c r="K13" s="213" t="s">
        <v>425</v>
      </c>
      <c r="L13" s="213" t="s">
        <v>494</v>
      </c>
      <c r="M13" s="200" t="s">
        <v>417</v>
      </c>
      <c r="N13" s="213"/>
      <c r="O13" s="213"/>
      <c r="P13" s="213"/>
      <c r="Q13" s="213"/>
      <c r="R13" s="213"/>
      <c r="S13" s="213"/>
      <c r="T13" s="213"/>
      <c r="U13" s="213"/>
      <c r="V13" s="213"/>
      <c r="W13" s="213"/>
      <c r="X13" s="213"/>
      <c r="Y13" s="213"/>
      <c r="Z13" s="213"/>
      <c r="AA13" s="213"/>
      <c r="AB13" s="213"/>
      <c r="AC13" s="213"/>
      <c r="AD13" s="213"/>
      <c r="AE13" s="213"/>
      <c r="AF13" s="213"/>
      <c r="AG13" s="213"/>
      <c r="AH13" s="213"/>
      <c r="AI13" s="213"/>
      <c r="AJ13" s="213"/>
      <c r="AK13" s="213"/>
      <c r="AL13" s="213"/>
      <c r="AM13" s="213"/>
      <c r="AN13" s="213"/>
      <c r="AO13" s="213"/>
      <c r="AP13" s="213"/>
      <c r="AQ13" s="213"/>
      <c r="AR13" s="213"/>
      <c r="AS13" s="213"/>
      <c r="AT13" s="213"/>
    </row>
    <row r="14" spans="1:46" x14ac:dyDescent="0.25">
      <c r="L14" s="192" t="s">
        <v>694</v>
      </c>
      <c r="N14" s="164" t="s">
        <v>695</v>
      </c>
    </row>
    <row r="15" spans="1:46" x14ac:dyDescent="0.25">
      <c r="B15" s="200" t="s">
        <v>403</v>
      </c>
      <c r="C15" s="165" t="s">
        <v>506</v>
      </c>
      <c r="K15" s="164" t="s">
        <v>696</v>
      </c>
      <c r="L15" s="192" t="s">
        <v>405</v>
      </c>
      <c r="M15" s="164" t="s">
        <v>697</v>
      </c>
      <c r="O15" s="164" t="s">
        <v>698</v>
      </c>
    </row>
    <row r="16" spans="1:46" x14ac:dyDescent="0.25">
      <c r="A16" s="192"/>
      <c r="B16" s="201" t="s">
        <v>404</v>
      </c>
      <c r="C16" s="165" t="s">
        <v>582</v>
      </c>
      <c r="D16" s="192"/>
      <c r="E16" s="192"/>
      <c r="F16" s="192"/>
      <c r="G16" s="192"/>
      <c r="J16" s="192"/>
      <c r="K16" s="192">
        <f>L16+3</f>
        <v>23</v>
      </c>
      <c r="L16" s="192">
        <f>16+N16+O16</f>
        <v>20</v>
      </c>
      <c r="M16" s="192">
        <v>1</v>
      </c>
      <c r="N16" s="192">
        <f>M16*2</f>
        <v>2</v>
      </c>
      <c r="O16" s="192">
        <v>2</v>
      </c>
      <c r="P16" s="192"/>
      <c r="Q16" s="192"/>
      <c r="R16" s="192"/>
      <c r="S16" s="192"/>
      <c r="T16" s="192"/>
      <c r="U16" s="192"/>
      <c r="V16" s="192"/>
      <c r="W16" s="192"/>
      <c r="X16" s="192"/>
      <c r="Y16" s="192"/>
      <c r="Z16" s="192"/>
      <c r="AA16" s="192"/>
      <c r="AB16" s="192"/>
      <c r="AC16" s="192"/>
      <c r="AD16" s="192"/>
      <c r="AE16" s="192"/>
      <c r="AF16" s="192"/>
      <c r="AG16" s="192"/>
      <c r="AH16" s="192"/>
      <c r="AI16" s="192"/>
      <c r="AJ16" s="192"/>
      <c r="AK16" s="192"/>
      <c r="AL16" s="192"/>
      <c r="AM16" s="192"/>
      <c r="AN16" s="192"/>
      <c r="AO16" s="192"/>
      <c r="AP16" s="192"/>
      <c r="AQ16" s="192"/>
      <c r="AR16" s="192"/>
      <c r="AS16" s="192"/>
      <c r="AT16" s="192"/>
    </row>
    <row r="17" spans="1:46" x14ac:dyDescent="0.25">
      <c r="B17" s="199" t="s">
        <v>405</v>
      </c>
      <c r="C17" s="165" t="s">
        <v>581</v>
      </c>
    </row>
    <row r="18" spans="1:46" x14ac:dyDescent="0.25">
      <c r="A18" s="182"/>
      <c r="B18" s="198" t="s">
        <v>567</v>
      </c>
      <c r="C18" s="165" t="s">
        <v>568</v>
      </c>
      <c r="D18" s="182"/>
      <c r="E18" s="182"/>
      <c r="F18" s="182"/>
      <c r="J18" s="182"/>
      <c r="K18" s="182"/>
      <c r="M18" s="182"/>
      <c r="N18" s="182"/>
      <c r="O18" s="182"/>
      <c r="P18" s="182"/>
      <c r="Q18" s="182"/>
      <c r="R18" s="182"/>
      <c r="S18" s="182"/>
      <c r="T18" s="182"/>
      <c r="U18" s="182"/>
      <c r="V18" s="182"/>
      <c r="W18" s="182"/>
      <c r="X18" s="182"/>
      <c r="Y18" s="182"/>
      <c r="Z18" s="182"/>
      <c r="AA18" s="182"/>
      <c r="AB18" s="182"/>
      <c r="AC18" s="182"/>
      <c r="AD18" s="182"/>
      <c r="AE18" s="182"/>
      <c r="AF18" s="182"/>
      <c r="AG18" s="182"/>
      <c r="AH18" s="182"/>
      <c r="AI18" s="182"/>
      <c r="AJ18" s="182"/>
      <c r="AK18" s="182"/>
      <c r="AL18" s="182"/>
      <c r="AM18" s="182"/>
      <c r="AN18" s="182"/>
      <c r="AO18" s="182"/>
      <c r="AP18" s="182"/>
      <c r="AQ18" s="182"/>
      <c r="AR18" s="182"/>
      <c r="AS18" s="182"/>
      <c r="AT18" s="182"/>
    </row>
    <row r="19" spans="1:46" x14ac:dyDescent="0.25">
      <c r="B19" s="202" t="s">
        <v>406</v>
      </c>
      <c r="C19" s="165" t="s">
        <v>547</v>
      </c>
    </row>
    <row r="20" spans="1:46" x14ac:dyDescent="0.25">
      <c r="A20" s="192"/>
      <c r="B20" s="194" t="s">
        <v>578</v>
      </c>
      <c r="C20" s="165" t="s">
        <v>583</v>
      </c>
      <c r="D20" s="192"/>
      <c r="E20" s="192"/>
      <c r="F20" s="192"/>
      <c r="G20" s="192"/>
      <c r="J20" s="192"/>
      <c r="K20" s="192"/>
      <c r="M20" s="192"/>
      <c r="N20" s="192"/>
      <c r="O20" s="192"/>
      <c r="P20" s="192"/>
      <c r="Q20" s="192"/>
      <c r="R20" s="192"/>
      <c r="S20" s="192"/>
      <c r="T20" s="192"/>
      <c r="U20" s="192"/>
      <c r="V20" s="192"/>
      <c r="W20" s="192"/>
      <c r="X20" s="192"/>
      <c r="Y20" s="192"/>
      <c r="Z20" s="192"/>
      <c r="AA20" s="192"/>
      <c r="AB20" s="192"/>
      <c r="AC20" s="192"/>
      <c r="AD20" s="192"/>
      <c r="AE20" s="192"/>
      <c r="AF20" s="192"/>
      <c r="AG20" s="192"/>
      <c r="AH20" s="192"/>
      <c r="AI20" s="192"/>
      <c r="AJ20" s="192"/>
      <c r="AK20" s="192"/>
      <c r="AL20" s="192"/>
      <c r="AM20" s="192"/>
      <c r="AN20" s="192"/>
      <c r="AO20" s="192"/>
      <c r="AP20" s="192"/>
      <c r="AQ20" s="192"/>
      <c r="AR20" s="192"/>
      <c r="AS20" s="192"/>
      <c r="AT20" s="192"/>
    </row>
    <row r="21" spans="1:46" x14ac:dyDescent="0.25">
      <c r="A21" s="192"/>
      <c r="B21" s="196" t="s">
        <v>586</v>
      </c>
      <c r="C21" s="165" t="s">
        <v>588</v>
      </c>
      <c r="D21" s="192"/>
      <c r="E21" s="192"/>
      <c r="F21" s="192"/>
      <c r="G21" s="192"/>
      <c r="J21" s="192"/>
      <c r="K21" s="192"/>
      <c r="M21" s="192"/>
      <c r="N21" s="192"/>
      <c r="O21" s="192"/>
      <c r="P21" s="192"/>
      <c r="Q21" s="192"/>
      <c r="R21" s="192"/>
      <c r="S21" s="192"/>
      <c r="T21" s="192"/>
      <c r="U21" s="192"/>
      <c r="V21" s="192"/>
      <c r="W21" s="192"/>
      <c r="X21" s="192"/>
      <c r="Y21" s="192"/>
      <c r="Z21" s="192"/>
      <c r="AA21" s="192"/>
      <c r="AB21" s="192"/>
      <c r="AC21" s="192"/>
      <c r="AD21" s="192"/>
      <c r="AE21" s="192"/>
      <c r="AF21" s="192"/>
      <c r="AG21" s="192"/>
      <c r="AH21" s="192"/>
      <c r="AI21" s="192"/>
      <c r="AJ21" s="192"/>
      <c r="AK21" s="192"/>
      <c r="AL21" s="192"/>
      <c r="AM21" s="192"/>
      <c r="AN21" s="192"/>
      <c r="AO21" s="192"/>
      <c r="AP21" s="192"/>
      <c r="AQ21" s="192"/>
      <c r="AR21" s="192"/>
      <c r="AS21" s="192"/>
      <c r="AT21" s="192"/>
    </row>
    <row r="22" spans="1:46" x14ac:dyDescent="0.25">
      <c r="A22" s="192"/>
      <c r="B22" s="196" t="s">
        <v>587</v>
      </c>
      <c r="C22" s="165" t="s">
        <v>589</v>
      </c>
      <c r="D22" s="192"/>
      <c r="E22" s="192"/>
      <c r="F22" s="192"/>
      <c r="G22" s="192"/>
      <c r="J22" s="192"/>
      <c r="K22" s="192"/>
      <c r="M22" s="192"/>
      <c r="N22" s="192"/>
      <c r="O22" s="192"/>
      <c r="P22" s="192"/>
      <c r="Q22" s="192"/>
      <c r="R22" s="192"/>
      <c r="S22" s="192"/>
      <c r="T22" s="192"/>
      <c r="U22" s="192"/>
      <c r="V22" s="192"/>
      <c r="W22" s="192"/>
      <c r="X22" s="192"/>
      <c r="Y22" s="192"/>
      <c r="Z22" s="192"/>
      <c r="AA22" s="192"/>
      <c r="AB22" s="192"/>
      <c r="AC22" s="192"/>
      <c r="AD22" s="192"/>
      <c r="AE22" s="192"/>
      <c r="AF22" s="192"/>
      <c r="AG22" s="192"/>
      <c r="AH22" s="192"/>
      <c r="AI22" s="192"/>
      <c r="AJ22" s="192"/>
      <c r="AK22" s="192"/>
      <c r="AL22" s="192"/>
      <c r="AM22" s="192"/>
      <c r="AN22" s="192"/>
      <c r="AO22" s="192"/>
      <c r="AP22" s="192"/>
      <c r="AQ22" s="192"/>
      <c r="AR22" s="192"/>
      <c r="AS22" s="192"/>
      <c r="AT22" s="192"/>
    </row>
    <row r="23" spans="1:46" x14ac:dyDescent="0.25">
      <c r="B23" s="195" t="s">
        <v>494</v>
      </c>
      <c r="C23" s="165" t="s">
        <v>566</v>
      </c>
    </row>
    <row r="24" spans="1:46" x14ac:dyDescent="0.25">
      <c r="B24" s="197" t="s">
        <v>417</v>
      </c>
      <c r="C24" s="165" t="s">
        <v>507</v>
      </c>
    </row>
    <row r="25" spans="1:46" x14ac:dyDescent="0.25">
      <c r="A25" s="192"/>
      <c r="B25" s="205" t="s">
        <v>592</v>
      </c>
      <c r="C25" s="165"/>
      <c r="D25" s="192"/>
      <c r="E25" s="192"/>
      <c r="F25" s="192"/>
      <c r="G25" s="192"/>
      <c r="J25" s="192"/>
      <c r="K25" s="192"/>
      <c r="M25" s="192"/>
      <c r="N25" s="192"/>
      <c r="O25" s="192"/>
      <c r="P25" s="192"/>
      <c r="Q25" s="192"/>
      <c r="R25" s="192"/>
      <c r="S25" s="192"/>
      <c r="T25" s="192"/>
      <c r="U25" s="192"/>
      <c r="V25" s="192"/>
      <c r="W25" s="192"/>
      <c r="X25" s="192"/>
      <c r="Y25" s="192"/>
      <c r="Z25" s="192"/>
      <c r="AA25" s="192"/>
      <c r="AB25" s="192"/>
      <c r="AC25" s="192"/>
      <c r="AD25" s="192"/>
      <c r="AE25" s="192"/>
      <c r="AF25" s="192"/>
      <c r="AG25" s="192"/>
      <c r="AH25" s="192"/>
      <c r="AI25" s="192"/>
      <c r="AJ25" s="192"/>
      <c r="AK25" s="192"/>
      <c r="AL25" s="192"/>
      <c r="AM25" s="192"/>
      <c r="AN25" s="192"/>
      <c r="AO25" s="192"/>
      <c r="AP25" s="192"/>
      <c r="AQ25" s="192"/>
      <c r="AR25" s="192"/>
      <c r="AS25" s="192"/>
      <c r="AT25" s="192"/>
    </row>
    <row r="26" spans="1:46" x14ac:dyDescent="0.25">
      <c r="A26" s="192"/>
      <c r="B26" s="192" t="s">
        <v>584</v>
      </c>
      <c r="C26" s="165" t="s">
        <v>585</v>
      </c>
      <c r="D26" s="192"/>
      <c r="E26" s="192"/>
      <c r="F26" s="192"/>
      <c r="G26" s="192"/>
      <c r="J26" s="192"/>
      <c r="K26" s="192"/>
      <c r="M26" s="192"/>
      <c r="N26" s="192"/>
      <c r="O26" s="192"/>
      <c r="P26" s="192"/>
      <c r="Q26" s="192"/>
      <c r="R26" s="192"/>
      <c r="S26" s="192"/>
      <c r="T26" s="192"/>
      <c r="U26" s="192"/>
      <c r="V26" s="192"/>
      <c r="W26" s="192"/>
      <c r="X26" s="192"/>
      <c r="Y26" s="192"/>
      <c r="Z26" s="192"/>
      <c r="AA26" s="192"/>
      <c r="AB26" s="192"/>
      <c r="AC26" s="192"/>
      <c r="AD26" s="192"/>
      <c r="AE26" s="192"/>
      <c r="AF26" s="192"/>
      <c r="AG26" s="192"/>
      <c r="AH26" s="192"/>
      <c r="AI26" s="192"/>
      <c r="AJ26" s="192"/>
      <c r="AK26" s="192"/>
      <c r="AL26" s="192"/>
      <c r="AM26" s="192"/>
      <c r="AN26" s="192"/>
      <c r="AO26" s="192"/>
      <c r="AP26" s="192"/>
      <c r="AQ26" s="192"/>
      <c r="AR26" s="192"/>
      <c r="AS26" s="192"/>
      <c r="AT26" s="192"/>
    </row>
    <row r="27" spans="1:46" x14ac:dyDescent="0.25">
      <c r="B27" s="165" t="s">
        <v>414</v>
      </c>
      <c r="C27" s="165" t="s">
        <v>510</v>
      </c>
    </row>
    <row r="28" spans="1:46" x14ac:dyDescent="0.25">
      <c r="B28" s="165" t="s">
        <v>415</v>
      </c>
      <c r="C28" s="165" t="s">
        <v>508</v>
      </c>
    </row>
    <row r="29" spans="1:46" x14ac:dyDescent="0.25">
      <c r="B29" s="165" t="s">
        <v>422</v>
      </c>
      <c r="C29" s="165" t="s">
        <v>511</v>
      </c>
    </row>
    <row r="30" spans="1:46" x14ac:dyDescent="0.25">
      <c r="B30" s="165" t="s">
        <v>423</v>
      </c>
      <c r="C30" s="165" t="s">
        <v>509</v>
      </c>
    </row>
    <row r="31" spans="1:46" x14ac:dyDescent="0.25">
      <c r="B31" s="165" t="s">
        <v>427</v>
      </c>
      <c r="C31" s="165" t="s">
        <v>514</v>
      </c>
    </row>
    <row r="32" spans="1:46" x14ac:dyDescent="0.25">
      <c r="B32" s="165" t="s">
        <v>428</v>
      </c>
      <c r="C32" s="165" t="s">
        <v>515</v>
      </c>
    </row>
    <row r="33" spans="2:20" x14ac:dyDescent="0.25">
      <c r="B33" s="165" t="s">
        <v>500</v>
      </c>
      <c r="C33" s="165" t="s">
        <v>517</v>
      </c>
    </row>
    <row r="34" spans="2:20" x14ac:dyDescent="0.25">
      <c r="B34" s="165" t="s">
        <v>502</v>
      </c>
      <c r="C34" s="165" t="s">
        <v>516</v>
      </c>
    </row>
    <row r="35" spans="2:20" x14ac:dyDescent="0.25">
      <c r="B35" s="165" t="s">
        <v>504</v>
      </c>
      <c r="C35" s="165" t="s">
        <v>519</v>
      </c>
    </row>
    <row r="36" spans="2:20" x14ac:dyDescent="0.25">
      <c r="B36" s="165" t="s">
        <v>505</v>
      </c>
      <c r="C36" s="165" t="s">
        <v>518</v>
      </c>
    </row>
    <row r="38" spans="2:20" x14ac:dyDescent="0.25">
      <c r="D38" s="164" t="s">
        <v>533</v>
      </c>
      <c r="E38" s="164" t="s">
        <v>532</v>
      </c>
      <c r="F38" s="164" t="s">
        <v>531</v>
      </c>
      <c r="J38" s="164" t="s">
        <v>530</v>
      </c>
      <c r="K38" s="164" t="s">
        <v>529</v>
      </c>
      <c r="M38" s="164" t="s">
        <v>528</v>
      </c>
      <c r="N38" s="164" t="s">
        <v>527</v>
      </c>
      <c r="O38" s="164" t="s">
        <v>526</v>
      </c>
      <c r="P38" s="164" t="s">
        <v>525</v>
      </c>
      <c r="Q38" s="164" t="s">
        <v>524</v>
      </c>
      <c r="R38" s="164" t="s">
        <v>523</v>
      </c>
      <c r="S38" s="164" t="s">
        <v>522</v>
      </c>
      <c r="T38" s="164" t="s">
        <v>521</v>
      </c>
    </row>
    <row r="39" spans="2:20" x14ac:dyDescent="0.25">
      <c r="C39" t="s">
        <v>520</v>
      </c>
      <c r="D39" s="164" t="s">
        <v>534</v>
      </c>
      <c r="E39" s="164" t="s">
        <v>535</v>
      </c>
      <c r="F39" s="164" t="s">
        <v>536</v>
      </c>
      <c r="J39" s="164" t="s">
        <v>538</v>
      </c>
      <c r="K39" s="164" t="s">
        <v>553</v>
      </c>
      <c r="M39" s="164" t="s">
        <v>539</v>
      </c>
      <c r="N39" s="164" t="s">
        <v>546</v>
      </c>
      <c r="O39" s="164" t="s">
        <v>540</v>
      </c>
      <c r="P39" s="164" t="s">
        <v>545</v>
      </c>
      <c r="Q39" s="164" t="s">
        <v>542</v>
      </c>
      <c r="R39" s="164" t="s">
        <v>543</v>
      </c>
      <c r="S39" s="164" t="s">
        <v>544</v>
      </c>
      <c r="T39" s="164" t="s">
        <v>541</v>
      </c>
    </row>
    <row r="40" spans="2:20" x14ac:dyDescent="0.25">
      <c r="C40" t="s">
        <v>555</v>
      </c>
    </row>
  </sheetData>
  <pageMargins left="0.7" right="0.7" top="0.75" bottom="0.75"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topLeftCell="A46" workbookViewId="0">
      <selection activeCell="F40" sqref="F40"/>
    </sheetView>
  </sheetViews>
  <sheetFormatPr defaultRowHeight="15" x14ac:dyDescent="0.25"/>
  <cols>
    <col min="1" max="1" width="6.28515625" bestFit="1" customWidth="1"/>
    <col min="2" max="3" width="0" hidden="1" customWidth="1"/>
    <col min="4" max="4" width="2.85546875" customWidth="1"/>
    <col min="6" max="7" width="37.42578125" bestFit="1" customWidth="1"/>
  </cols>
  <sheetData>
    <row r="1" spans="1:7" ht="15.75" thickBot="1" x14ac:dyDescent="0.3">
      <c r="A1" s="75" t="s">
        <v>332</v>
      </c>
      <c r="B1" s="76" t="s">
        <v>334</v>
      </c>
      <c r="C1" s="76" t="s">
        <v>333</v>
      </c>
      <c r="D1" s="299" t="s">
        <v>333</v>
      </c>
      <c r="E1" s="300"/>
      <c r="F1" s="77" t="s">
        <v>348</v>
      </c>
      <c r="G1" s="78" t="s">
        <v>349</v>
      </c>
    </row>
    <row r="2" spans="1:7" x14ac:dyDescent="0.25">
      <c r="A2" s="63">
        <v>0</v>
      </c>
      <c r="B2" s="64">
        <v>0</v>
      </c>
      <c r="C2" s="64">
        <v>0</v>
      </c>
      <c r="D2" s="63">
        <v>0</v>
      </c>
      <c r="E2" s="65" t="str">
        <f>DEC2HEX(C2,1)</f>
        <v>0</v>
      </c>
      <c r="F2" s="64" t="s">
        <v>329</v>
      </c>
      <c r="G2" s="65" t="s">
        <v>329</v>
      </c>
    </row>
    <row r="3" spans="1:7" x14ac:dyDescent="0.25">
      <c r="A3" s="63">
        <v>0</v>
      </c>
      <c r="B3" s="64">
        <v>0</v>
      </c>
      <c r="C3" s="64">
        <f>C2+1</f>
        <v>1</v>
      </c>
      <c r="D3" s="63">
        <v>0</v>
      </c>
      <c r="E3" s="65" t="str">
        <f t="shared" ref="E3:E65" si="0">DEC2HEX(C3,1)</f>
        <v>1</v>
      </c>
      <c r="F3" s="64" t="s">
        <v>329</v>
      </c>
      <c r="G3" s="65" t="s">
        <v>329</v>
      </c>
    </row>
    <row r="4" spans="1:7" x14ac:dyDescent="0.25">
      <c r="A4" s="63">
        <v>0</v>
      </c>
      <c r="B4" s="64">
        <v>0</v>
      </c>
      <c r="C4" s="64">
        <f t="shared" ref="C4:C17" si="1">C3+1</f>
        <v>2</v>
      </c>
      <c r="D4" s="63">
        <v>0</v>
      </c>
      <c r="E4" s="65" t="str">
        <f t="shared" si="0"/>
        <v>2</v>
      </c>
      <c r="F4" s="64" t="s">
        <v>329</v>
      </c>
      <c r="G4" s="65" t="s">
        <v>329</v>
      </c>
    </row>
    <row r="5" spans="1:7" x14ac:dyDescent="0.25">
      <c r="A5" s="63">
        <v>0</v>
      </c>
      <c r="B5" s="64">
        <v>0</v>
      </c>
      <c r="C5" s="64">
        <f t="shared" si="1"/>
        <v>3</v>
      </c>
      <c r="D5" s="63">
        <v>0</v>
      </c>
      <c r="E5" s="65" t="str">
        <f t="shared" si="0"/>
        <v>3</v>
      </c>
      <c r="F5" s="64" t="s">
        <v>329</v>
      </c>
      <c r="G5" s="65" t="s">
        <v>329</v>
      </c>
    </row>
    <row r="6" spans="1:7" x14ac:dyDescent="0.25">
      <c r="A6" s="63">
        <v>0</v>
      </c>
      <c r="B6" s="64">
        <v>0</v>
      </c>
      <c r="C6" s="64">
        <f t="shared" si="1"/>
        <v>4</v>
      </c>
      <c r="D6" s="63">
        <v>0</v>
      </c>
      <c r="E6" s="65" t="str">
        <f t="shared" si="0"/>
        <v>4</v>
      </c>
      <c r="F6" s="64" t="s">
        <v>329</v>
      </c>
      <c r="G6" s="65" t="s">
        <v>329</v>
      </c>
    </row>
    <row r="7" spans="1:7" x14ac:dyDescent="0.25">
      <c r="A7" s="63">
        <v>0</v>
      </c>
      <c r="B7" s="64">
        <v>0</v>
      </c>
      <c r="C7" s="64">
        <f t="shared" si="1"/>
        <v>5</v>
      </c>
      <c r="D7" s="63">
        <v>0</v>
      </c>
      <c r="E7" s="65" t="str">
        <f t="shared" si="0"/>
        <v>5</v>
      </c>
      <c r="F7" s="64" t="s">
        <v>329</v>
      </c>
      <c r="G7" s="65" t="s">
        <v>329</v>
      </c>
    </row>
    <row r="8" spans="1:7" x14ac:dyDescent="0.25">
      <c r="A8" s="63">
        <v>0</v>
      </c>
      <c r="B8" s="64">
        <v>0</v>
      </c>
      <c r="C8" s="64">
        <f t="shared" si="1"/>
        <v>6</v>
      </c>
      <c r="D8" s="63">
        <v>0</v>
      </c>
      <c r="E8" s="65" t="str">
        <f t="shared" si="0"/>
        <v>6</v>
      </c>
      <c r="F8" s="64" t="s">
        <v>329</v>
      </c>
      <c r="G8" s="65" t="s">
        <v>329</v>
      </c>
    </row>
    <row r="9" spans="1:7" x14ac:dyDescent="0.25">
      <c r="A9" s="63">
        <v>0</v>
      </c>
      <c r="B9" s="64">
        <v>0</v>
      </c>
      <c r="C9" s="64">
        <f t="shared" si="1"/>
        <v>7</v>
      </c>
      <c r="D9" s="63">
        <v>0</v>
      </c>
      <c r="E9" s="65" t="str">
        <f t="shared" si="0"/>
        <v>7</v>
      </c>
      <c r="F9" s="64" t="s">
        <v>329</v>
      </c>
      <c r="G9" s="65" t="s">
        <v>329</v>
      </c>
    </row>
    <row r="10" spans="1:7" x14ac:dyDescent="0.25">
      <c r="A10" s="63">
        <v>0</v>
      </c>
      <c r="B10" s="64">
        <v>0</v>
      </c>
      <c r="C10" s="64">
        <f t="shared" si="1"/>
        <v>8</v>
      </c>
      <c r="D10" s="63">
        <v>0</v>
      </c>
      <c r="E10" s="65" t="str">
        <f t="shared" si="0"/>
        <v>8</v>
      </c>
      <c r="F10" s="64" t="s">
        <v>329</v>
      </c>
      <c r="G10" s="65" t="s">
        <v>329</v>
      </c>
    </row>
    <row r="11" spans="1:7" x14ac:dyDescent="0.25">
      <c r="A11" s="63">
        <v>0</v>
      </c>
      <c r="B11" s="64">
        <v>0</v>
      </c>
      <c r="C11" s="64">
        <f t="shared" si="1"/>
        <v>9</v>
      </c>
      <c r="D11" s="63">
        <v>0</v>
      </c>
      <c r="E11" s="65" t="str">
        <f t="shared" si="0"/>
        <v>9</v>
      </c>
      <c r="F11" s="64" t="s">
        <v>329</v>
      </c>
      <c r="G11" s="65" t="s">
        <v>329</v>
      </c>
    </row>
    <row r="12" spans="1:7" x14ac:dyDescent="0.25">
      <c r="A12" s="63">
        <v>0</v>
      </c>
      <c r="B12" s="64">
        <v>0</v>
      </c>
      <c r="C12" s="64">
        <f t="shared" si="1"/>
        <v>10</v>
      </c>
      <c r="D12" s="63">
        <v>0</v>
      </c>
      <c r="E12" s="65" t="str">
        <f t="shared" si="0"/>
        <v>A</v>
      </c>
      <c r="F12" s="64" t="s">
        <v>329</v>
      </c>
      <c r="G12" s="65" t="s">
        <v>329</v>
      </c>
    </row>
    <row r="13" spans="1:7" x14ac:dyDescent="0.25">
      <c r="A13" s="63">
        <v>0</v>
      </c>
      <c r="B13" s="64">
        <v>0</v>
      </c>
      <c r="C13" s="64">
        <f t="shared" si="1"/>
        <v>11</v>
      </c>
      <c r="D13" s="63">
        <v>0</v>
      </c>
      <c r="E13" s="65" t="str">
        <f t="shared" si="0"/>
        <v>B</v>
      </c>
      <c r="F13" s="64" t="s">
        <v>329</v>
      </c>
      <c r="G13" s="65" t="s">
        <v>329</v>
      </c>
    </row>
    <row r="14" spans="1:7" x14ac:dyDescent="0.25">
      <c r="A14" s="63">
        <v>0</v>
      </c>
      <c r="B14" s="64">
        <v>0</v>
      </c>
      <c r="C14" s="64">
        <f t="shared" si="1"/>
        <v>12</v>
      </c>
      <c r="D14" s="63">
        <v>0</v>
      </c>
      <c r="E14" s="65" t="str">
        <f t="shared" si="0"/>
        <v>C</v>
      </c>
      <c r="F14" s="64" t="s">
        <v>329</v>
      </c>
      <c r="G14" s="65" t="s">
        <v>329</v>
      </c>
    </row>
    <row r="15" spans="1:7" x14ac:dyDescent="0.25">
      <c r="A15" s="63">
        <v>0</v>
      </c>
      <c r="B15" s="64">
        <v>0</v>
      </c>
      <c r="C15" s="64">
        <f t="shared" si="1"/>
        <v>13</v>
      </c>
      <c r="D15" s="63">
        <v>0</v>
      </c>
      <c r="E15" s="65" t="str">
        <f t="shared" si="0"/>
        <v>D</v>
      </c>
      <c r="F15" s="64" t="s">
        <v>329</v>
      </c>
      <c r="G15" s="65" t="s">
        <v>329</v>
      </c>
    </row>
    <row r="16" spans="1:7" x14ac:dyDescent="0.25">
      <c r="A16" s="63">
        <v>0</v>
      </c>
      <c r="B16" s="64">
        <v>0</v>
      </c>
      <c r="C16" s="64">
        <f t="shared" si="1"/>
        <v>14</v>
      </c>
      <c r="D16" s="63">
        <v>0</v>
      </c>
      <c r="E16" s="65" t="str">
        <f t="shared" si="0"/>
        <v>E</v>
      </c>
      <c r="F16" s="64" t="s">
        <v>329</v>
      </c>
      <c r="G16" s="65" t="s">
        <v>329</v>
      </c>
    </row>
    <row r="17" spans="1:7" ht="15.75" thickBot="1" x14ac:dyDescent="0.3">
      <c r="A17" s="63">
        <v>0</v>
      </c>
      <c r="B17" s="64">
        <v>0</v>
      </c>
      <c r="C17" s="64">
        <f t="shared" si="1"/>
        <v>15</v>
      </c>
      <c r="D17" s="63">
        <v>0</v>
      </c>
      <c r="E17" s="65" t="str">
        <f t="shared" si="0"/>
        <v>F</v>
      </c>
      <c r="F17" s="64" t="s">
        <v>329</v>
      </c>
      <c r="G17" s="65" t="s">
        <v>329</v>
      </c>
    </row>
    <row r="18" spans="1:7" x14ac:dyDescent="0.25">
      <c r="A18" s="66">
        <v>0</v>
      </c>
      <c r="B18" s="67">
        <v>1</v>
      </c>
      <c r="C18" s="67">
        <v>0</v>
      </c>
      <c r="D18" s="66">
        <v>1</v>
      </c>
      <c r="E18" s="68" t="str">
        <f t="shared" ref="E18:E33" si="2">DEC2HEX(C18,1)</f>
        <v>0</v>
      </c>
      <c r="F18" s="67" t="s">
        <v>329</v>
      </c>
      <c r="G18" s="68" t="s">
        <v>329</v>
      </c>
    </row>
    <row r="19" spans="1:7" x14ac:dyDescent="0.25">
      <c r="A19" s="63">
        <v>0</v>
      </c>
      <c r="B19" s="64">
        <v>1</v>
      </c>
      <c r="C19" s="64">
        <f>C18+1</f>
        <v>1</v>
      </c>
      <c r="D19" s="63">
        <v>1</v>
      </c>
      <c r="E19" s="65" t="str">
        <f t="shared" si="2"/>
        <v>1</v>
      </c>
      <c r="F19" s="64" t="s">
        <v>197</v>
      </c>
      <c r="G19" s="65" t="s">
        <v>197</v>
      </c>
    </row>
    <row r="20" spans="1:7" x14ac:dyDescent="0.25">
      <c r="A20" s="63">
        <v>0</v>
      </c>
      <c r="B20" s="64">
        <v>1</v>
      </c>
      <c r="C20" s="64">
        <f t="shared" ref="C20:C33" si="3">C19+1</f>
        <v>2</v>
      </c>
      <c r="D20" s="63">
        <v>1</v>
      </c>
      <c r="E20" s="65" t="str">
        <f t="shared" si="2"/>
        <v>2</v>
      </c>
      <c r="F20" s="64" t="s">
        <v>329</v>
      </c>
      <c r="G20" s="65" t="s">
        <v>329</v>
      </c>
    </row>
    <row r="21" spans="1:7" x14ac:dyDescent="0.25">
      <c r="A21" s="63">
        <v>0</v>
      </c>
      <c r="B21" s="64">
        <v>1</v>
      </c>
      <c r="C21" s="64">
        <f t="shared" si="3"/>
        <v>3</v>
      </c>
      <c r="D21" s="63">
        <v>1</v>
      </c>
      <c r="E21" s="65" t="str">
        <f t="shared" si="2"/>
        <v>3</v>
      </c>
      <c r="F21" s="64" t="s">
        <v>329</v>
      </c>
      <c r="G21" s="65" t="s">
        <v>329</v>
      </c>
    </row>
    <row r="22" spans="1:7" x14ac:dyDescent="0.25">
      <c r="A22" s="63">
        <v>0</v>
      </c>
      <c r="B22" s="64">
        <v>1</v>
      </c>
      <c r="C22" s="64">
        <f t="shared" si="3"/>
        <v>4</v>
      </c>
      <c r="D22" s="63">
        <v>1</v>
      </c>
      <c r="E22" s="65" t="str">
        <f t="shared" si="2"/>
        <v>4</v>
      </c>
      <c r="F22" s="64" t="s">
        <v>343</v>
      </c>
      <c r="G22" s="65" t="s">
        <v>343</v>
      </c>
    </row>
    <row r="23" spans="1:7" x14ac:dyDescent="0.25">
      <c r="A23" s="63">
        <v>0</v>
      </c>
      <c r="B23" s="64">
        <v>1</v>
      </c>
      <c r="C23" s="64">
        <f t="shared" si="3"/>
        <v>5</v>
      </c>
      <c r="D23" s="63">
        <v>1</v>
      </c>
      <c r="E23" s="65" t="str">
        <f t="shared" si="2"/>
        <v>5</v>
      </c>
      <c r="F23" s="64" t="s">
        <v>344</v>
      </c>
      <c r="G23" s="65" t="s">
        <v>344</v>
      </c>
    </row>
    <row r="24" spans="1:7" x14ac:dyDescent="0.25">
      <c r="A24" s="63">
        <v>0</v>
      </c>
      <c r="B24" s="64">
        <v>1</v>
      </c>
      <c r="C24" s="64">
        <f t="shared" si="3"/>
        <v>6</v>
      </c>
      <c r="D24" s="63">
        <v>1</v>
      </c>
      <c r="E24" s="65" t="str">
        <f t="shared" si="2"/>
        <v>6</v>
      </c>
      <c r="F24" s="64" t="s">
        <v>329</v>
      </c>
      <c r="G24" s="65" t="s">
        <v>329</v>
      </c>
    </row>
    <row r="25" spans="1:7" x14ac:dyDescent="0.25">
      <c r="A25" s="63">
        <v>0</v>
      </c>
      <c r="B25" s="64">
        <v>1</v>
      </c>
      <c r="C25" s="64">
        <f t="shared" si="3"/>
        <v>7</v>
      </c>
      <c r="D25" s="63">
        <v>1</v>
      </c>
      <c r="E25" s="65" t="str">
        <f t="shared" si="2"/>
        <v>7</v>
      </c>
      <c r="F25" s="64" t="s">
        <v>329</v>
      </c>
      <c r="G25" s="65" t="s">
        <v>329</v>
      </c>
    </row>
    <row r="26" spans="1:7" x14ac:dyDescent="0.25">
      <c r="A26" s="63">
        <v>0</v>
      </c>
      <c r="B26" s="64">
        <v>1</v>
      </c>
      <c r="C26" s="64">
        <f t="shared" si="3"/>
        <v>8</v>
      </c>
      <c r="D26" s="63">
        <v>1</v>
      </c>
      <c r="E26" s="65" t="str">
        <f t="shared" si="2"/>
        <v>8</v>
      </c>
      <c r="F26" s="64" t="s">
        <v>329</v>
      </c>
      <c r="G26" s="65" t="s">
        <v>329</v>
      </c>
    </row>
    <row r="27" spans="1:7" x14ac:dyDescent="0.25">
      <c r="A27" s="63">
        <v>0</v>
      </c>
      <c r="B27" s="64">
        <v>1</v>
      </c>
      <c r="C27" s="64">
        <f t="shared" si="3"/>
        <v>9</v>
      </c>
      <c r="D27" s="63">
        <v>1</v>
      </c>
      <c r="E27" s="65" t="str">
        <f t="shared" si="2"/>
        <v>9</v>
      </c>
      <c r="F27" s="64" t="s">
        <v>329</v>
      </c>
      <c r="G27" s="65" t="s">
        <v>329</v>
      </c>
    </row>
    <row r="28" spans="1:7" x14ac:dyDescent="0.25">
      <c r="A28" s="63">
        <v>0</v>
      </c>
      <c r="B28" s="64">
        <v>1</v>
      </c>
      <c r="C28" s="64">
        <f t="shared" si="3"/>
        <v>10</v>
      </c>
      <c r="D28" s="63">
        <v>1</v>
      </c>
      <c r="E28" s="65" t="str">
        <f t="shared" si="2"/>
        <v>A</v>
      </c>
      <c r="F28" s="64" t="s">
        <v>329</v>
      </c>
      <c r="G28" s="65" t="s">
        <v>329</v>
      </c>
    </row>
    <row r="29" spans="1:7" x14ac:dyDescent="0.25">
      <c r="A29" s="63">
        <v>0</v>
      </c>
      <c r="B29" s="64">
        <v>1</v>
      </c>
      <c r="C29" s="64">
        <f t="shared" si="3"/>
        <v>11</v>
      </c>
      <c r="D29" s="63">
        <v>1</v>
      </c>
      <c r="E29" s="65" t="str">
        <f t="shared" si="2"/>
        <v>B</v>
      </c>
      <c r="F29" s="64" t="s">
        <v>329</v>
      </c>
      <c r="G29" s="65" t="s">
        <v>329</v>
      </c>
    </row>
    <row r="30" spans="1:7" x14ac:dyDescent="0.25">
      <c r="A30" s="63">
        <v>0</v>
      </c>
      <c r="B30" s="64">
        <v>1</v>
      </c>
      <c r="C30" s="64">
        <f t="shared" si="3"/>
        <v>12</v>
      </c>
      <c r="D30" s="63">
        <v>1</v>
      </c>
      <c r="E30" s="65" t="str">
        <f t="shared" si="2"/>
        <v>C</v>
      </c>
      <c r="F30" s="64" t="s">
        <v>329</v>
      </c>
      <c r="G30" s="65" t="s">
        <v>329</v>
      </c>
    </row>
    <row r="31" spans="1:7" x14ac:dyDescent="0.25">
      <c r="A31" s="63">
        <v>0</v>
      </c>
      <c r="B31" s="64">
        <v>1</v>
      </c>
      <c r="C31" s="64">
        <f t="shared" si="3"/>
        <v>13</v>
      </c>
      <c r="D31" s="63">
        <v>1</v>
      </c>
      <c r="E31" s="65" t="str">
        <f t="shared" si="2"/>
        <v>D</v>
      </c>
      <c r="F31" s="64" t="s">
        <v>329</v>
      </c>
      <c r="G31" s="65" t="s">
        <v>329</v>
      </c>
    </row>
    <row r="32" spans="1:7" x14ac:dyDescent="0.25">
      <c r="A32" s="63">
        <v>0</v>
      </c>
      <c r="B32" s="64">
        <v>1</v>
      </c>
      <c r="C32" s="64">
        <f t="shared" si="3"/>
        <v>14</v>
      </c>
      <c r="D32" s="63">
        <v>1</v>
      </c>
      <c r="E32" s="65" t="str">
        <f t="shared" si="2"/>
        <v>E</v>
      </c>
      <c r="F32" s="64" t="s">
        <v>329</v>
      </c>
      <c r="G32" s="65" t="s">
        <v>329</v>
      </c>
    </row>
    <row r="33" spans="1:7" ht="15.75" thickBot="1" x14ac:dyDescent="0.3">
      <c r="A33" s="63">
        <v>0</v>
      </c>
      <c r="B33" s="64">
        <v>1</v>
      </c>
      <c r="C33" s="64">
        <f t="shared" si="3"/>
        <v>15</v>
      </c>
      <c r="D33" s="63">
        <v>1</v>
      </c>
      <c r="E33" s="65" t="str">
        <f t="shared" si="2"/>
        <v>F</v>
      </c>
      <c r="F33" s="64" t="s">
        <v>329</v>
      </c>
      <c r="G33" s="65" t="s">
        <v>329</v>
      </c>
    </row>
    <row r="34" spans="1:7" ht="14.25" customHeight="1" x14ac:dyDescent="0.25">
      <c r="A34" s="17">
        <v>1</v>
      </c>
      <c r="B34" s="15">
        <v>0</v>
      </c>
      <c r="C34" s="15">
        <v>0</v>
      </c>
      <c r="D34" s="17">
        <v>0</v>
      </c>
      <c r="E34" s="16" t="str">
        <f t="shared" si="0"/>
        <v>0</v>
      </c>
      <c r="F34" s="15" t="s">
        <v>335</v>
      </c>
      <c r="G34" s="16" t="s">
        <v>329</v>
      </c>
    </row>
    <row r="35" spans="1:7" x14ac:dyDescent="0.25">
      <c r="A35" s="20">
        <v>1</v>
      </c>
      <c r="B35" s="18">
        <v>0</v>
      </c>
      <c r="C35" s="18">
        <f>C34+1</f>
        <v>1</v>
      </c>
      <c r="D35" s="20">
        <v>0</v>
      </c>
      <c r="E35" s="19" t="str">
        <f t="shared" si="0"/>
        <v>1</v>
      </c>
      <c r="F35" s="18" t="s">
        <v>197</v>
      </c>
      <c r="G35" s="19" t="s">
        <v>197</v>
      </c>
    </row>
    <row r="36" spans="1:7" x14ac:dyDescent="0.25">
      <c r="A36" s="20">
        <v>1</v>
      </c>
      <c r="B36" s="18">
        <v>0</v>
      </c>
      <c r="C36" s="18">
        <f t="shared" ref="C36:C49" si="4">C35+1</f>
        <v>2</v>
      </c>
      <c r="D36" s="20">
        <v>0</v>
      </c>
      <c r="E36" s="19" t="str">
        <f t="shared" si="0"/>
        <v>2</v>
      </c>
      <c r="F36" s="18" t="s">
        <v>336</v>
      </c>
      <c r="G36" s="19" t="s">
        <v>329</v>
      </c>
    </row>
    <row r="37" spans="1:7" x14ac:dyDescent="0.25">
      <c r="A37" s="20">
        <v>1</v>
      </c>
      <c r="B37" s="18">
        <v>0</v>
      </c>
      <c r="C37" s="18">
        <f t="shared" si="4"/>
        <v>3</v>
      </c>
      <c r="D37" s="20">
        <v>0</v>
      </c>
      <c r="E37" s="19" t="str">
        <f t="shared" si="0"/>
        <v>3</v>
      </c>
      <c r="F37" s="18" t="s">
        <v>337</v>
      </c>
      <c r="G37" s="19" t="s">
        <v>337</v>
      </c>
    </row>
    <row r="38" spans="1:7" x14ac:dyDescent="0.25">
      <c r="A38" s="20">
        <v>1</v>
      </c>
      <c r="B38" s="18">
        <v>0</v>
      </c>
      <c r="C38" s="18">
        <f t="shared" si="4"/>
        <v>4</v>
      </c>
      <c r="D38" s="20">
        <v>0</v>
      </c>
      <c r="E38" s="19" t="str">
        <f t="shared" si="0"/>
        <v>4</v>
      </c>
      <c r="F38" s="18" t="s">
        <v>338</v>
      </c>
      <c r="G38" s="19" t="s">
        <v>338</v>
      </c>
    </row>
    <row r="39" spans="1:7" x14ac:dyDescent="0.25">
      <c r="A39" s="20">
        <v>1</v>
      </c>
      <c r="B39" s="18">
        <v>0</v>
      </c>
      <c r="C39" s="18">
        <f t="shared" si="4"/>
        <v>5</v>
      </c>
      <c r="D39" s="20">
        <v>0</v>
      </c>
      <c r="E39" s="19" t="str">
        <f t="shared" si="0"/>
        <v>5</v>
      </c>
      <c r="F39" s="18" t="s">
        <v>339</v>
      </c>
      <c r="G39" s="19" t="s">
        <v>339</v>
      </c>
    </row>
    <row r="40" spans="1:7" x14ac:dyDescent="0.25">
      <c r="A40" s="20">
        <v>1</v>
      </c>
      <c r="B40" s="18">
        <v>0</v>
      </c>
      <c r="C40" s="18">
        <f t="shared" si="4"/>
        <v>6</v>
      </c>
      <c r="D40" s="20">
        <v>0</v>
      </c>
      <c r="E40" s="19" t="str">
        <f t="shared" si="0"/>
        <v>6</v>
      </c>
      <c r="F40" s="18" t="s">
        <v>340</v>
      </c>
      <c r="G40" s="19" t="s">
        <v>340</v>
      </c>
    </row>
    <row r="41" spans="1:7" x14ac:dyDescent="0.25">
      <c r="A41" s="20">
        <v>1</v>
      </c>
      <c r="B41" s="18">
        <v>0</v>
      </c>
      <c r="C41" s="18">
        <f t="shared" si="4"/>
        <v>7</v>
      </c>
      <c r="D41" s="20">
        <v>0</v>
      </c>
      <c r="E41" s="19" t="str">
        <f t="shared" si="0"/>
        <v>7</v>
      </c>
      <c r="F41" s="18" t="s">
        <v>341</v>
      </c>
      <c r="G41" s="19" t="s">
        <v>341</v>
      </c>
    </row>
    <row r="42" spans="1:7" x14ac:dyDescent="0.25">
      <c r="A42" s="20">
        <v>1</v>
      </c>
      <c r="B42" s="18">
        <v>0</v>
      </c>
      <c r="C42" s="18">
        <f t="shared" si="4"/>
        <v>8</v>
      </c>
      <c r="D42" s="20">
        <v>0</v>
      </c>
      <c r="E42" s="19" t="str">
        <f t="shared" si="0"/>
        <v>8</v>
      </c>
      <c r="F42" s="18" t="s">
        <v>342</v>
      </c>
      <c r="G42" s="19" t="s">
        <v>342</v>
      </c>
    </row>
    <row r="43" spans="1:7" x14ac:dyDescent="0.25">
      <c r="A43" s="20">
        <v>1</v>
      </c>
      <c r="B43" s="18">
        <v>0</v>
      </c>
      <c r="C43" s="18">
        <f t="shared" si="4"/>
        <v>9</v>
      </c>
      <c r="D43" s="20">
        <v>0</v>
      </c>
      <c r="E43" s="19" t="str">
        <f t="shared" si="0"/>
        <v>9</v>
      </c>
      <c r="F43" s="18" t="s">
        <v>329</v>
      </c>
      <c r="G43" s="19" t="s">
        <v>329</v>
      </c>
    </row>
    <row r="44" spans="1:7" x14ac:dyDescent="0.25">
      <c r="A44" s="20">
        <v>1</v>
      </c>
      <c r="B44" s="18">
        <v>0</v>
      </c>
      <c r="C44" s="18">
        <f t="shared" si="4"/>
        <v>10</v>
      </c>
      <c r="D44" s="20">
        <v>0</v>
      </c>
      <c r="E44" s="19" t="str">
        <f t="shared" si="0"/>
        <v>A</v>
      </c>
      <c r="F44" s="18" t="s">
        <v>329</v>
      </c>
      <c r="G44" s="19" t="s">
        <v>329</v>
      </c>
    </row>
    <row r="45" spans="1:7" x14ac:dyDescent="0.25">
      <c r="A45" s="20">
        <v>1</v>
      </c>
      <c r="B45" s="18">
        <v>0</v>
      </c>
      <c r="C45" s="18">
        <f t="shared" si="4"/>
        <v>11</v>
      </c>
      <c r="D45" s="20">
        <v>0</v>
      </c>
      <c r="E45" s="19" t="str">
        <f t="shared" si="0"/>
        <v>B</v>
      </c>
      <c r="F45" s="18" t="s">
        <v>329</v>
      </c>
      <c r="G45" s="19" t="s">
        <v>329</v>
      </c>
    </row>
    <row r="46" spans="1:7" x14ac:dyDescent="0.25">
      <c r="A46" s="20">
        <v>1</v>
      </c>
      <c r="B46" s="18">
        <v>0</v>
      </c>
      <c r="C46" s="18">
        <f t="shared" si="4"/>
        <v>12</v>
      </c>
      <c r="D46" s="20">
        <v>0</v>
      </c>
      <c r="E46" s="19" t="str">
        <f t="shared" si="0"/>
        <v>C</v>
      </c>
      <c r="F46" s="18" t="s">
        <v>329</v>
      </c>
      <c r="G46" s="19" t="s">
        <v>329</v>
      </c>
    </row>
    <row r="47" spans="1:7" x14ac:dyDescent="0.25">
      <c r="A47" s="20">
        <v>1</v>
      </c>
      <c r="B47" s="18">
        <v>0</v>
      </c>
      <c r="C47" s="18">
        <f t="shared" si="4"/>
        <v>13</v>
      </c>
      <c r="D47" s="20">
        <v>0</v>
      </c>
      <c r="E47" s="19" t="str">
        <f t="shared" si="0"/>
        <v>D</v>
      </c>
      <c r="F47" s="18" t="s">
        <v>329</v>
      </c>
      <c r="G47" s="19" t="s">
        <v>329</v>
      </c>
    </row>
    <row r="48" spans="1:7" x14ac:dyDescent="0.25">
      <c r="A48" s="20">
        <v>1</v>
      </c>
      <c r="B48" s="18">
        <v>0</v>
      </c>
      <c r="C48" s="18">
        <f t="shared" si="4"/>
        <v>14</v>
      </c>
      <c r="D48" s="20">
        <v>0</v>
      </c>
      <c r="E48" s="19" t="str">
        <f t="shared" si="0"/>
        <v>E</v>
      </c>
      <c r="F48" s="18" t="s">
        <v>329</v>
      </c>
      <c r="G48" s="19" t="s">
        <v>329</v>
      </c>
    </row>
    <row r="49" spans="1:7" ht="15.75" thickBot="1" x14ac:dyDescent="0.3">
      <c r="A49" s="72">
        <v>1</v>
      </c>
      <c r="B49" s="73">
        <v>0</v>
      </c>
      <c r="C49" s="73">
        <f t="shared" si="4"/>
        <v>15</v>
      </c>
      <c r="D49" s="72">
        <v>0</v>
      </c>
      <c r="E49" s="74" t="str">
        <f t="shared" si="0"/>
        <v>F</v>
      </c>
      <c r="F49" s="73" t="s">
        <v>329</v>
      </c>
      <c r="G49" s="74" t="s">
        <v>329</v>
      </c>
    </row>
    <row r="50" spans="1:7" x14ac:dyDescent="0.25">
      <c r="A50" s="17">
        <v>1</v>
      </c>
      <c r="B50" s="15">
        <v>1</v>
      </c>
      <c r="C50" s="15">
        <v>0</v>
      </c>
      <c r="D50" s="17">
        <v>1</v>
      </c>
      <c r="E50" s="16" t="str">
        <f t="shared" si="0"/>
        <v>0</v>
      </c>
      <c r="F50" s="15" t="s">
        <v>345</v>
      </c>
      <c r="G50" s="16" t="s">
        <v>329</v>
      </c>
    </row>
    <row r="51" spans="1:7" x14ac:dyDescent="0.25">
      <c r="A51" s="20">
        <v>1</v>
      </c>
      <c r="B51" s="18">
        <v>1</v>
      </c>
      <c r="C51" s="18">
        <f>C50+1</f>
        <v>1</v>
      </c>
      <c r="D51" s="20">
        <v>1</v>
      </c>
      <c r="E51" s="19" t="str">
        <f t="shared" si="0"/>
        <v>1</v>
      </c>
      <c r="F51" s="18" t="s">
        <v>329</v>
      </c>
      <c r="G51" s="19" t="s">
        <v>329</v>
      </c>
    </row>
    <row r="52" spans="1:7" x14ac:dyDescent="0.25">
      <c r="A52" s="20">
        <v>1</v>
      </c>
      <c r="B52" s="18">
        <v>1</v>
      </c>
      <c r="C52" s="18">
        <f t="shared" ref="C52:C65" si="5">C51+1</f>
        <v>2</v>
      </c>
      <c r="D52" s="20">
        <v>1</v>
      </c>
      <c r="E52" s="19" t="str">
        <f t="shared" si="0"/>
        <v>2</v>
      </c>
      <c r="F52" s="18" t="s">
        <v>346</v>
      </c>
      <c r="G52" s="19" t="s">
        <v>329</v>
      </c>
    </row>
    <row r="53" spans="1:7" x14ac:dyDescent="0.25">
      <c r="A53" s="20">
        <v>1</v>
      </c>
      <c r="B53" s="18">
        <v>1</v>
      </c>
      <c r="C53" s="18">
        <f t="shared" si="5"/>
        <v>3</v>
      </c>
      <c r="D53" s="20">
        <v>1</v>
      </c>
      <c r="E53" s="19" t="str">
        <f t="shared" si="0"/>
        <v>3</v>
      </c>
      <c r="F53" s="18" t="s">
        <v>347</v>
      </c>
      <c r="G53" s="19" t="s">
        <v>329</v>
      </c>
    </row>
    <row r="54" spans="1:7" x14ac:dyDescent="0.25">
      <c r="A54" s="20">
        <v>1</v>
      </c>
      <c r="B54" s="18">
        <v>1</v>
      </c>
      <c r="C54" s="18">
        <f t="shared" si="5"/>
        <v>4</v>
      </c>
      <c r="D54" s="20">
        <v>1</v>
      </c>
      <c r="E54" s="19" t="str">
        <f t="shared" si="0"/>
        <v>4</v>
      </c>
      <c r="F54" s="18" t="s">
        <v>329</v>
      </c>
      <c r="G54" s="19" t="s">
        <v>329</v>
      </c>
    </row>
    <row r="55" spans="1:7" x14ac:dyDescent="0.25">
      <c r="A55" s="20">
        <v>1</v>
      </c>
      <c r="B55" s="18">
        <v>1</v>
      </c>
      <c r="C55" s="18">
        <f t="shared" si="5"/>
        <v>5</v>
      </c>
      <c r="D55" s="20">
        <v>1</v>
      </c>
      <c r="E55" s="19" t="str">
        <f t="shared" si="0"/>
        <v>5</v>
      </c>
      <c r="F55" s="18" t="s">
        <v>329</v>
      </c>
      <c r="G55" s="19" t="s">
        <v>329</v>
      </c>
    </row>
    <row r="56" spans="1:7" x14ac:dyDescent="0.25">
      <c r="A56" s="20">
        <v>1</v>
      </c>
      <c r="B56" s="18">
        <v>1</v>
      </c>
      <c r="C56" s="18">
        <f t="shared" si="5"/>
        <v>6</v>
      </c>
      <c r="D56" s="20">
        <v>1</v>
      </c>
      <c r="E56" s="19" t="str">
        <f t="shared" si="0"/>
        <v>6</v>
      </c>
      <c r="F56" s="18" t="s">
        <v>329</v>
      </c>
      <c r="G56" s="19" t="s">
        <v>329</v>
      </c>
    </row>
    <row r="57" spans="1:7" x14ac:dyDescent="0.25">
      <c r="A57" s="20">
        <v>1</v>
      </c>
      <c r="B57" s="18">
        <v>1</v>
      </c>
      <c r="C57" s="18">
        <f t="shared" si="5"/>
        <v>7</v>
      </c>
      <c r="D57" s="20">
        <v>1</v>
      </c>
      <c r="E57" s="19" t="str">
        <f t="shared" si="0"/>
        <v>7</v>
      </c>
      <c r="F57" s="18" t="s">
        <v>329</v>
      </c>
      <c r="G57" s="19" t="s">
        <v>329</v>
      </c>
    </row>
    <row r="58" spans="1:7" x14ac:dyDescent="0.25">
      <c r="A58" s="20">
        <v>1</v>
      </c>
      <c r="B58" s="18">
        <v>1</v>
      </c>
      <c r="C58" s="18">
        <f t="shared" si="5"/>
        <v>8</v>
      </c>
      <c r="D58" s="20">
        <v>1</v>
      </c>
      <c r="E58" s="19" t="str">
        <f t="shared" si="0"/>
        <v>8</v>
      </c>
      <c r="F58" s="18" t="s">
        <v>329</v>
      </c>
      <c r="G58" s="19" t="s">
        <v>329</v>
      </c>
    </row>
    <row r="59" spans="1:7" x14ac:dyDescent="0.25">
      <c r="A59" s="20">
        <v>1</v>
      </c>
      <c r="B59" s="18">
        <v>1</v>
      </c>
      <c r="C59" s="18">
        <f t="shared" si="5"/>
        <v>9</v>
      </c>
      <c r="D59" s="20">
        <v>1</v>
      </c>
      <c r="E59" s="19" t="str">
        <f t="shared" si="0"/>
        <v>9</v>
      </c>
      <c r="F59" s="18" t="s">
        <v>329</v>
      </c>
      <c r="G59" s="19" t="s">
        <v>329</v>
      </c>
    </row>
    <row r="60" spans="1:7" x14ac:dyDescent="0.25">
      <c r="A60" s="20">
        <v>1</v>
      </c>
      <c r="B60" s="18">
        <v>1</v>
      </c>
      <c r="C60" s="18">
        <f t="shared" si="5"/>
        <v>10</v>
      </c>
      <c r="D60" s="20">
        <v>1</v>
      </c>
      <c r="E60" s="19" t="str">
        <f t="shared" si="0"/>
        <v>A</v>
      </c>
      <c r="F60" s="18" t="s">
        <v>329</v>
      </c>
      <c r="G60" s="19" t="s">
        <v>329</v>
      </c>
    </row>
    <row r="61" spans="1:7" x14ac:dyDescent="0.25">
      <c r="A61" s="20">
        <v>1</v>
      </c>
      <c r="B61" s="18">
        <v>1</v>
      </c>
      <c r="C61" s="18">
        <f t="shared" si="5"/>
        <v>11</v>
      </c>
      <c r="D61" s="20">
        <v>1</v>
      </c>
      <c r="E61" s="19" t="str">
        <f t="shared" si="0"/>
        <v>B</v>
      </c>
      <c r="F61" s="18" t="s">
        <v>329</v>
      </c>
      <c r="G61" s="19" t="s">
        <v>329</v>
      </c>
    </row>
    <row r="62" spans="1:7" x14ac:dyDescent="0.25">
      <c r="A62" s="20">
        <v>1</v>
      </c>
      <c r="B62" s="18">
        <v>1</v>
      </c>
      <c r="C62" s="18">
        <f t="shared" si="5"/>
        <v>12</v>
      </c>
      <c r="D62" s="20">
        <v>1</v>
      </c>
      <c r="E62" s="19" t="str">
        <f t="shared" si="0"/>
        <v>C</v>
      </c>
      <c r="F62" s="18" t="s">
        <v>329</v>
      </c>
      <c r="G62" s="19" t="s">
        <v>329</v>
      </c>
    </row>
    <row r="63" spans="1:7" x14ac:dyDescent="0.25">
      <c r="A63" s="20">
        <v>1</v>
      </c>
      <c r="B63" s="18">
        <v>1</v>
      </c>
      <c r="C63" s="18">
        <f t="shared" si="5"/>
        <v>13</v>
      </c>
      <c r="D63" s="20">
        <v>1</v>
      </c>
      <c r="E63" s="19" t="str">
        <f t="shared" si="0"/>
        <v>D</v>
      </c>
      <c r="F63" s="18" t="s">
        <v>329</v>
      </c>
      <c r="G63" s="19" t="s">
        <v>329</v>
      </c>
    </row>
    <row r="64" spans="1:7" x14ac:dyDescent="0.25">
      <c r="A64" s="20">
        <v>1</v>
      </c>
      <c r="B64" s="18">
        <v>1</v>
      </c>
      <c r="C64" s="18">
        <f t="shared" si="5"/>
        <v>14</v>
      </c>
      <c r="D64" s="20">
        <v>1</v>
      </c>
      <c r="E64" s="19" t="str">
        <f t="shared" si="0"/>
        <v>E</v>
      </c>
      <c r="F64" s="18" t="s">
        <v>329</v>
      </c>
      <c r="G64" s="19" t="s">
        <v>329</v>
      </c>
    </row>
    <row r="65" spans="1:7" ht="15.75" thickBot="1" x14ac:dyDescent="0.3">
      <c r="A65" s="72">
        <v>1</v>
      </c>
      <c r="B65" s="73">
        <v>1</v>
      </c>
      <c r="C65" s="73">
        <f t="shared" si="5"/>
        <v>15</v>
      </c>
      <c r="D65" s="72">
        <v>1</v>
      </c>
      <c r="E65" s="74" t="str">
        <f t="shared" si="0"/>
        <v>F</v>
      </c>
      <c r="F65" s="73" t="s">
        <v>329</v>
      </c>
      <c r="G65" s="74" t="s">
        <v>329</v>
      </c>
    </row>
  </sheetData>
  <mergeCells count="1">
    <mergeCell ref="D1:E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R74"/>
  <sheetViews>
    <sheetView topLeftCell="A40" workbookViewId="0">
      <selection activeCell="H13" sqref="H13"/>
    </sheetView>
  </sheetViews>
  <sheetFormatPr defaultRowHeight="15" x14ac:dyDescent="0.25"/>
  <cols>
    <col min="5" max="5" width="17.42578125" bestFit="1" customWidth="1"/>
    <col min="6" max="6" width="2.28515625" customWidth="1"/>
    <col min="17" max="17" width="9.140625" style="120"/>
    <col min="18" max="18" width="17.42578125" bestFit="1" customWidth="1"/>
  </cols>
  <sheetData>
    <row r="2" spans="1:18" x14ac:dyDescent="0.25">
      <c r="A2">
        <v>0</v>
      </c>
      <c r="B2" t="str">
        <f>CONCATENATE("0x",DEC2HEX(A2,4))</f>
        <v>0x0000</v>
      </c>
      <c r="C2" t="s">
        <v>123</v>
      </c>
      <c r="D2" t="s">
        <v>0</v>
      </c>
      <c r="E2" t="s">
        <v>228</v>
      </c>
      <c r="O2" s="120" t="str">
        <f>C2</f>
        <v>Start</v>
      </c>
      <c r="P2" s="120" t="str">
        <f>C3</f>
        <v>End</v>
      </c>
      <c r="Q2" s="120" t="s">
        <v>387</v>
      </c>
      <c r="R2" s="120" t="s">
        <v>396</v>
      </c>
    </row>
    <row r="3" spans="1:18" x14ac:dyDescent="0.25">
      <c r="A3">
        <v>15</v>
      </c>
      <c r="B3" t="str">
        <f t="shared" ref="B3:B67" si="0">CONCATENATE("0x",DEC2HEX(A3,4))</f>
        <v>0x000F</v>
      </c>
      <c r="C3" t="s">
        <v>36</v>
      </c>
      <c r="D3" t="s">
        <v>0</v>
      </c>
      <c r="O3" t="str">
        <f>B2</f>
        <v>0x0000</v>
      </c>
      <c r="P3" t="str">
        <f>B3</f>
        <v>0x000F</v>
      </c>
      <c r="Q3" s="120">
        <f>A3-A2+1</f>
        <v>16</v>
      </c>
      <c r="R3" t="str">
        <f>E2</f>
        <v>Common registers</v>
      </c>
    </row>
    <row r="4" spans="1:18" x14ac:dyDescent="0.25">
      <c r="A4">
        <v>16</v>
      </c>
      <c r="B4" t="str">
        <f>CONCATENATE("0x",DEC2HEX(A4,4))</f>
        <v>0x0010</v>
      </c>
      <c r="C4" t="s">
        <v>123</v>
      </c>
      <c r="D4" t="s">
        <v>0</v>
      </c>
      <c r="E4" t="s">
        <v>229</v>
      </c>
      <c r="O4" t="str">
        <f>B4</f>
        <v>0x0010</v>
      </c>
      <c r="P4" t="str">
        <f>B5</f>
        <v>0x001F</v>
      </c>
      <c r="Q4" s="120">
        <f>A5-A4+1</f>
        <v>16</v>
      </c>
      <c r="R4" t="str">
        <f>E4</f>
        <v>Bus1 Registers</v>
      </c>
    </row>
    <row r="5" spans="1:18" x14ac:dyDescent="0.25">
      <c r="A5">
        <v>31</v>
      </c>
      <c r="B5" t="str">
        <f>CONCATENATE("0x",DEC2HEX(A5,4))</f>
        <v>0x001F</v>
      </c>
      <c r="C5" t="s">
        <v>36</v>
      </c>
      <c r="D5" t="s">
        <v>0</v>
      </c>
      <c r="O5" t="str">
        <f>B6</f>
        <v>0x0020</v>
      </c>
      <c r="P5" t="str">
        <f>B7</f>
        <v>0x002F</v>
      </c>
      <c r="Q5" s="120">
        <f>A7-A6+1</f>
        <v>16</v>
      </c>
      <c r="R5" t="str">
        <f>E6</f>
        <v>Bus2 Registers</v>
      </c>
    </row>
    <row r="6" spans="1:18" x14ac:dyDescent="0.25">
      <c r="A6">
        <v>32</v>
      </c>
      <c r="B6" t="str">
        <f t="shared" si="0"/>
        <v>0x0020</v>
      </c>
      <c r="C6" t="s">
        <v>123</v>
      </c>
      <c r="D6" t="s">
        <v>0</v>
      </c>
      <c r="E6" t="s">
        <v>230</v>
      </c>
      <c r="O6" t="str">
        <f>B8</f>
        <v>0x0030</v>
      </c>
      <c r="P6" t="str">
        <f>B9</f>
        <v>0x003F</v>
      </c>
      <c r="Q6" s="120">
        <f>A9-A8+1</f>
        <v>16</v>
      </c>
      <c r="R6" t="str">
        <f>E8</f>
        <v>Common registers</v>
      </c>
    </row>
    <row r="7" spans="1:18" x14ac:dyDescent="0.25">
      <c r="A7">
        <v>47</v>
      </c>
      <c r="B7" t="str">
        <f t="shared" si="0"/>
        <v>0x002F</v>
      </c>
      <c r="C7" t="s">
        <v>36</v>
      </c>
      <c r="D7" t="s">
        <v>0</v>
      </c>
      <c r="O7" t="s">
        <v>388</v>
      </c>
      <c r="P7" t="s">
        <v>389</v>
      </c>
      <c r="Q7" s="120">
        <f>A11-A9-1</f>
        <v>960</v>
      </c>
      <c r="R7" t="s">
        <v>219</v>
      </c>
    </row>
    <row r="8" spans="1:18" x14ac:dyDescent="0.25">
      <c r="A8">
        <v>48</v>
      </c>
      <c r="B8" t="str">
        <f t="shared" si="0"/>
        <v>0x0030</v>
      </c>
      <c r="C8" t="s">
        <v>123</v>
      </c>
      <c r="D8" t="s">
        <v>0</v>
      </c>
      <c r="E8" t="s">
        <v>228</v>
      </c>
      <c r="O8" t="s">
        <v>390</v>
      </c>
      <c r="P8" t="s">
        <v>394</v>
      </c>
      <c r="Q8" s="120">
        <v>1024</v>
      </c>
      <c r="R8" t="s">
        <v>391</v>
      </c>
    </row>
    <row r="9" spans="1:18" x14ac:dyDescent="0.25">
      <c r="A9">
        <v>63</v>
      </c>
      <c r="B9" t="str">
        <f t="shared" si="0"/>
        <v>0x003F</v>
      </c>
      <c r="C9" t="s">
        <v>36</v>
      </c>
      <c r="D9" t="s">
        <v>0</v>
      </c>
      <c r="O9" t="s">
        <v>392</v>
      </c>
      <c r="P9" t="s">
        <v>395</v>
      </c>
      <c r="Q9" s="120">
        <v>1024</v>
      </c>
      <c r="R9" t="s">
        <v>393</v>
      </c>
    </row>
    <row r="11" spans="1:18" x14ac:dyDescent="0.25">
      <c r="A11">
        <v>1024</v>
      </c>
      <c r="B11" t="str">
        <f t="shared" si="0"/>
        <v>0x0400</v>
      </c>
      <c r="C11" t="s">
        <v>123</v>
      </c>
      <c r="D11" t="s">
        <v>156</v>
      </c>
      <c r="E11" t="s">
        <v>124</v>
      </c>
      <c r="G11">
        <f>A74+1</f>
        <v>2048</v>
      </c>
      <c r="H11" t="str">
        <f t="shared" ref="H11:H42" si="1">CONCATENATE("0x",DEC2HEX(G11,4))</f>
        <v>0x0800</v>
      </c>
      <c r="I11" t="s">
        <v>123</v>
      </c>
      <c r="J11" t="s">
        <v>157</v>
      </c>
      <c r="K11" t="s">
        <v>158</v>
      </c>
    </row>
    <row r="12" spans="1:18" x14ac:dyDescent="0.25">
      <c r="A12">
        <f>A11+31</f>
        <v>1055</v>
      </c>
      <c r="B12" t="str">
        <f t="shared" si="0"/>
        <v>0x041F</v>
      </c>
      <c r="C12" t="s">
        <v>36</v>
      </c>
      <c r="D12" t="s">
        <v>156</v>
      </c>
      <c r="G12">
        <f>G11+31</f>
        <v>2079</v>
      </c>
      <c r="H12" t="str">
        <f t="shared" si="1"/>
        <v>0x081F</v>
      </c>
      <c r="I12" t="s">
        <v>36</v>
      </c>
      <c r="J12" t="s">
        <v>157</v>
      </c>
    </row>
    <row r="13" spans="1:18" x14ac:dyDescent="0.25">
      <c r="A13">
        <f>A12+1</f>
        <v>1056</v>
      </c>
      <c r="B13" t="str">
        <f t="shared" si="0"/>
        <v>0x0420</v>
      </c>
      <c r="C13" t="s">
        <v>123</v>
      </c>
      <c r="D13" t="s">
        <v>156</v>
      </c>
      <c r="E13" t="s">
        <v>125</v>
      </c>
      <c r="G13">
        <f>G12+1</f>
        <v>2080</v>
      </c>
      <c r="H13" t="str">
        <f t="shared" si="1"/>
        <v>0x0820</v>
      </c>
      <c r="I13" t="s">
        <v>123</v>
      </c>
      <c r="J13" t="s">
        <v>157</v>
      </c>
      <c r="K13" t="s">
        <v>125</v>
      </c>
    </row>
    <row r="14" spans="1:18" x14ac:dyDescent="0.25">
      <c r="A14">
        <f>A13+31</f>
        <v>1087</v>
      </c>
      <c r="B14" t="str">
        <f t="shared" si="0"/>
        <v>0x043F</v>
      </c>
      <c r="C14" t="s">
        <v>36</v>
      </c>
      <c r="D14" t="s">
        <v>156</v>
      </c>
      <c r="G14">
        <f>G13+31</f>
        <v>2111</v>
      </c>
      <c r="H14" t="str">
        <f t="shared" si="1"/>
        <v>0x083F</v>
      </c>
      <c r="I14" t="s">
        <v>36</v>
      </c>
      <c r="J14" t="s">
        <v>157</v>
      </c>
    </row>
    <row r="15" spans="1:18" x14ac:dyDescent="0.25">
      <c r="A15">
        <f>A14+1</f>
        <v>1088</v>
      </c>
      <c r="B15" t="str">
        <f t="shared" si="0"/>
        <v>0x0440</v>
      </c>
      <c r="C15" t="s">
        <v>123</v>
      </c>
      <c r="D15" t="s">
        <v>156</v>
      </c>
      <c r="E15" t="s">
        <v>127</v>
      </c>
      <c r="G15">
        <f>G14+1</f>
        <v>2112</v>
      </c>
      <c r="H15" t="str">
        <f t="shared" si="1"/>
        <v>0x0840</v>
      </c>
      <c r="I15" t="s">
        <v>123</v>
      </c>
      <c r="J15" t="s">
        <v>157</v>
      </c>
      <c r="K15" t="s">
        <v>127</v>
      </c>
    </row>
    <row r="16" spans="1:18" x14ac:dyDescent="0.25">
      <c r="A16">
        <f>A15+31</f>
        <v>1119</v>
      </c>
      <c r="B16" t="str">
        <f t="shared" si="0"/>
        <v>0x045F</v>
      </c>
      <c r="C16" t="s">
        <v>36</v>
      </c>
      <c r="D16" t="s">
        <v>156</v>
      </c>
      <c r="G16">
        <f>G15+31</f>
        <v>2143</v>
      </c>
      <c r="H16" t="str">
        <f t="shared" si="1"/>
        <v>0x085F</v>
      </c>
      <c r="I16" t="s">
        <v>36</v>
      </c>
      <c r="J16" t="s">
        <v>157</v>
      </c>
    </row>
    <row r="17" spans="1:11" x14ac:dyDescent="0.25">
      <c r="A17">
        <f>A16+1</f>
        <v>1120</v>
      </c>
      <c r="B17" t="str">
        <f t="shared" si="0"/>
        <v>0x0460</v>
      </c>
      <c r="C17" t="s">
        <v>123</v>
      </c>
      <c r="D17" t="s">
        <v>156</v>
      </c>
      <c r="E17" t="s">
        <v>128</v>
      </c>
      <c r="G17">
        <f>G16+1</f>
        <v>2144</v>
      </c>
      <c r="H17" t="str">
        <f t="shared" si="1"/>
        <v>0x0860</v>
      </c>
      <c r="I17" t="s">
        <v>123</v>
      </c>
      <c r="J17" t="s">
        <v>157</v>
      </c>
      <c r="K17" t="s">
        <v>128</v>
      </c>
    </row>
    <row r="18" spans="1:11" x14ac:dyDescent="0.25">
      <c r="A18">
        <f>A17+31</f>
        <v>1151</v>
      </c>
      <c r="B18" t="str">
        <f t="shared" si="0"/>
        <v>0x047F</v>
      </c>
      <c r="C18" t="s">
        <v>36</v>
      </c>
      <c r="D18" t="s">
        <v>156</v>
      </c>
      <c r="G18">
        <f>G17+31</f>
        <v>2175</v>
      </c>
      <c r="H18" t="str">
        <f t="shared" si="1"/>
        <v>0x087F</v>
      </c>
      <c r="I18" t="s">
        <v>36</v>
      </c>
      <c r="J18" t="s">
        <v>157</v>
      </c>
    </row>
    <row r="19" spans="1:11" x14ac:dyDescent="0.25">
      <c r="A19">
        <f>A18+1</f>
        <v>1152</v>
      </c>
      <c r="B19" t="str">
        <f t="shared" si="0"/>
        <v>0x0480</v>
      </c>
      <c r="C19" t="s">
        <v>123</v>
      </c>
      <c r="D19" t="s">
        <v>156</v>
      </c>
      <c r="E19" t="s">
        <v>129</v>
      </c>
      <c r="G19">
        <f>G18+1</f>
        <v>2176</v>
      </c>
      <c r="H19" t="str">
        <f t="shared" si="1"/>
        <v>0x0880</v>
      </c>
      <c r="I19" t="s">
        <v>123</v>
      </c>
      <c r="J19" t="s">
        <v>157</v>
      </c>
      <c r="K19" t="s">
        <v>129</v>
      </c>
    </row>
    <row r="20" spans="1:11" x14ac:dyDescent="0.25">
      <c r="A20">
        <f>A19+31</f>
        <v>1183</v>
      </c>
      <c r="B20" t="str">
        <f t="shared" si="0"/>
        <v>0x049F</v>
      </c>
      <c r="C20" t="s">
        <v>36</v>
      </c>
      <c r="D20" t="s">
        <v>156</v>
      </c>
      <c r="G20">
        <f>G19+31</f>
        <v>2207</v>
      </c>
      <c r="H20" t="str">
        <f t="shared" si="1"/>
        <v>0x089F</v>
      </c>
      <c r="I20" t="s">
        <v>36</v>
      </c>
      <c r="J20" t="s">
        <v>157</v>
      </c>
    </row>
    <row r="21" spans="1:11" x14ac:dyDescent="0.25">
      <c r="A21">
        <f>A20+1</f>
        <v>1184</v>
      </c>
      <c r="B21" t="str">
        <f t="shared" si="0"/>
        <v>0x04A0</v>
      </c>
      <c r="C21" t="s">
        <v>123</v>
      </c>
      <c r="D21" t="s">
        <v>156</v>
      </c>
      <c r="E21" t="s">
        <v>130</v>
      </c>
      <c r="G21">
        <f>G20+1</f>
        <v>2208</v>
      </c>
      <c r="H21" t="str">
        <f t="shared" si="1"/>
        <v>0x08A0</v>
      </c>
      <c r="I21" t="s">
        <v>123</v>
      </c>
      <c r="J21" t="s">
        <v>157</v>
      </c>
      <c r="K21" t="s">
        <v>130</v>
      </c>
    </row>
    <row r="22" spans="1:11" x14ac:dyDescent="0.25">
      <c r="A22">
        <f>A21+31</f>
        <v>1215</v>
      </c>
      <c r="B22" t="str">
        <f t="shared" si="0"/>
        <v>0x04BF</v>
      </c>
      <c r="C22" t="s">
        <v>36</v>
      </c>
      <c r="D22" t="s">
        <v>156</v>
      </c>
      <c r="G22">
        <f>G21+31</f>
        <v>2239</v>
      </c>
      <c r="H22" t="str">
        <f t="shared" si="1"/>
        <v>0x08BF</v>
      </c>
      <c r="I22" t="s">
        <v>36</v>
      </c>
      <c r="J22" t="s">
        <v>157</v>
      </c>
    </row>
    <row r="23" spans="1:11" x14ac:dyDescent="0.25">
      <c r="A23">
        <f>A22+1</f>
        <v>1216</v>
      </c>
      <c r="B23" t="str">
        <f t="shared" si="0"/>
        <v>0x04C0</v>
      </c>
      <c r="C23" t="s">
        <v>123</v>
      </c>
      <c r="D23" t="s">
        <v>156</v>
      </c>
      <c r="E23" t="s">
        <v>131</v>
      </c>
      <c r="G23">
        <f>G22+1</f>
        <v>2240</v>
      </c>
      <c r="H23" t="str">
        <f t="shared" si="1"/>
        <v>0x08C0</v>
      </c>
      <c r="I23" t="s">
        <v>123</v>
      </c>
      <c r="J23" t="s">
        <v>157</v>
      </c>
      <c r="K23" t="s">
        <v>131</v>
      </c>
    </row>
    <row r="24" spans="1:11" x14ac:dyDescent="0.25">
      <c r="A24">
        <f>A23+31</f>
        <v>1247</v>
      </c>
      <c r="B24" t="str">
        <f t="shared" si="0"/>
        <v>0x04DF</v>
      </c>
      <c r="C24" t="s">
        <v>36</v>
      </c>
      <c r="D24" t="s">
        <v>156</v>
      </c>
      <c r="G24">
        <f>G23+31</f>
        <v>2271</v>
      </c>
      <c r="H24" t="str">
        <f t="shared" si="1"/>
        <v>0x08DF</v>
      </c>
      <c r="I24" t="s">
        <v>36</v>
      </c>
      <c r="J24" t="s">
        <v>157</v>
      </c>
    </row>
    <row r="25" spans="1:11" x14ac:dyDescent="0.25">
      <c r="A25">
        <f>A24+1</f>
        <v>1248</v>
      </c>
      <c r="B25" t="str">
        <f t="shared" si="0"/>
        <v>0x04E0</v>
      </c>
      <c r="C25" t="s">
        <v>123</v>
      </c>
      <c r="D25" t="s">
        <v>156</v>
      </c>
      <c r="E25" t="s">
        <v>132</v>
      </c>
      <c r="G25">
        <f>G24+1</f>
        <v>2272</v>
      </c>
      <c r="H25" t="str">
        <f t="shared" si="1"/>
        <v>0x08E0</v>
      </c>
      <c r="I25" t="s">
        <v>123</v>
      </c>
      <c r="J25" t="s">
        <v>157</v>
      </c>
      <c r="K25" t="s">
        <v>132</v>
      </c>
    </row>
    <row r="26" spans="1:11" x14ac:dyDescent="0.25">
      <c r="A26">
        <f>A25+31</f>
        <v>1279</v>
      </c>
      <c r="B26" t="str">
        <f t="shared" si="0"/>
        <v>0x04FF</v>
      </c>
      <c r="C26" t="s">
        <v>36</v>
      </c>
      <c r="D26" t="s">
        <v>156</v>
      </c>
      <c r="G26">
        <f>G25+31</f>
        <v>2303</v>
      </c>
      <c r="H26" t="str">
        <f t="shared" si="1"/>
        <v>0x08FF</v>
      </c>
      <c r="I26" t="s">
        <v>36</v>
      </c>
      <c r="J26" t="s">
        <v>157</v>
      </c>
    </row>
    <row r="27" spans="1:11" x14ac:dyDescent="0.25">
      <c r="A27">
        <f>A26+1</f>
        <v>1280</v>
      </c>
      <c r="B27" t="str">
        <f t="shared" si="0"/>
        <v>0x0500</v>
      </c>
      <c r="C27" t="s">
        <v>123</v>
      </c>
      <c r="D27" t="s">
        <v>156</v>
      </c>
      <c r="E27" t="s">
        <v>133</v>
      </c>
      <c r="G27">
        <f>G26+1</f>
        <v>2304</v>
      </c>
      <c r="H27" t="str">
        <f t="shared" si="1"/>
        <v>0x0900</v>
      </c>
      <c r="I27" t="s">
        <v>123</v>
      </c>
      <c r="J27" t="s">
        <v>157</v>
      </c>
      <c r="K27" t="s">
        <v>133</v>
      </c>
    </row>
    <row r="28" spans="1:11" x14ac:dyDescent="0.25">
      <c r="A28">
        <f>A27+31</f>
        <v>1311</v>
      </c>
      <c r="B28" t="str">
        <f t="shared" si="0"/>
        <v>0x051F</v>
      </c>
      <c r="C28" t="s">
        <v>36</v>
      </c>
      <c r="D28" t="s">
        <v>156</v>
      </c>
      <c r="G28">
        <f>G27+31</f>
        <v>2335</v>
      </c>
      <c r="H28" t="str">
        <f t="shared" si="1"/>
        <v>0x091F</v>
      </c>
      <c r="I28" t="s">
        <v>36</v>
      </c>
      <c r="J28" t="s">
        <v>157</v>
      </c>
    </row>
    <row r="29" spans="1:11" x14ac:dyDescent="0.25">
      <c r="A29">
        <f>A28+1</f>
        <v>1312</v>
      </c>
      <c r="B29" t="str">
        <f t="shared" si="0"/>
        <v>0x0520</v>
      </c>
      <c r="C29" t="s">
        <v>123</v>
      </c>
      <c r="D29" t="s">
        <v>156</v>
      </c>
      <c r="E29" t="s">
        <v>134</v>
      </c>
      <c r="G29">
        <f>G28+1</f>
        <v>2336</v>
      </c>
      <c r="H29" t="str">
        <f t="shared" si="1"/>
        <v>0x0920</v>
      </c>
      <c r="I29" t="s">
        <v>123</v>
      </c>
      <c r="J29" t="s">
        <v>157</v>
      </c>
      <c r="K29" t="s">
        <v>134</v>
      </c>
    </row>
    <row r="30" spans="1:11" x14ac:dyDescent="0.25">
      <c r="A30">
        <f>A29+31</f>
        <v>1343</v>
      </c>
      <c r="B30" t="str">
        <f t="shared" si="0"/>
        <v>0x053F</v>
      </c>
      <c r="C30" t="s">
        <v>36</v>
      </c>
      <c r="D30" t="s">
        <v>156</v>
      </c>
      <c r="G30">
        <f>G29+31</f>
        <v>2367</v>
      </c>
      <c r="H30" t="str">
        <f t="shared" si="1"/>
        <v>0x093F</v>
      </c>
      <c r="I30" t="s">
        <v>36</v>
      </c>
      <c r="J30" t="s">
        <v>157</v>
      </c>
    </row>
    <row r="31" spans="1:11" x14ac:dyDescent="0.25">
      <c r="A31">
        <f>A30+1</f>
        <v>1344</v>
      </c>
      <c r="B31" t="str">
        <f t="shared" si="0"/>
        <v>0x0540</v>
      </c>
      <c r="C31" t="s">
        <v>123</v>
      </c>
      <c r="D31" t="s">
        <v>156</v>
      </c>
      <c r="E31" t="s">
        <v>135</v>
      </c>
      <c r="G31">
        <f>G30+1</f>
        <v>2368</v>
      </c>
      <c r="H31" t="str">
        <f t="shared" si="1"/>
        <v>0x0940</v>
      </c>
      <c r="I31" t="s">
        <v>123</v>
      </c>
      <c r="J31" t="s">
        <v>157</v>
      </c>
      <c r="K31" t="s">
        <v>135</v>
      </c>
    </row>
    <row r="32" spans="1:11" x14ac:dyDescent="0.25">
      <c r="A32">
        <f>A31+31</f>
        <v>1375</v>
      </c>
      <c r="B32" t="str">
        <f t="shared" si="0"/>
        <v>0x055F</v>
      </c>
      <c r="C32" t="s">
        <v>36</v>
      </c>
      <c r="D32" t="s">
        <v>156</v>
      </c>
      <c r="G32">
        <f>G31+31</f>
        <v>2399</v>
      </c>
      <c r="H32" t="str">
        <f t="shared" si="1"/>
        <v>0x095F</v>
      </c>
      <c r="I32" t="s">
        <v>36</v>
      </c>
      <c r="J32" t="s">
        <v>157</v>
      </c>
    </row>
    <row r="33" spans="1:11" x14ac:dyDescent="0.25">
      <c r="A33">
        <f>A32+1</f>
        <v>1376</v>
      </c>
      <c r="B33" t="str">
        <f t="shared" si="0"/>
        <v>0x0560</v>
      </c>
      <c r="C33" t="s">
        <v>123</v>
      </c>
      <c r="D33" t="s">
        <v>156</v>
      </c>
      <c r="E33" t="s">
        <v>136</v>
      </c>
      <c r="G33">
        <f>G32+1</f>
        <v>2400</v>
      </c>
      <c r="H33" t="str">
        <f t="shared" si="1"/>
        <v>0x0960</v>
      </c>
      <c r="I33" t="s">
        <v>123</v>
      </c>
      <c r="J33" t="s">
        <v>157</v>
      </c>
      <c r="K33" t="s">
        <v>136</v>
      </c>
    </row>
    <row r="34" spans="1:11" x14ac:dyDescent="0.25">
      <c r="A34">
        <f>A33+31</f>
        <v>1407</v>
      </c>
      <c r="B34" t="str">
        <f t="shared" si="0"/>
        <v>0x057F</v>
      </c>
      <c r="C34" t="s">
        <v>36</v>
      </c>
      <c r="D34" t="s">
        <v>156</v>
      </c>
      <c r="G34">
        <f>G33+31</f>
        <v>2431</v>
      </c>
      <c r="H34" t="str">
        <f t="shared" si="1"/>
        <v>0x097F</v>
      </c>
      <c r="I34" t="s">
        <v>36</v>
      </c>
      <c r="J34" t="s">
        <v>157</v>
      </c>
    </row>
    <row r="35" spans="1:11" x14ac:dyDescent="0.25">
      <c r="A35">
        <f>A34+1</f>
        <v>1408</v>
      </c>
      <c r="B35" t="str">
        <f t="shared" si="0"/>
        <v>0x0580</v>
      </c>
      <c r="C35" t="s">
        <v>123</v>
      </c>
      <c r="D35" t="s">
        <v>156</v>
      </c>
      <c r="E35" t="s">
        <v>137</v>
      </c>
      <c r="G35">
        <f>G34+1</f>
        <v>2432</v>
      </c>
      <c r="H35" t="str">
        <f t="shared" si="1"/>
        <v>0x0980</v>
      </c>
      <c r="I35" t="s">
        <v>123</v>
      </c>
      <c r="J35" t="s">
        <v>157</v>
      </c>
      <c r="K35" t="s">
        <v>137</v>
      </c>
    </row>
    <row r="36" spans="1:11" x14ac:dyDescent="0.25">
      <c r="A36">
        <f>A35+31</f>
        <v>1439</v>
      </c>
      <c r="B36" t="str">
        <f t="shared" si="0"/>
        <v>0x059F</v>
      </c>
      <c r="C36" t="s">
        <v>36</v>
      </c>
      <c r="D36" t="s">
        <v>156</v>
      </c>
      <c r="G36">
        <f>G35+31</f>
        <v>2463</v>
      </c>
      <c r="H36" t="str">
        <f t="shared" si="1"/>
        <v>0x099F</v>
      </c>
      <c r="I36" t="s">
        <v>36</v>
      </c>
      <c r="J36" t="s">
        <v>157</v>
      </c>
    </row>
    <row r="37" spans="1:11" x14ac:dyDescent="0.25">
      <c r="A37">
        <f>A36+1</f>
        <v>1440</v>
      </c>
      <c r="B37" t="str">
        <f t="shared" si="0"/>
        <v>0x05A0</v>
      </c>
      <c r="C37" t="s">
        <v>123</v>
      </c>
      <c r="D37" t="s">
        <v>156</v>
      </c>
      <c r="E37" t="s">
        <v>138</v>
      </c>
      <c r="G37">
        <f>G36+1</f>
        <v>2464</v>
      </c>
      <c r="H37" t="str">
        <f t="shared" si="1"/>
        <v>0x09A0</v>
      </c>
      <c r="I37" t="s">
        <v>123</v>
      </c>
      <c r="J37" t="s">
        <v>157</v>
      </c>
      <c r="K37" t="s">
        <v>138</v>
      </c>
    </row>
    <row r="38" spans="1:11" x14ac:dyDescent="0.25">
      <c r="A38">
        <f>A37+31</f>
        <v>1471</v>
      </c>
      <c r="B38" t="str">
        <f t="shared" si="0"/>
        <v>0x05BF</v>
      </c>
      <c r="C38" t="s">
        <v>36</v>
      </c>
      <c r="D38" t="s">
        <v>156</v>
      </c>
      <c r="G38">
        <f>G37+31</f>
        <v>2495</v>
      </c>
      <c r="H38" t="str">
        <f t="shared" si="1"/>
        <v>0x09BF</v>
      </c>
      <c r="I38" t="s">
        <v>36</v>
      </c>
      <c r="J38" t="s">
        <v>157</v>
      </c>
    </row>
    <row r="39" spans="1:11" x14ac:dyDescent="0.25">
      <c r="A39">
        <f>A38+1</f>
        <v>1472</v>
      </c>
      <c r="B39" t="str">
        <f t="shared" si="0"/>
        <v>0x05C0</v>
      </c>
      <c r="C39" t="s">
        <v>123</v>
      </c>
      <c r="D39" t="s">
        <v>156</v>
      </c>
      <c r="E39" t="s">
        <v>139</v>
      </c>
      <c r="G39">
        <f>G38+1</f>
        <v>2496</v>
      </c>
      <c r="H39" t="str">
        <f t="shared" si="1"/>
        <v>0x09C0</v>
      </c>
      <c r="I39" t="s">
        <v>123</v>
      </c>
      <c r="J39" t="s">
        <v>157</v>
      </c>
      <c r="K39" t="s">
        <v>139</v>
      </c>
    </row>
    <row r="40" spans="1:11" x14ac:dyDescent="0.25">
      <c r="A40">
        <f>A39+31</f>
        <v>1503</v>
      </c>
      <c r="B40" t="str">
        <f t="shared" si="0"/>
        <v>0x05DF</v>
      </c>
      <c r="C40" t="s">
        <v>36</v>
      </c>
      <c r="D40" t="s">
        <v>156</v>
      </c>
      <c r="G40">
        <f>G39+31</f>
        <v>2527</v>
      </c>
      <c r="H40" t="str">
        <f t="shared" si="1"/>
        <v>0x09DF</v>
      </c>
      <c r="I40" t="s">
        <v>36</v>
      </c>
      <c r="J40" t="s">
        <v>157</v>
      </c>
    </row>
    <row r="41" spans="1:11" x14ac:dyDescent="0.25">
      <c r="A41">
        <f>A40+1</f>
        <v>1504</v>
      </c>
      <c r="B41" t="str">
        <f t="shared" si="0"/>
        <v>0x05E0</v>
      </c>
      <c r="C41" t="s">
        <v>123</v>
      </c>
      <c r="D41" t="s">
        <v>156</v>
      </c>
      <c r="E41" t="s">
        <v>140</v>
      </c>
      <c r="G41">
        <f>G40+1</f>
        <v>2528</v>
      </c>
      <c r="H41" t="str">
        <f t="shared" si="1"/>
        <v>0x09E0</v>
      </c>
      <c r="I41" t="s">
        <v>123</v>
      </c>
      <c r="J41" t="s">
        <v>157</v>
      </c>
      <c r="K41" t="s">
        <v>140</v>
      </c>
    </row>
    <row r="42" spans="1:11" x14ac:dyDescent="0.25">
      <c r="A42">
        <f>A41+31</f>
        <v>1535</v>
      </c>
      <c r="B42" t="str">
        <f t="shared" si="0"/>
        <v>0x05FF</v>
      </c>
      <c r="C42" t="s">
        <v>36</v>
      </c>
      <c r="D42" t="s">
        <v>156</v>
      </c>
      <c r="G42">
        <f>G41+31</f>
        <v>2559</v>
      </c>
      <c r="H42" t="str">
        <f t="shared" si="1"/>
        <v>0x09FF</v>
      </c>
      <c r="I42" t="s">
        <v>36</v>
      </c>
      <c r="J42" t="s">
        <v>157</v>
      </c>
    </row>
    <row r="43" spans="1:11" x14ac:dyDescent="0.25">
      <c r="A43">
        <f>A42+1</f>
        <v>1536</v>
      </c>
      <c r="B43" t="str">
        <f t="shared" si="0"/>
        <v>0x0600</v>
      </c>
      <c r="C43" t="s">
        <v>123</v>
      </c>
      <c r="D43" t="s">
        <v>156</v>
      </c>
      <c r="E43" t="s">
        <v>141</v>
      </c>
      <c r="G43">
        <f>G42+1</f>
        <v>2560</v>
      </c>
      <c r="H43" t="str">
        <f t="shared" ref="H43:H67" si="2">CONCATENATE("0x",DEC2HEX(G43,4))</f>
        <v>0x0A00</v>
      </c>
      <c r="I43" t="s">
        <v>123</v>
      </c>
      <c r="J43" t="s">
        <v>157</v>
      </c>
      <c r="K43" t="s">
        <v>141</v>
      </c>
    </row>
    <row r="44" spans="1:11" x14ac:dyDescent="0.25">
      <c r="A44">
        <f>A43+31</f>
        <v>1567</v>
      </c>
      <c r="B44" t="str">
        <f t="shared" si="0"/>
        <v>0x061F</v>
      </c>
      <c r="C44" t="s">
        <v>36</v>
      </c>
      <c r="D44" t="s">
        <v>156</v>
      </c>
      <c r="G44">
        <f>G43+31</f>
        <v>2591</v>
      </c>
      <c r="H44" t="str">
        <f t="shared" si="2"/>
        <v>0x0A1F</v>
      </c>
      <c r="I44" t="s">
        <v>36</v>
      </c>
      <c r="J44" t="s">
        <v>157</v>
      </c>
    </row>
    <row r="45" spans="1:11" x14ac:dyDescent="0.25">
      <c r="A45">
        <f>A44+1</f>
        <v>1568</v>
      </c>
      <c r="B45" t="str">
        <f t="shared" si="0"/>
        <v>0x0620</v>
      </c>
      <c r="C45" t="s">
        <v>123</v>
      </c>
      <c r="D45" t="s">
        <v>156</v>
      </c>
      <c r="E45" t="s">
        <v>142</v>
      </c>
      <c r="G45">
        <f>G44+1</f>
        <v>2592</v>
      </c>
      <c r="H45" t="str">
        <f t="shared" si="2"/>
        <v>0x0A20</v>
      </c>
      <c r="I45" t="s">
        <v>123</v>
      </c>
      <c r="J45" t="s">
        <v>157</v>
      </c>
      <c r="K45" t="s">
        <v>142</v>
      </c>
    </row>
    <row r="46" spans="1:11" x14ac:dyDescent="0.25">
      <c r="A46">
        <f>A45+31</f>
        <v>1599</v>
      </c>
      <c r="B46" t="str">
        <f t="shared" si="0"/>
        <v>0x063F</v>
      </c>
      <c r="C46" t="s">
        <v>36</v>
      </c>
      <c r="D46" t="s">
        <v>156</v>
      </c>
      <c r="G46">
        <f>G45+31</f>
        <v>2623</v>
      </c>
      <c r="H46" t="str">
        <f t="shared" si="2"/>
        <v>0x0A3F</v>
      </c>
      <c r="I46" t="s">
        <v>36</v>
      </c>
      <c r="J46" t="s">
        <v>157</v>
      </c>
    </row>
    <row r="47" spans="1:11" x14ac:dyDescent="0.25">
      <c r="A47">
        <f>A46+1</f>
        <v>1600</v>
      </c>
      <c r="B47" t="str">
        <f t="shared" si="0"/>
        <v>0x0640</v>
      </c>
      <c r="C47" t="s">
        <v>123</v>
      </c>
      <c r="D47" t="s">
        <v>156</v>
      </c>
      <c r="E47" t="s">
        <v>143</v>
      </c>
      <c r="G47">
        <f>G46+1</f>
        <v>2624</v>
      </c>
      <c r="H47" t="str">
        <f t="shared" si="2"/>
        <v>0x0A40</v>
      </c>
      <c r="I47" t="s">
        <v>123</v>
      </c>
      <c r="J47" t="s">
        <v>157</v>
      </c>
      <c r="K47" t="s">
        <v>143</v>
      </c>
    </row>
    <row r="48" spans="1:11" x14ac:dyDescent="0.25">
      <c r="A48">
        <f>A47+31</f>
        <v>1631</v>
      </c>
      <c r="B48" t="str">
        <f t="shared" si="0"/>
        <v>0x065F</v>
      </c>
      <c r="C48" t="s">
        <v>36</v>
      </c>
      <c r="D48" t="s">
        <v>156</v>
      </c>
      <c r="G48">
        <f>G47+31</f>
        <v>2655</v>
      </c>
      <c r="H48" t="str">
        <f t="shared" si="2"/>
        <v>0x0A5F</v>
      </c>
      <c r="I48" t="s">
        <v>36</v>
      </c>
      <c r="J48" t="s">
        <v>157</v>
      </c>
    </row>
    <row r="49" spans="1:11" x14ac:dyDescent="0.25">
      <c r="A49">
        <f>A48+1</f>
        <v>1632</v>
      </c>
      <c r="B49" t="str">
        <f t="shared" si="0"/>
        <v>0x0660</v>
      </c>
      <c r="C49" t="s">
        <v>123</v>
      </c>
      <c r="D49" t="s">
        <v>156</v>
      </c>
      <c r="E49" t="s">
        <v>144</v>
      </c>
      <c r="G49">
        <f>G48+1</f>
        <v>2656</v>
      </c>
      <c r="H49" t="str">
        <f t="shared" si="2"/>
        <v>0x0A60</v>
      </c>
      <c r="I49" t="s">
        <v>123</v>
      </c>
      <c r="J49" t="s">
        <v>157</v>
      </c>
      <c r="K49" t="s">
        <v>144</v>
      </c>
    </row>
    <row r="50" spans="1:11" x14ac:dyDescent="0.25">
      <c r="A50">
        <f>A49+31</f>
        <v>1663</v>
      </c>
      <c r="B50" t="str">
        <f t="shared" si="0"/>
        <v>0x067F</v>
      </c>
      <c r="C50" t="s">
        <v>36</v>
      </c>
      <c r="D50" t="s">
        <v>156</v>
      </c>
      <c r="G50">
        <f>G49+31</f>
        <v>2687</v>
      </c>
      <c r="H50" t="str">
        <f t="shared" si="2"/>
        <v>0x0A7F</v>
      </c>
      <c r="I50" t="s">
        <v>36</v>
      </c>
      <c r="J50" t="s">
        <v>157</v>
      </c>
    </row>
    <row r="51" spans="1:11" x14ac:dyDescent="0.25">
      <c r="A51">
        <f>A50+1</f>
        <v>1664</v>
      </c>
      <c r="B51" t="str">
        <f t="shared" si="0"/>
        <v>0x0680</v>
      </c>
      <c r="C51" t="s">
        <v>123</v>
      </c>
      <c r="D51" t="s">
        <v>156</v>
      </c>
      <c r="E51" t="s">
        <v>145</v>
      </c>
      <c r="G51">
        <f>G50+1</f>
        <v>2688</v>
      </c>
      <c r="H51" t="str">
        <f t="shared" si="2"/>
        <v>0x0A80</v>
      </c>
      <c r="I51" t="s">
        <v>123</v>
      </c>
      <c r="J51" t="s">
        <v>157</v>
      </c>
      <c r="K51" t="s">
        <v>145</v>
      </c>
    </row>
    <row r="52" spans="1:11" x14ac:dyDescent="0.25">
      <c r="A52">
        <f>A51+31</f>
        <v>1695</v>
      </c>
      <c r="B52" t="str">
        <f t="shared" si="0"/>
        <v>0x069F</v>
      </c>
      <c r="C52" t="s">
        <v>36</v>
      </c>
      <c r="D52" t="s">
        <v>156</v>
      </c>
      <c r="G52">
        <f>G51+31</f>
        <v>2719</v>
      </c>
      <c r="H52" t="str">
        <f t="shared" si="2"/>
        <v>0x0A9F</v>
      </c>
      <c r="I52" t="s">
        <v>36</v>
      </c>
      <c r="J52" t="s">
        <v>157</v>
      </c>
    </row>
    <row r="53" spans="1:11" x14ac:dyDescent="0.25">
      <c r="A53">
        <f>A52+1</f>
        <v>1696</v>
      </c>
      <c r="B53" t="str">
        <f t="shared" si="0"/>
        <v>0x06A0</v>
      </c>
      <c r="C53" t="s">
        <v>123</v>
      </c>
      <c r="D53" t="s">
        <v>156</v>
      </c>
      <c r="E53" t="s">
        <v>146</v>
      </c>
      <c r="G53">
        <f>G52+1</f>
        <v>2720</v>
      </c>
      <c r="H53" t="str">
        <f t="shared" si="2"/>
        <v>0x0AA0</v>
      </c>
      <c r="I53" t="s">
        <v>123</v>
      </c>
      <c r="J53" t="s">
        <v>157</v>
      </c>
      <c r="K53" t="s">
        <v>146</v>
      </c>
    </row>
    <row r="54" spans="1:11" x14ac:dyDescent="0.25">
      <c r="A54">
        <f>A53+31</f>
        <v>1727</v>
      </c>
      <c r="B54" t="str">
        <f t="shared" si="0"/>
        <v>0x06BF</v>
      </c>
      <c r="C54" t="s">
        <v>36</v>
      </c>
      <c r="D54" t="s">
        <v>156</v>
      </c>
      <c r="G54">
        <f>G53+31</f>
        <v>2751</v>
      </c>
      <c r="H54" t="str">
        <f t="shared" si="2"/>
        <v>0x0ABF</v>
      </c>
      <c r="I54" t="s">
        <v>36</v>
      </c>
      <c r="J54" t="s">
        <v>157</v>
      </c>
    </row>
    <row r="55" spans="1:11" x14ac:dyDescent="0.25">
      <c r="A55">
        <f>A54+1</f>
        <v>1728</v>
      </c>
      <c r="B55" t="str">
        <f t="shared" si="0"/>
        <v>0x06C0</v>
      </c>
      <c r="C55" t="s">
        <v>123</v>
      </c>
      <c r="D55" t="s">
        <v>156</v>
      </c>
      <c r="E55" t="s">
        <v>147</v>
      </c>
      <c r="G55">
        <f>G54+1</f>
        <v>2752</v>
      </c>
      <c r="H55" t="str">
        <f t="shared" si="2"/>
        <v>0x0AC0</v>
      </c>
      <c r="I55" t="s">
        <v>123</v>
      </c>
      <c r="J55" t="s">
        <v>157</v>
      </c>
      <c r="K55" t="s">
        <v>147</v>
      </c>
    </row>
    <row r="56" spans="1:11" x14ac:dyDescent="0.25">
      <c r="A56">
        <f>A55+31</f>
        <v>1759</v>
      </c>
      <c r="B56" t="str">
        <f t="shared" si="0"/>
        <v>0x06DF</v>
      </c>
      <c r="C56" t="s">
        <v>36</v>
      </c>
      <c r="D56" t="s">
        <v>156</v>
      </c>
      <c r="G56">
        <f>G55+31</f>
        <v>2783</v>
      </c>
      <c r="H56" t="str">
        <f t="shared" si="2"/>
        <v>0x0ADF</v>
      </c>
      <c r="I56" t="s">
        <v>36</v>
      </c>
      <c r="J56" t="s">
        <v>157</v>
      </c>
    </row>
    <row r="57" spans="1:11" x14ac:dyDescent="0.25">
      <c r="A57">
        <f>A56+1</f>
        <v>1760</v>
      </c>
      <c r="B57" t="str">
        <f t="shared" si="0"/>
        <v>0x06E0</v>
      </c>
      <c r="C57" t="s">
        <v>123</v>
      </c>
      <c r="D57" t="s">
        <v>156</v>
      </c>
      <c r="E57" t="s">
        <v>148</v>
      </c>
      <c r="G57">
        <f>G56+1</f>
        <v>2784</v>
      </c>
      <c r="H57" t="str">
        <f t="shared" si="2"/>
        <v>0x0AE0</v>
      </c>
      <c r="I57" t="s">
        <v>123</v>
      </c>
      <c r="J57" t="s">
        <v>157</v>
      </c>
      <c r="K57" t="s">
        <v>148</v>
      </c>
    </row>
    <row r="58" spans="1:11" x14ac:dyDescent="0.25">
      <c r="A58">
        <f>A57+31</f>
        <v>1791</v>
      </c>
      <c r="B58" t="str">
        <f t="shared" si="0"/>
        <v>0x06FF</v>
      </c>
      <c r="C58" t="s">
        <v>36</v>
      </c>
      <c r="D58" t="s">
        <v>156</v>
      </c>
      <c r="G58">
        <f>G57+31</f>
        <v>2815</v>
      </c>
      <c r="H58" t="str">
        <f t="shared" si="2"/>
        <v>0x0AFF</v>
      </c>
      <c r="I58" t="s">
        <v>36</v>
      </c>
      <c r="J58" t="s">
        <v>157</v>
      </c>
    </row>
    <row r="59" spans="1:11" x14ac:dyDescent="0.25">
      <c r="A59">
        <f>A58+1</f>
        <v>1792</v>
      </c>
      <c r="B59" t="str">
        <f t="shared" si="0"/>
        <v>0x0700</v>
      </c>
      <c r="C59" t="s">
        <v>123</v>
      </c>
      <c r="D59" t="s">
        <v>156</v>
      </c>
      <c r="E59" t="s">
        <v>149</v>
      </c>
      <c r="G59">
        <f>G58+1</f>
        <v>2816</v>
      </c>
      <c r="H59" t="str">
        <f t="shared" si="2"/>
        <v>0x0B00</v>
      </c>
      <c r="I59" t="s">
        <v>123</v>
      </c>
      <c r="J59" t="s">
        <v>157</v>
      </c>
      <c r="K59" t="s">
        <v>149</v>
      </c>
    </row>
    <row r="60" spans="1:11" x14ac:dyDescent="0.25">
      <c r="A60">
        <f>A59+31</f>
        <v>1823</v>
      </c>
      <c r="B60" t="str">
        <f t="shared" si="0"/>
        <v>0x071F</v>
      </c>
      <c r="C60" t="s">
        <v>36</v>
      </c>
      <c r="D60" t="s">
        <v>156</v>
      </c>
      <c r="G60">
        <f>G59+31</f>
        <v>2847</v>
      </c>
      <c r="H60" t="str">
        <f t="shared" si="2"/>
        <v>0x0B1F</v>
      </c>
      <c r="I60" t="s">
        <v>36</v>
      </c>
      <c r="J60" t="s">
        <v>157</v>
      </c>
    </row>
    <row r="61" spans="1:11" x14ac:dyDescent="0.25">
      <c r="A61">
        <f>A60+1</f>
        <v>1824</v>
      </c>
      <c r="B61" t="str">
        <f t="shared" si="0"/>
        <v>0x0720</v>
      </c>
      <c r="C61" t="s">
        <v>123</v>
      </c>
      <c r="D61" t="s">
        <v>156</v>
      </c>
      <c r="E61" t="s">
        <v>150</v>
      </c>
      <c r="G61">
        <f>G60+1</f>
        <v>2848</v>
      </c>
      <c r="H61" t="str">
        <f t="shared" si="2"/>
        <v>0x0B20</v>
      </c>
      <c r="I61" t="s">
        <v>123</v>
      </c>
      <c r="J61" t="s">
        <v>157</v>
      </c>
      <c r="K61" t="s">
        <v>150</v>
      </c>
    </row>
    <row r="62" spans="1:11" x14ac:dyDescent="0.25">
      <c r="A62">
        <f>A61+31</f>
        <v>1855</v>
      </c>
      <c r="B62" t="str">
        <f t="shared" si="0"/>
        <v>0x073F</v>
      </c>
      <c r="C62" t="s">
        <v>36</v>
      </c>
      <c r="D62" t="s">
        <v>156</v>
      </c>
      <c r="G62">
        <f>G61+31</f>
        <v>2879</v>
      </c>
      <c r="H62" t="str">
        <f t="shared" si="2"/>
        <v>0x0B3F</v>
      </c>
      <c r="I62" t="s">
        <v>36</v>
      </c>
      <c r="J62" t="s">
        <v>157</v>
      </c>
    </row>
    <row r="63" spans="1:11" x14ac:dyDescent="0.25">
      <c r="A63">
        <f>A62+1</f>
        <v>1856</v>
      </c>
      <c r="B63" t="str">
        <f t="shared" si="0"/>
        <v>0x0740</v>
      </c>
      <c r="C63" t="s">
        <v>123</v>
      </c>
      <c r="D63" t="s">
        <v>156</v>
      </c>
      <c r="E63" t="s">
        <v>151</v>
      </c>
      <c r="G63">
        <f>G62+1</f>
        <v>2880</v>
      </c>
      <c r="H63" t="str">
        <f t="shared" si="2"/>
        <v>0x0B40</v>
      </c>
      <c r="I63" t="s">
        <v>123</v>
      </c>
      <c r="J63" t="s">
        <v>157</v>
      </c>
      <c r="K63" t="s">
        <v>151</v>
      </c>
    </row>
    <row r="64" spans="1:11" x14ac:dyDescent="0.25">
      <c r="A64">
        <f>A63+31</f>
        <v>1887</v>
      </c>
      <c r="B64" t="str">
        <f t="shared" si="0"/>
        <v>0x075F</v>
      </c>
      <c r="C64" t="s">
        <v>36</v>
      </c>
      <c r="D64" t="s">
        <v>156</v>
      </c>
      <c r="G64">
        <f>G63+31</f>
        <v>2911</v>
      </c>
      <c r="H64" t="str">
        <f t="shared" si="2"/>
        <v>0x0B5F</v>
      </c>
      <c r="I64" t="s">
        <v>36</v>
      </c>
      <c r="J64" t="s">
        <v>157</v>
      </c>
    </row>
    <row r="65" spans="1:11" x14ac:dyDescent="0.25">
      <c r="A65">
        <f>A64+1</f>
        <v>1888</v>
      </c>
      <c r="B65" t="str">
        <f t="shared" si="0"/>
        <v>0x0760</v>
      </c>
      <c r="C65" t="s">
        <v>123</v>
      </c>
      <c r="D65" t="s">
        <v>156</v>
      </c>
      <c r="E65" t="s">
        <v>152</v>
      </c>
      <c r="G65">
        <f>G64+1</f>
        <v>2912</v>
      </c>
      <c r="H65" t="str">
        <f t="shared" si="2"/>
        <v>0x0B60</v>
      </c>
      <c r="I65" t="s">
        <v>123</v>
      </c>
      <c r="J65" t="s">
        <v>157</v>
      </c>
      <c r="K65" t="s">
        <v>152</v>
      </c>
    </row>
    <row r="66" spans="1:11" x14ac:dyDescent="0.25">
      <c r="A66">
        <f>A65+31</f>
        <v>1919</v>
      </c>
      <c r="B66" t="str">
        <f t="shared" si="0"/>
        <v>0x077F</v>
      </c>
      <c r="C66" t="s">
        <v>36</v>
      </c>
      <c r="D66" t="s">
        <v>156</v>
      </c>
      <c r="G66">
        <f>G65+31</f>
        <v>2943</v>
      </c>
      <c r="H66" t="str">
        <f t="shared" si="2"/>
        <v>0x0B7F</v>
      </c>
      <c r="I66" t="s">
        <v>36</v>
      </c>
      <c r="J66" t="s">
        <v>157</v>
      </c>
    </row>
    <row r="67" spans="1:11" x14ac:dyDescent="0.25">
      <c r="A67">
        <f>A66+1</f>
        <v>1920</v>
      </c>
      <c r="B67" t="str">
        <f t="shared" si="0"/>
        <v>0x0780</v>
      </c>
      <c r="C67" t="s">
        <v>123</v>
      </c>
      <c r="D67" t="s">
        <v>156</v>
      </c>
      <c r="E67" t="s">
        <v>153</v>
      </c>
      <c r="G67">
        <f>G66+1</f>
        <v>2944</v>
      </c>
      <c r="H67" t="str">
        <f t="shared" si="2"/>
        <v>0x0B80</v>
      </c>
      <c r="I67" t="s">
        <v>123</v>
      </c>
      <c r="J67" t="s">
        <v>157</v>
      </c>
      <c r="K67" t="s">
        <v>153</v>
      </c>
    </row>
    <row r="68" spans="1:11" x14ac:dyDescent="0.25">
      <c r="A68">
        <f>A67+31</f>
        <v>1951</v>
      </c>
      <c r="B68" t="str">
        <f t="shared" ref="B68:B74" si="3">CONCATENATE("0x",DEC2HEX(A68,4))</f>
        <v>0x079F</v>
      </c>
      <c r="C68" t="s">
        <v>36</v>
      </c>
      <c r="D68" t="s">
        <v>156</v>
      </c>
      <c r="G68">
        <f>G67+31</f>
        <v>2975</v>
      </c>
      <c r="H68" t="str">
        <f t="shared" ref="H68:H74" si="4">CONCATENATE("0x",DEC2HEX(G68,4))</f>
        <v>0x0B9F</v>
      </c>
      <c r="I68" t="s">
        <v>36</v>
      </c>
      <c r="J68" t="s">
        <v>157</v>
      </c>
    </row>
    <row r="69" spans="1:11" x14ac:dyDescent="0.25">
      <c r="A69">
        <f>A68+1</f>
        <v>1952</v>
      </c>
      <c r="B69" t="str">
        <f t="shared" si="3"/>
        <v>0x07A0</v>
      </c>
      <c r="C69" t="s">
        <v>123</v>
      </c>
      <c r="D69" t="s">
        <v>156</v>
      </c>
      <c r="E69" t="s">
        <v>154</v>
      </c>
      <c r="G69">
        <f>G68+1</f>
        <v>2976</v>
      </c>
      <c r="H69" t="str">
        <f t="shared" si="4"/>
        <v>0x0BA0</v>
      </c>
      <c r="I69" t="s">
        <v>123</v>
      </c>
      <c r="J69" t="s">
        <v>157</v>
      </c>
      <c r="K69" t="s">
        <v>154</v>
      </c>
    </row>
    <row r="70" spans="1:11" x14ac:dyDescent="0.25">
      <c r="A70">
        <f>A69+31</f>
        <v>1983</v>
      </c>
      <c r="B70" t="str">
        <f t="shared" si="3"/>
        <v>0x07BF</v>
      </c>
      <c r="C70" t="s">
        <v>36</v>
      </c>
      <c r="D70" t="s">
        <v>156</v>
      </c>
      <c r="G70">
        <f>G69+31</f>
        <v>3007</v>
      </c>
      <c r="H70" t="str">
        <f t="shared" si="4"/>
        <v>0x0BBF</v>
      </c>
      <c r="I70" t="s">
        <v>36</v>
      </c>
      <c r="J70" t="s">
        <v>157</v>
      </c>
    </row>
    <row r="71" spans="1:11" x14ac:dyDescent="0.25">
      <c r="A71">
        <f>A70+1</f>
        <v>1984</v>
      </c>
      <c r="B71" t="str">
        <f t="shared" si="3"/>
        <v>0x07C0</v>
      </c>
      <c r="C71" t="s">
        <v>123</v>
      </c>
      <c r="D71" t="s">
        <v>156</v>
      </c>
      <c r="E71" t="s">
        <v>155</v>
      </c>
      <c r="G71">
        <f>G70+1</f>
        <v>3008</v>
      </c>
      <c r="H71" t="str">
        <f t="shared" si="4"/>
        <v>0x0BC0</v>
      </c>
      <c r="I71" t="s">
        <v>123</v>
      </c>
      <c r="J71" t="s">
        <v>157</v>
      </c>
      <c r="K71" t="s">
        <v>155</v>
      </c>
    </row>
    <row r="72" spans="1:11" x14ac:dyDescent="0.25">
      <c r="A72">
        <f>A71+31</f>
        <v>2015</v>
      </c>
      <c r="B72" t="str">
        <f t="shared" si="3"/>
        <v>0x07DF</v>
      </c>
      <c r="C72" t="s">
        <v>36</v>
      </c>
      <c r="D72" t="s">
        <v>156</v>
      </c>
      <c r="G72">
        <f>G71+31</f>
        <v>3039</v>
      </c>
      <c r="H72" t="str">
        <f t="shared" si="4"/>
        <v>0x0BDF</v>
      </c>
      <c r="I72" t="s">
        <v>36</v>
      </c>
      <c r="J72" t="s">
        <v>157</v>
      </c>
    </row>
    <row r="73" spans="1:11" x14ac:dyDescent="0.25">
      <c r="A73">
        <f>A72+1</f>
        <v>2016</v>
      </c>
      <c r="B73" t="str">
        <f t="shared" si="3"/>
        <v>0x07E0</v>
      </c>
      <c r="C73" t="s">
        <v>123</v>
      </c>
      <c r="D73" t="s">
        <v>156</v>
      </c>
      <c r="E73" t="s">
        <v>126</v>
      </c>
      <c r="G73">
        <f>G72+1</f>
        <v>3040</v>
      </c>
      <c r="H73" t="str">
        <f t="shared" si="4"/>
        <v>0x0BE0</v>
      </c>
      <c r="I73" t="s">
        <v>123</v>
      </c>
      <c r="J73" t="s">
        <v>157</v>
      </c>
      <c r="K73" t="s">
        <v>126</v>
      </c>
    </row>
    <row r="74" spans="1:11" x14ac:dyDescent="0.25">
      <c r="A74">
        <f>A73+31</f>
        <v>2047</v>
      </c>
      <c r="B74" t="str">
        <f t="shared" si="3"/>
        <v>0x07FF</v>
      </c>
      <c r="C74" t="s">
        <v>36</v>
      </c>
      <c r="D74" t="s">
        <v>156</v>
      </c>
      <c r="G74">
        <f>G73+31</f>
        <v>3071</v>
      </c>
      <c r="H74" t="str">
        <f t="shared" si="4"/>
        <v>0x0BFF</v>
      </c>
      <c r="I74" t="s">
        <v>36</v>
      </c>
      <c r="J74" t="s">
        <v>157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8"/>
  <sheetViews>
    <sheetView topLeftCell="A31" workbookViewId="0">
      <selection activeCell="A68" sqref="A68"/>
    </sheetView>
  </sheetViews>
  <sheetFormatPr defaultRowHeight="15" x14ac:dyDescent="0.25"/>
  <cols>
    <col min="1" max="3" width="9.140625" style="144"/>
    <col min="4" max="4" width="13.140625" bestFit="1" customWidth="1"/>
  </cols>
  <sheetData>
    <row r="1" spans="1:4" ht="15.75" thickBot="1" x14ac:dyDescent="0.3">
      <c r="A1" s="299" t="s">
        <v>512</v>
      </c>
      <c r="B1" s="301"/>
      <c r="C1" s="301"/>
      <c r="D1" s="300"/>
    </row>
    <row r="2" spans="1:4" ht="15.75" thickBot="1" x14ac:dyDescent="0.3">
      <c r="A2" s="154" t="s">
        <v>123</v>
      </c>
      <c r="B2" s="155" t="s">
        <v>36</v>
      </c>
      <c r="C2" s="155" t="s">
        <v>387</v>
      </c>
      <c r="D2" s="156" t="s">
        <v>396</v>
      </c>
    </row>
    <row r="3" spans="1:4" x14ac:dyDescent="0.25">
      <c r="A3" s="151" t="str">
        <f>MemoryMap!B11</f>
        <v>0x0400</v>
      </c>
      <c r="B3" s="152" t="str">
        <f>MemoryMap!B12</f>
        <v>0x041F</v>
      </c>
      <c r="C3" s="152">
        <v>32</v>
      </c>
      <c r="D3" s="153" t="str">
        <f>MemoryMap!E11</f>
        <v>CmdProcRAM</v>
      </c>
    </row>
    <row r="4" spans="1:4" x14ac:dyDescent="0.25">
      <c r="A4" s="146" t="str">
        <f>MemoryMap!B13</f>
        <v>0x0420</v>
      </c>
      <c r="B4" s="145" t="str">
        <f>MemoryMap!B14</f>
        <v>0x043F</v>
      </c>
      <c r="C4" s="145">
        <v>32</v>
      </c>
      <c r="D4" s="147" t="str">
        <f>MemoryMap!E13</f>
        <v>SubAddr1</v>
      </c>
    </row>
    <row r="5" spans="1:4" x14ac:dyDescent="0.25">
      <c r="A5" s="146" t="str">
        <f>MemoryMap!B15</f>
        <v>0x0440</v>
      </c>
      <c r="B5" s="145" t="str">
        <f>MemoryMap!B16</f>
        <v>0x045F</v>
      </c>
      <c r="C5" s="145">
        <v>32</v>
      </c>
      <c r="D5" s="147" t="str">
        <f>MemoryMap!E15</f>
        <v>SubAddr2</v>
      </c>
    </row>
    <row r="6" spans="1:4" x14ac:dyDescent="0.25">
      <c r="A6" s="146" t="str">
        <f>MemoryMap!B17</f>
        <v>0x0460</v>
      </c>
      <c r="B6" s="145" t="str">
        <f>MemoryMap!B18</f>
        <v>0x047F</v>
      </c>
      <c r="C6" s="145">
        <v>32</v>
      </c>
      <c r="D6" s="147" t="str">
        <f>MemoryMap!E17</f>
        <v>SubAddr3</v>
      </c>
    </row>
    <row r="7" spans="1:4" x14ac:dyDescent="0.25">
      <c r="A7" s="146" t="str">
        <f>MemoryMap!B19</f>
        <v>0x0480</v>
      </c>
      <c r="B7" s="145" t="str">
        <f>MemoryMap!B20</f>
        <v>0x049F</v>
      </c>
      <c r="C7" s="145">
        <v>32</v>
      </c>
      <c r="D7" s="147" t="str">
        <f>MemoryMap!E19</f>
        <v>SubAddr4</v>
      </c>
    </row>
    <row r="8" spans="1:4" x14ac:dyDescent="0.25">
      <c r="A8" s="146" t="str">
        <f>MemoryMap!B21</f>
        <v>0x04A0</v>
      </c>
      <c r="B8" s="145" t="str">
        <f>MemoryMap!B22</f>
        <v>0x04BF</v>
      </c>
      <c r="C8" s="145">
        <v>32</v>
      </c>
      <c r="D8" s="147" t="str">
        <f>MemoryMap!E21</f>
        <v>SubAddr5</v>
      </c>
    </row>
    <row r="9" spans="1:4" x14ac:dyDescent="0.25">
      <c r="A9" s="146" t="str">
        <f>MemoryMap!B23</f>
        <v>0x04C0</v>
      </c>
      <c r="B9" s="145" t="str">
        <f>MemoryMap!B24</f>
        <v>0x04DF</v>
      </c>
      <c r="C9" s="145">
        <v>32</v>
      </c>
      <c r="D9" s="147" t="str">
        <f>MemoryMap!E23</f>
        <v>SubAddr6</v>
      </c>
    </row>
    <row r="10" spans="1:4" x14ac:dyDescent="0.25">
      <c r="A10" s="146" t="str">
        <f>MemoryMap!B25</f>
        <v>0x04E0</v>
      </c>
      <c r="B10" s="145" t="str">
        <f>MemoryMap!B26</f>
        <v>0x04FF</v>
      </c>
      <c r="C10" s="145">
        <v>32</v>
      </c>
      <c r="D10" s="147" t="str">
        <f>MemoryMap!E25</f>
        <v>SubAddr7</v>
      </c>
    </row>
    <row r="11" spans="1:4" x14ac:dyDescent="0.25">
      <c r="A11" s="146" t="str">
        <f>MemoryMap!B27</f>
        <v>0x0500</v>
      </c>
      <c r="B11" s="145" t="str">
        <f>MemoryMap!B28</f>
        <v>0x051F</v>
      </c>
      <c r="C11" s="145">
        <v>32</v>
      </c>
      <c r="D11" s="147" t="str">
        <f>MemoryMap!E27</f>
        <v>SubAddr8</v>
      </c>
    </row>
    <row r="12" spans="1:4" x14ac:dyDescent="0.25">
      <c r="A12" s="146" t="str">
        <f>MemoryMap!B29</f>
        <v>0x0520</v>
      </c>
      <c r="B12" s="145" t="str">
        <f>MemoryMap!B30</f>
        <v>0x053F</v>
      </c>
      <c r="C12" s="145">
        <v>32</v>
      </c>
      <c r="D12" s="147" t="str">
        <f>MemoryMap!E29</f>
        <v>SubAddr9</v>
      </c>
    </row>
    <row r="13" spans="1:4" x14ac:dyDescent="0.25">
      <c r="A13" s="146" t="str">
        <f>MemoryMap!B31</f>
        <v>0x0540</v>
      </c>
      <c r="B13" s="145" t="str">
        <f>MemoryMap!B32</f>
        <v>0x055F</v>
      </c>
      <c r="C13" s="145">
        <v>32</v>
      </c>
      <c r="D13" s="147" t="str">
        <f>MemoryMap!E31</f>
        <v>SubAddr10</v>
      </c>
    </row>
    <row r="14" spans="1:4" x14ac:dyDescent="0.25">
      <c r="A14" s="146" t="str">
        <f>MemoryMap!B33</f>
        <v>0x0560</v>
      </c>
      <c r="B14" s="145" t="str">
        <f>MemoryMap!B34</f>
        <v>0x057F</v>
      </c>
      <c r="C14" s="145">
        <v>32</v>
      </c>
      <c r="D14" s="147" t="str">
        <f>MemoryMap!E33</f>
        <v>SubAddr11</v>
      </c>
    </row>
    <row r="15" spans="1:4" x14ac:dyDescent="0.25">
      <c r="A15" s="146" t="str">
        <f>MemoryMap!B35</f>
        <v>0x0580</v>
      </c>
      <c r="B15" s="145" t="str">
        <f>MemoryMap!B36</f>
        <v>0x059F</v>
      </c>
      <c r="C15" s="145">
        <v>32</v>
      </c>
      <c r="D15" s="147" t="str">
        <f>MemoryMap!E35</f>
        <v>SubAddr12</v>
      </c>
    </row>
    <row r="16" spans="1:4" x14ac:dyDescent="0.25">
      <c r="A16" s="146" t="str">
        <f>MemoryMap!B37</f>
        <v>0x05A0</v>
      </c>
      <c r="B16" s="145" t="str">
        <f>MemoryMap!B38</f>
        <v>0x05BF</v>
      </c>
      <c r="C16" s="145">
        <v>32</v>
      </c>
      <c r="D16" s="147" t="str">
        <f>MemoryMap!E37</f>
        <v>SubAddr13</v>
      </c>
    </row>
    <row r="17" spans="1:4" x14ac:dyDescent="0.25">
      <c r="A17" s="146" t="str">
        <f>MemoryMap!B39</f>
        <v>0x05C0</v>
      </c>
      <c r="B17" s="145" t="str">
        <f>MemoryMap!B40</f>
        <v>0x05DF</v>
      </c>
      <c r="C17" s="145">
        <v>32</v>
      </c>
      <c r="D17" s="147" t="str">
        <f>MemoryMap!E39</f>
        <v>SubAddr14</v>
      </c>
    </row>
    <row r="18" spans="1:4" x14ac:dyDescent="0.25">
      <c r="A18" s="146" t="str">
        <f>MemoryMap!B41</f>
        <v>0x05E0</v>
      </c>
      <c r="B18" s="145" t="str">
        <f>MemoryMap!B42</f>
        <v>0x05FF</v>
      </c>
      <c r="C18" s="145">
        <v>32</v>
      </c>
      <c r="D18" s="147" t="str">
        <f>MemoryMap!E41</f>
        <v>SubAddr15</v>
      </c>
    </row>
    <row r="19" spans="1:4" x14ac:dyDescent="0.25">
      <c r="A19" s="146" t="str">
        <f>MemoryMap!B43</f>
        <v>0x0600</v>
      </c>
      <c r="B19" s="145" t="str">
        <f>MemoryMap!B44</f>
        <v>0x061F</v>
      </c>
      <c r="C19" s="145">
        <v>32</v>
      </c>
      <c r="D19" s="147" t="str">
        <f>MemoryMap!E43</f>
        <v>SubAddr16</v>
      </c>
    </row>
    <row r="20" spans="1:4" x14ac:dyDescent="0.25">
      <c r="A20" s="146" t="str">
        <f>MemoryMap!B45</f>
        <v>0x0620</v>
      </c>
      <c r="B20" s="145" t="str">
        <f>MemoryMap!B46</f>
        <v>0x063F</v>
      </c>
      <c r="C20" s="145">
        <v>32</v>
      </c>
      <c r="D20" s="147" t="str">
        <f>MemoryMap!E45</f>
        <v>SubAddr17</v>
      </c>
    </row>
    <row r="21" spans="1:4" x14ac:dyDescent="0.25">
      <c r="A21" s="146" t="str">
        <f>MemoryMap!B47</f>
        <v>0x0640</v>
      </c>
      <c r="B21" s="145" t="str">
        <f>MemoryMap!B48</f>
        <v>0x065F</v>
      </c>
      <c r="C21" s="145">
        <v>32</v>
      </c>
      <c r="D21" s="147" t="str">
        <f>MemoryMap!E47</f>
        <v>SubAddr18</v>
      </c>
    </row>
    <row r="22" spans="1:4" x14ac:dyDescent="0.25">
      <c r="A22" s="146" t="str">
        <f>MemoryMap!B49</f>
        <v>0x0660</v>
      </c>
      <c r="B22" s="145" t="str">
        <f>MemoryMap!B50</f>
        <v>0x067F</v>
      </c>
      <c r="C22" s="145">
        <v>32</v>
      </c>
      <c r="D22" s="147" t="str">
        <f>MemoryMap!E49</f>
        <v>SubAddr19</v>
      </c>
    </row>
    <row r="23" spans="1:4" x14ac:dyDescent="0.25">
      <c r="A23" s="146" t="str">
        <f>MemoryMap!B51</f>
        <v>0x0680</v>
      </c>
      <c r="B23" s="145" t="str">
        <f>MemoryMap!B52</f>
        <v>0x069F</v>
      </c>
      <c r="C23" s="145">
        <v>32</v>
      </c>
      <c r="D23" s="147" t="str">
        <f>MemoryMap!E51</f>
        <v>SubAddr20</v>
      </c>
    </row>
    <row r="24" spans="1:4" x14ac:dyDescent="0.25">
      <c r="A24" s="146" t="str">
        <f>MemoryMap!B53</f>
        <v>0x06A0</v>
      </c>
      <c r="B24" s="145" t="str">
        <f>MemoryMap!B54</f>
        <v>0x06BF</v>
      </c>
      <c r="C24" s="145">
        <v>32</v>
      </c>
      <c r="D24" s="147" t="str">
        <f>MemoryMap!E53</f>
        <v>SubAddr21</v>
      </c>
    </row>
    <row r="25" spans="1:4" x14ac:dyDescent="0.25">
      <c r="A25" s="146" t="str">
        <f>MemoryMap!B55</f>
        <v>0x06C0</v>
      </c>
      <c r="B25" s="145" t="str">
        <f>MemoryMap!B56</f>
        <v>0x06DF</v>
      </c>
      <c r="C25" s="145">
        <v>32</v>
      </c>
      <c r="D25" s="147" t="str">
        <f>MemoryMap!E55</f>
        <v>SubAddr22</v>
      </c>
    </row>
    <row r="26" spans="1:4" x14ac:dyDescent="0.25">
      <c r="A26" s="146" t="str">
        <f>MemoryMap!B57</f>
        <v>0x06E0</v>
      </c>
      <c r="B26" s="145" t="str">
        <f>MemoryMap!B58</f>
        <v>0x06FF</v>
      </c>
      <c r="C26" s="145">
        <v>32</v>
      </c>
      <c r="D26" s="147" t="str">
        <f>MemoryMap!E57</f>
        <v>SubAddr23</v>
      </c>
    </row>
    <row r="27" spans="1:4" x14ac:dyDescent="0.25">
      <c r="A27" s="146" t="str">
        <f>MemoryMap!B59</f>
        <v>0x0700</v>
      </c>
      <c r="B27" s="145" t="str">
        <f>MemoryMap!B60</f>
        <v>0x071F</v>
      </c>
      <c r="C27" s="145">
        <v>32</v>
      </c>
      <c r="D27" s="147" t="str">
        <f>MemoryMap!E59</f>
        <v>SubAddr24</v>
      </c>
    </row>
    <row r="28" spans="1:4" x14ac:dyDescent="0.25">
      <c r="A28" s="146" t="str">
        <f>MemoryMap!B61</f>
        <v>0x0720</v>
      </c>
      <c r="B28" s="145" t="str">
        <f>MemoryMap!B62</f>
        <v>0x073F</v>
      </c>
      <c r="C28" s="145">
        <v>32</v>
      </c>
      <c r="D28" s="147" t="str">
        <f>MemoryMap!E61</f>
        <v>SubAddr25</v>
      </c>
    </row>
    <row r="29" spans="1:4" x14ac:dyDescent="0.25">
      <c r="A29" s="146" t="str">
        <f>MemoryMap!B63</f>
        <v>0x0740</v>
      </c>
      <c r="B29" s="145" t="str">
        <f>MemoryMap!B64</f>
        <v>0x075F</v>
      </c>
      <c r="C29" s="145">
        <v>32</v>
      </c>
      <c r="D29" s="147" t="str">
        <f>MemoryMap!E63</f>
        <v>SubAddr26</v>
      </c>
    </row>
    <row r="30" spans="1:4" x14ac:dyDescent="0.25">
      <c r="A30" s="146" t="str">
        <f>MemoryMap!B65</f>
        <v>0x0760</v>
      </c>
      <c r="B30" s="145" t="str">
        <f>MemoryMap!B66</f>
        <v>0x077F</v>
      </c>
      <c r="C30" s="145">
        <v>32</v>
      </c>
      <c r="D30" s="147" t="str">
        <f>MemoryMap!E65</f>
        <v>SubAddr27</v>
      </c>
    </row>
    <row r="31" spans="1:4" x14ac:dyDescent="0.25">
      <c r="A31" s="146" t="str">
        <f>MemoryMap!B67</f>
        <v>0x0780</v>
      </c>
      <c r="B31" s="145" t="str">
        <f>MemoryMap!B68</f>
        <v>0x079F</v>
      </c>
      <c r="C31" s="145">
        <v>32</v>
      </c>
      <c r="D31" s="147" t="str">
        <f>MemoryMap!E67</f>
        <v>SubAddr28</v>
      </c>
    </row>
    <row r="32" spans="1:4" x14ac:dyDescent="0.25">
      <c r="A32" s="146" t="str">
        <f>MemoryMap!B69</f>
        <v>0x07A0</v>
      </c>
      <c r="B32" s="145" t="str">
        <f>MemoryMap!B70</f>
        <v>0x07BF</v>
      </c>
      <c r="C32" s="145">
        <v>32</v>
      </c>
      <c r="D32" s="147" t="str">
        <f>MemoryMap!E69</f>
        <v>SubAddr29</v>
      </c>
    </row>
    <row r="33" spans="1:4" x14ac:dyDescent="0.25">
      <c r="A33" s="146" t="str">
        <f>MemoryMap!B71</f>
        <v>0x07C0</v>
      </c>
      <c r="B33" s="145" t="str">
        <f>MemoryMap!B72</f>
        <v>0x07DF</v>
      </c>
      <c r="C33" s="145">
        <v>32</v>
      </c>
      <c r="D33" s="147" t="str">
        <f>MemoryMap!E71</f>
        <v>SubAddr30</v>
      </c>
    </row>
    <row r="34" spans="1:4" ht="15.75" thickBot="1" x14ac:dyDescent="0.3">
      <c r="A34" s="148" t="str">
        <f>MemoryMap!B73</f>
        <v>0x07E0</v>
      </c>
      <c r="B34" s="149" t="str">
        <f>MemoryMap!B74</f>
        <v>0x07FF</v>
      </c>
      <c r="C34" s="149">
        <v>32</v>
      </c>
      <c r="D34" s="150" t="str">
        <f>MemoryMap!E73</f>
        <v>MODE Data</v>
      </c>
    </row>
    <row r="35" spans="1:4" ht="15.75" thickBot="1" x14ac:dyDescent="0.3">
      <c r="A35" s="299" t="s">
        <v>513</v>
      </c>
      <c r="B35" s="301"/>
      <c r="C35" s="301"/>
      <c r="D35" s="300"/>
    </row>
    <row r="36" spans="1:4" ht="15.75" thickBot="1" x14ac:dyDescent="0.3">
      <c r="A36" s="157" t="s">
        <v>123</v>
      </c>
      <c r="B36" s="158" t="s">
        <v>36</v>
      </c>
      <c r="C36" s="158" t="s">
        <v>387</v>
      </c>
      <c r="D36" s="159" t="s">
        <v>396</v>
      </c>
    </row>
    <row r="37" spans="1:4" x14ac:dyDescent="0.25">
      <c r="A37" s="160" t="str">
        <f>MemoryMap!H11</f>
        <v>0x0800</v>
      </c>
      <c r="B37" s="161" t="str">
        <f>MemoryMap!H12</f>
        <v>0x081F</v>
      </c>
      <c r="C37" s="161">
        <f>(MemoryMap!G12-MemoryMap!G11)+1</f>
        <v>32</v>
      </c>
      <c r="D37" s="162" t="str">
        <f>MemoryMap!K11</f>
        <v>Not used</v>
      </c>
    </row>
    <row r="38" spans="1:4" x14ac:dyDescent="0.25">
      <c r="A38" s="146" t="str">
        <f>MemoryMap!H13</f>
        <v>0x0820</v>
      </c>
      <c r="B38" s="145" t="str">
        <f>MemoryMap!H14</f>
        <v>0x083F</v>
      </c>
      <c r="C38" s="145">
        <f>(MemoryMap!G14-MemoryMap!G13)+1</f>
        <v>32</v>
      </c>
      <c r="D38" s="147" t="str">
        <f>MemoryMap!K13</f>
        <v>SubAddr1</v>
      </c>
    </row>
    <row r="39" spans="1:4" x14ac:dyDescent="0.25">
      <c r="A39" s="146" t="str">
        <f>MemoryMap!H15</f>
        <v>0x0840</v>
      </c>
      <c r="B39" s="145" t="str">
        <f>MemoryMap!H16</f>
        <v>0x085F</v>
      </c>
      <c r="C39" s="145">
        <f>(MemoryMap!G16-MemoryMap!G15)+1</f>
        <v>32</v>
      </c>
      <c r="D39" s="147" t="str">
        <f>MemoryMap!K15</f>
        <v>SubAddr2</v>
      </c>
    </row>
    <row r="40" spans="1:4" x14ac:dyDescent="0.25">
      <c r="A40" s="146" t="str">
        <f>MemoryMap!H17</f>
        <v>0x0860</v>
      </c>
      <c r="B40" s="145" t="str">
        <f>MemoryMap!H18</f>
        <v>0x087F</v>
      </c>
      <c r="C40" s="145">
        <f>(MemoryMap!G18-MemoryMap!G17)+1</f>
        <v>32</v>
      </c>
      <c r="D40" s="147" t="str">
        <f>MemoryMap!K17</f>
        <v>SubAddr3</v>
      </c>
    </row>
    <row r="41" spans="1:4" x14ac:dyDescent="0.25">
      <c r="A41" s="146" t="str">
        <f>MemoryMap!H19</f>
        <v>0x0880</v>
      </c>
      <c r="B41" s="145" t="str">
        <f>MemoryMap!H20</f>
        <v>0x089F</v>
      </c>
      <c r="C41" s="145">
        <f>(MemoryMap!G20-MemoryMap!G19)+1</f>
        <v>32</v>
      </c>
      <c r="D41" s="147" t="str">
        <f>MemoryMap!K19</f>
        <v>SubAddr4</v>
      </c>
    </row>
    <row r="42" spans="1:4" x14ac:dyDescent="0.25">
      <c r="A42" s="146" t="str">
        <f>MemoryMap!H21</f>
        <v>0x08A0</v>
      </c>
      <c r="B42" s="145" t="str">
        <f>MemoryMap!H22</f>
        <v>0x08BF</v>
      </c>
      <c r="C42" s="145">
        <f>(MemoryMap!G22-MemoryMap!G21)+1</f>
        <v>32</v>
      </c>
      <c r="D42" s="147" t="str">
        <f>MemoryMap!K21</f>
        <v>SubAddr5</v>
      </c>
    </row>
    <row r="43" spans="1:4" x14ac:dyDescent="0.25">
      <c r="A43" s="146" t="str">
        <f>MemoryMap!H23</f>
        <v>0x08C0</v>
      </c>
      <c r="B43" s="145" t="str">
        <f>MemoryMap!H24</f>
        <v>0x08DF</v>
      </c>
      <c r="C43" s="145">
        <f>(MemoryMap!G24-MemoryMap!G23)+1</f>
        <v>32</v>
      </c>
      <c r="D43" s="147" t="str">
        <f>MemoryMap!K23</f>
        <v>SubAddr6</v>
      </c>
    </row>
    <row r="44" spans="1:4" x14ac:dyDescent="0.25">
      <c r="A44" s="146" t="str">
        <f>MemoryMap!H25</f>
        <v>0x08E0</v>
      </c>
      <c r="B44" s="145" t="str">
        <f>MemoryMap!H26</f>
        <v>0x08FF</v>
      </c>
      <c r="C44" s="145">
        <f>(MemoryMap!G26-MemoryMap!G25)+1</f>
        <v>32</v>
      </c>
      <c r="D44" s="147" t="str">
        <f>MemoryMap!K25</f>
        <v>SubAddr7</v>
      </c>
    </row>
    <row r="45" spans="1:4" x14ac:dyDescent="0.25">
      <c r="A45" s="146" t="str">
        <f>MemoryMap!H27</f>
        <v>0x0900</v>
      </c>
      <c r="B45" s="145" t="str">
        <f>MemoryMap!H28</f>
        <v>0x091F</v>
      </c>
      <c r="C45" s="145">
        <f>(MemoryMap!G28-MemoryMap!G27)+1</f>
        <v>32</v>
      </c>
      <c r="D45" s="147" t="str">
        <f>MemoryMap!K27</f>
        <v>SubAddr8</v>
      </c>
    </row>
    <row r="46" spans="1:4" x14ac:dyDescent="0.25">
      <c r="A46" s="146" t="str">
        <f>MemoryMap!H29</f>
        <v>0x0920</v>
      </c>
      <c r="B46" s="145" t="str">
        <f>MemoryMap!H30</f>
        <v>0x093F</v>
      </c>
      <c r="C46" s="145">
        <f>(MemoryMap!G30-MemoryMap!G29)+1</f>
        <v>32</v>
      </c>
      <c r="D46" s="147" t="str">
        <f>MemoryMap!K29</f>
        <v>SubAddr9</v>
      </c>
    </row>
    <row r="47" spans="1:4" x14ac:dyDescent="0.25">
      <c r="A47" s="146" t="str">
        <f>MemoryMap!H31</f>
        <v>0x0940</v>
      </c>
      <c r="B47" s="145" t="str">
        <f>MemoryMap!H32</f>
        <v>0x095F</v>
      </c>
      <c r="C47" s="145">
        <f>(MemoryMap!G32-MemoryMap!G31)+1</f>
        <v>32</v>
      </c>
      <c r="D47" s="147" t="str">
        <f>MemoryMap!K31</f>
        <v>SubAddr10</v>
      </c>
    </row>
    <row r="48" spans="1:4" x14ac:dyDescent="0.25">
      <c r="A48" s="146" t="str">
        <f>MemoryMap!H33</f>
        <v>0x0960</v>
      </c>
      <c r="B48" s="145" t="str">
        <f>MemoryMap!H34</f>
        <v>0x097F</v>
      </c>
      <c r="C48" s="145">
        <f>(MemoryMap!G34-MemoryMap!G33)+1</f>
        <v>32</v>
      </c>
      <c r="D48" s="147" t="str">
        <f>MemoryMap!K33</f>
        <v>SubAddr11</v>
      </c>
    </row>
    <row r="49" spans="1:4" x14ac:dyDescent="0.25">
      <c r="A49" s="146" t="str">
        <f>MemoryMap!H35</f>
        <v>0x0980</v>
      </c>
      <c r="B49" s="145" t="str">
        <f>MemoryMap!H36</f>
        <v>0x099F</v>
      </c>
      <c r="C49" s="145">
        <f>(MemoryMap!G36-MemoryMap!G35)+1</f>
        <v>32</v>
      </c>
      <c r="D49" s="147" t="str">
        <f>MemoryMap!K35</f>
        <v>SubAddr12</v>
      </c>
    </row>
    <row r="50" spans="1:4" x14ac:dyDescent="0.25">
      <c r="A50" s="146" t="str">
        <f>MemoryMap!H37</f>
        <v>0x09A0</v>
      </c>
      <c r="B50" s="145" t="str">
        <f>MemoryMap!H38</f>
        <v>0x09BF</v>
      </c>
      <c r="C50" s="145">
        <f>(MemoryMap!G38-MemoryMap!G37)+1</f>
        <v>32</v>
      </c>
      <c r="D50" s="147" t="str">
        <f>MemoryMap!K37</f>
        <v>SubAddr13</v>
      </c>
    </row>
    <row r="51" spans="1:4" x14ac:dyDescent="0.25">
      <c r="A51" s="146" t="str">
        <f>MemoryMap!H39</f>
        <v>0x09C0</v>
      </c>
      <c r="B51" s="145" t="str">
        <f>MemoryMap!H40</f>
        <v>0x09DF</v>
      </c>
      <c r="C51" s="145">
        <f>(MemoryMap!G40-MemoryMap!G39)+1</f>
        <v>32</v>
      </c>
      <c r="D51" s="147" t="str">
        <f>MemoryMap!K39</f>
        <v>SubAddr14</v>
      </c>
    </row>
    <row r="52" spans="1:4" x14ac:dyDescent="0.25">
      <c r="A52" s="146" t="str">
        <f>MemoryMap!H41</f>
        <v>0x09E0</v>
      </c>
      <c r="B52" s="145" t="str">
        <f>MemoryMap!H42</f>
        <v>0x09FF</v>
      </c>
      <c r="C52" s="145">
        <f>(MemoryMap!G42-MemoryMap!G41)+1</f>
        <v>32</v>
      </c>
      <c r="D52" s="147" t="str">
        <f>MemoryMap!K41</f>
        <v>SubAddr15</v>
      </c>
    </row>
    <row r="53" spans="1:4" x14ac:dyDescent="0.25">
      <c r="A53" s="146" t="str">
        <f>MemoryMap!H43</f>
        <v>0x0A00</v>
      </c>
      <c r="B53" s="145" t="str">
        <f>MemoryMap!H44</f>
        <v>0x0A1F</v>
      </c>
      <c r="C53" s="145">
        <f>(MemoryMap!G44-MemoryMap!G43)+1</f>
        <v>32</v>
      </c>
      <c r="D53" s="147" t="str">
        <f>MemoryMap!K43</f>
        <v>SubAddr16</v>
      </c>
    </row>
    <row r="54" spans="1:4" x14ac:dyDescent="0.25">
      <c r="A54" s="146" t="str">
        <f>MemoryMap!H45</f>
        <v>0x0A20</v>
      </c>
      <c r="B54" s="145" t="str">
        <f>MemoryMap!H46</f>
        <v>0x0A3F</v>
      </c>
      <c r="C54" s="145">
        <f>(MemoryMap!G46-MemoryMap!G45)+1</f>
        <v>32</v>
      </c>
      <c r="D54" s="147" t="str">
        <f>MemoryMap!K45</f>
        <v>SubAddr17</v>
      </c>
    </row>
    <row r="55" spans="1:4" x14ac:dyDescent="0.25">
      <c r="A55" s="146" t="str">
        <f>MemoryMap!H47</f>
        <v>0x0A40</v>
      </c>
      <c r="B55" s="145" t="str">
        <f>MemoryMap!H48</f>
        <v>0x0A5F</v>
      </c>
      <c r="C55" s="145">
        <f>(MemoryMap!G48-MemoryMap!G47)+1</f>
        <v>32</v>
      </c>
      <c r="D55" s="147" t="str">
        <f>MemoryMap!K47</f>
        <v>SubAddr18</v>
      </c>
    </row>
    <row r="56" spans="1:4" x14ac:dyDescent="0.25">
      <c r="A56" s="146" t="str">
        <f>MemoryMap!H49</f>
        <v>0x0A60</v>
      </c>
      <c r="B56" s="145" t="str">
        <f>MemoryMap!H50</f>
        <v>0x0A7F</v>
      </c>
      <c r="C56" s="145">
        <f>(MemoryMap!G50-MemoryMap!G49)+1</f>
        <v>32</v>
      </c>
      <c r="D56" s="147" t="str">
        <f>MemoryMap!K49</f>
        <v>SubAddr19</v>
      </c>
    </row>
    <row r="57" spans="1:4" x14ac:dyDescent="0.25">
      <c r="A57" s="146" t="str">
        <f>MemoryMap!H51</f>
        <v>0x0A80</v>
      </c>
      <c r="B57" s="145" t="str">
        <f>MemoryMap!H52</f>
        <v>0x0A9F</v>
      </c>
      <c r="C57" s="145">
        <f>(MemoryMap!G52-MemoryMap!G51)+1</f>
        <v>32</v>
      </c>
      <c r="D57" s="147" t="str">
        <f>MemoryMap!K51</f>
        <v>SubAddr20</v>
      </c>
    </row>
    <row r="58" spans="1:4" x14ac:dyDescent="0.25">
      <c r="A58" s="146" t="str">
        <f>MemoryMap!H53</f>
        <v>0x0AA0</v>
      </c>
      <c r="B58" s="145" t="str">
        <f>MemoryMap!H54</f>
        <v>0x0ABF</v>
      </c>
      <c r="C58" s="145">
        <f>(MemoryMap!G54-MemoryMap!G53)+1</f>
        <v>32</v>
      </c>
      <c r="D58" s="147" t="str">
        <f>MemoryMap!K53</f>
        <v>SubAddr21</v>
      </c>
    </row>
    <row r="59" spans="1:4" x14ac:dyDescent="0.25">
      <c r="A59" s="146" t="str">
        <f>MemoryMap!H55</f>
        <v>0x0AC0</v>
      </c>
      <c r="B59" s="145" t="str">
        <f>MemoryMap!H56</f>
        <v>0x0ADF</v>
      </c>
      <c r="C59" s="145">
        <f>(MemoryMap!G56-MemoryMap!G55)+1</f>
        <v>32</v>
      </c>
      <c r="D59" s="147" t="str">
        <f>MemoryMap!K55</f>
        <v>SubAddr22</v>
      </c>
    </row>
    <row r="60" spans="1:4" x14ac:dyDescent="0.25">
      <c r="A60" s="146" t="str">
        <f>MemoryMap!H57</f>
        <v>0x0AE0</v>
      </c>
      <c r="B60" s="145" t="str">
        <f>MemoryMap!H58</f>
        <v>0x0AFF</v>
      </c>
      <c r="C60" s="145">
        <f>(MemoryMap!G58-MemoryMap!G57)+1</f>
        <v>32</v>
      </c>
      <c r="D60" s="147" t="str">
        <f>MemoryMap!K57</f>
        <v>SubAddr23</v>
      </c>
    </row>
    <row r="61" spans="1:4" x14ac:dyDescent="0.25">
      <c r="A61" s="146" t="str">
        <f>MemoryMap!H59</f>
        <v>0x0B00</v>
      </c>
      <c r="B61" s="145" t="str">
        <f>MemoryMap!H60</f>
        <v>0x0B1F</v>
      </c>
      <c r="C61" s="145">
        <f>(MemoryMap!G60-MemoryMap!G59)+1</f>
        <v>32</v>
      </c>
      <c r="D61" s="147" t="str">
        <f>MemoryMap!K59</f>
        <v>SubAddr24</v>
      </c>
    </row>
    <row r="62" spans="1:4" x14ac:dyDescent="0.25">
      <c r="A62" s="146" t="str">
        <f>MemoryMap!H61</f>
        <v>0x0B20</v>
      </c>
      <c r="B62" s="145" t="str">
        <f>MemoryMap!H62</f>
        <v>0x0B3F</v>
      </c>
      <c r="C62" s="145">
        <f>(MemoryMap!G62-MemoryMap!G61)+1</f>
        <v>32</v>
      </c>
      <c r="D62" s="147" t="str">
        <f>MemoryMap!K61</f>
        <v>SubAddr25</v>
      </c>
    </row>
    <row r="63" spans="1:4" x14ac:dyDescent="0.25">
      <c r="A63" s="146" t="str">
        <f>MemoryMap!H63</f>
        <v>0x0B40</v>
      </c>
      <c r="B63" s="145" t="str">
        <f>MemoryMap!H64</f>
        <v>0x0B5F</v>
      </c>
      <c r="C63" s="145">
        <f>(MemoryMap!G64-MemoryMap!G63)+1</f>
        <v>32</v>
      </c>
      <c r="D63" s="147" t="str">
        <f>MemoryMap!K63</f>
        <v>SubAddr26</v>
      </c>
    </row>
    <row r="64" spans="1:4" x14ac:dyDescent="0.25">
      <c r="A64" s="146" t="str">
        <f>MemoryMap!H65</f>
        <v>0x0B60</v>
      </c>
      <c r="B64" s="145" t="str">
        <f>MemoryMap!H66</f>
        <v>0x0B7F</v>
      </c>
      <c r="C64" s="145">
        <f>(MemoryMap!G66-MemoryMap!G65)+1</f>
        <v>32</v>
      </c>
      <c r="D64" s="147" t="str">
        <f>MemoryMap!K65</f>
        <v>SubAddr27</v>
      </c>
    </row>
    <row r="65" spans="1:4" x14ac:dyDescent="0.25">
      <c r="A65" s="146" t="str">
        <f>MemoryMap!H67</f>
        <v>0x0B80</v>
      </c>
      <c r="B65" s="145" t="str">
        <f>MemoryMap!H68</f>
        <v>0x0B9F</v>
      </c>
      <c r="C65" s="145">
        <f>(MemoryMap!G68-MemoryMap!G67)+1</f>
        <v>32</v>
      </c>
      <c r="D65" s="147" t="str">
        <f>MemoryMap!K67</f>
        <v>SubAddr28</v>
      </c>
    </row>
    <row r="66" spans="1:4" x14ac:dyDescent="0.25">
      <c r="A66" s="146" t="str">
        <f>MemoryMap!H69</f>
        <v>0x0BA0</v>
      </c>
      <c r="B66" s="145" t="str">
        <f>MemoryMap!H70</f>
        <v>0x0BBF</v>
      </c>
      <c r="C66" s="145">
        <f>(MemoryMap!G70-MemoryMap!G69)+1</f>
        <v>32</v>
      </c>
      <c r="D66" s="147" t="str">
        <f>MemoryMap!K69</f>
        <v>SubAddr29</v>
      </c>
    </row>
    <row r="67" spans="1:4" x14ac:dyDescent="0.25">
      <c r="A67" s="146" t="str">
        <f>MemoryMap!H71</f>
        <v>0x0BC0</v>
      </c>
      <c r="B67" s="145" t="str">
        <f>MemoryMap!H72</f>
        <v>0x0BDF</v>
      </c>
      <c r="C67" s="145">
        <f>(MemoryMap!G72-MemoryMap!G71)+1</f>
        <v>32</v>
      </c>
      <c r="D67" s="147" t="str">
        <f>MemoryMap!K71</f>
        <v>SubAddr30</v>
      </c>
    </row>
    <row r="68" spans="1:4" ht="15.75" thickBot="1" x14ac:dyDescent="0.3">
      <c r="A68" s="148" t="str">
        <f>MemoryMap!H73</f>
        <v>0x0BE0</v>
      </c>
      <c r="B68" s="149" t="str">
        <f>MemoryMap!H74</f>
        <v>0x0BFF</v>
      </c>
      <c r="C68" s="149">
        <f>(MemoryMap!G74-MemoryMap!G73)+1</f>
        <v>32</v>
      </c>
      <c r="D68" s="150" t="str">
        <f>MemoryMap!K73</f>
        <v>MODE Data</v>
      </c>
    </row>
  </sheetData>
  <sortState ref="A36:I98">
    <sortCondition ref="C36:C98"/>
  </sortState>
  <mergeCells count="2">
    <mergeCell ref="A1:D1"/>
    <mergeCell ref="A35:D35"/>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31"/>
  <sheetViews>
    <sheetView workbookViewId="0">
      <selection activeCell="Q3" sqref="Q3:R3"/>
    </sheetView>
  </sheetViews>
  <sheetFormatPr defaultRowHeight="15" x14ac:dyDescent="0.25"/>
  <cols>
    <col min="5" max="5" width="12" bestFit="1" customWidth="1"/>
    <col min="11" max="11" width="2.140625" style="22" customWidth="1"/>
    <col min="12" max="12" width="2.140625" style="12" customWidth="1"/>
    <col min="13" max="14" width="2.140625" style="13" customWidth="1"/>
    <col min="15" max="15" width="2.140625" style="14" customWidth="1"/>
    <col min="16" max="16" width="2.140625" style="12" customWidth="1"/>
    <col min="17" max="17" width="2.140625" style="2" customWidth="1"/>
    <col min="18" max="18" width="2.140625" style="18" customWidth="1"/>
    <col min="19" max="19" width="2.140625" style="19" customWidth="1"/>
    <col min="20" max="20" width="2.140625" style="20" customWidth="1"/>
    <col min="21" max="22" width="2.140625" style="18" customWidth="1"/>
    <col min="23" max="23" width="2.140625" style="6" customWidth="1"/>
    <col min="24" max="24" width="2.140625" style="7" customWidth="1"/>
    <col min="25" max="26" width="2.140625" style="8" customWidth="1"/>
    <col min="27" max="27" width="2.140625" style="6" customWidth="1"/>
    <col min="28" max="32" width="2.140625" customWidth="1"/>
    <col min="34" max="34" width="3.28515625" bestFit="1" customWidth="1"/>
    <col min="35" max="35" width="3" bestFit="1" customWidth="1"/>
  </cols>
  <sheetData>
    <row r="1" spans="1:37" x14ac:dyDescent="0.25">
      <c r="A1" t="s">
        <v>25</v>
      </c>
      <c r="K1" s="21"/>
      <c r="L1" s="9"/>
      <c r="M1" s="10"/>
      <c r="N1" s="10"/>
      <c r="O1" s="11"/>
      <c r="P1" s="9"/>
      <c r="Q1" s="1"/>
      <c r="R1" s="15"/>
      <c r="S1" s="16"/>
      <c r="T1" s="17"/>
      <c r="U1" s="15"/>
      <c r="V1" s="15"/>
      <c r="W1" s="3"/>
      <c r="X1" s="4"/>
      <c r="Y1" s="5"/>
      <c r="Z1" s="5"/>
      <c r="AA1" s="3"/>
    </row>
    <row r="2" spans="1:37" x14ac:dyDescent="0.25">
      <c r="A2" t="s">
        <v>26</v>
      </c>
      <c r="I2">
        <v>32</v>
      </c>
    </row>
    <row r="3" spans="1:37" x14ac:dyDescent="0.25">
      <c r="A3" t="s">
        <v>27</v>
      </c>
      <c r="I3">
        <v>30</v>
      </c>
      <c r="K3" s="22">
        <v>0</v>
      </c>
      <c r="L3" s="12">
        <v>0</v>
      </c>
      <c r="M3" s="13">
        <v>0</v>
      </c>
      <c r="N3" s="13">
        <v>0</v>
      </c>
      <c r="O3" s="14">
        <v>0</v>
      </c>
      <c r="P3" s="12">
        <v>0</v>
      </c>
      <c r="Q3" s="2">
        <v>0</v>
      </c>
      <c r="R3" s="18">
        <v>0</v>
      </c>
      <c r="S3" s="19">
        <v>0</v>
      </c>
      <c r="T3" s="20">
        <v>0</v>
      </c>
      <c r="U3" s="18">
        <v>0</v>
      </c>
      <c r="V3" s="18">
        <v>1</v>
      </c>
      <c r="W3" s="6">
        <v>0</v>
      </c>
      <c r="X3" s="7">
        <v>0</v>
      </c>
      <c r="Y3" s="8">
        <v>0</v>
      </c>
      <c r="Z3" s="8">
        <v>0</v>
      </c>
      <c r="AA3" s="6">
        <v>1</v>
      </c>
      <c r="AG3" t="str">
        <f t="shared" ref="AG3" si="0">CONCATENATE(L3,M3,N3,O3,P3,Q3,R3,S3)</f>
        <v>00000000</v>
      </c>
      <c r="AH3" t="str">
        <f t="shared" ref="AH3" si="1">BIN2HEX(AG3,2)</f>
        <v>00</v>
      </c>
      <c r="AI3" t="str">
        <f t="shared" ref="AI3" si="2">BIN2HEX(CONCATENATE(T3,U3,V3,W3,X3,Y3,Z3,AA3),2)</f>
        <v>21</v>
      </c>
      <c r="AJ3" s="62"/>
      <c r="AK3" t="s">
        <v>121</v>
      </c>
    </row>
    <row r="4" spans="1:37" x14ac:dyDescent="0.25">
      <c r="F4" t="s">
        <v>28</v>
      </c>
      <c r="I4">
        <f>I3*I2</f>
        <v>960</v>
      </c>
      <c r="K4" s="22">
        <v>0</v>
      </c>
      <c r="L4" s="12">
        <v>0</v>
      </c>
      <c r="M4" s="13">
        <v>0</v>
      </c>
      <c r="N4" s="13">
        <v>0</v>
      </c>
      <c r="O4" s="14">
        <v>0</v>
      </c>
      <c r="P4" s="12">
        <v>1</v>
      </c>
      <c r="Q4" s="2">
        <v>0</v>
      </c>
      <c r="R4" s="18">
        <v>0</v>
      </c>
      <c r="S4" s="19">
        <v>0</v>
      </c>
      <c r="T4" s="20">
        <v>0</v>
      </c>
      <c r="U4" s="18">
        <v>0</v>
      </c>
      <c r="V4" s="18">
        <v>1</v>
      </c>
      <c r="W4" s="6">
        <v>0</v>
      </c>
      <c r="X4" s="7">
        <v>0</v>
      </c>
      <c r="Y4" s="8">
        <v>0</v>
      </c>
      <c r="Z4" s="8">
        <v>0</v>
      </c>
      <c r="AA4" s="6">
        <v>1</v>
      </c>
      <c r="AG4" t="str">
        <f t="shared" ref="AG4" si="3">CONCATENATE(L4,M4,N4,O4,P4,Q4,R4,S4)</f>
        <v>00001000</v>
      </c>
      <c r="AH4" t="str">
        <f t="shared" ref="AH4" si="4">BIN2HEX(AG4,2)</f>
        <v>08</v>
      </c>
      <c r="AI4" t="str">
        <f t="shared" ref="AI4" si="5">BIN2HEX(CONCATENATE(T4,U4,V4,W4,X4,Y4,Z4,AA4),2)</f>
        <v>21</v>
      </c>
      <c r="AJ4" s="13"/>
      <c r="AK4" t="s">
        <v>314</v>
      </c>
    </row>
    <row r="5" spans="1:37" x14ac:dyDescent="0.25">
      <c r="K5" s="22">
        <v>0</v>
      </c>
      <c r="L5" s="12">
        <v>0</v>
      </c>
      <c r="M5" s="13">
        <v>0</v>
      </c>
      <c r="N5" s="13">
        <v>1</v>
      </c>
      <c r="O5" s="14">
        <v>1</v>
      </c>
      <c r="P5" s="12">
        <v>0</v>
      </c>
      <c r="Q5" s="2">
        <v>0</v>
      </c>
      <c r="R5" s="18">
        <v>0</v>
      </c>
      <c r="S5" s="19">
        <v>0</v>
      </c>
      <c r="T5" s="20">
        <v>0</v>
      </c>
      <c r="U5" s="18">
        <v>0</v>
      </c>
      <c r="V5" s="18">
        <v>1</v>
      </c>
      <c r="W5" s="6">
        <v>0</v>
      </c>
      <c r="X5" s="7">
        <v>0</v>
      </c>
      <c r="Y5" s="8">
        <v>0</v>
      </c>
      <c r="Z5" s="8">
        <v>0</v>
      </c>
      <c r="AA5" s="6">
        <v>1</v>
      </c>
      <c r="AG5" t="str">
        <f t="shared" ref="AG5:AG7" si="6">CONCATENATE(L5,M5,N5,O5,P5,Q5,R5,S5)</f>
        <v>00110000</v>
      </c>
      <c r="AH5" t="str">
        <f t="shared" ref="AH5:AH7" si="7">BIN2HEX(AG5,2)</f>
        <v>30</v>
      </c>
      <c r="AI5" t="str">
        <f t="shared" ref="AI5:AI7" si="8">BIN2HEX(CONCATENATE(T5,U5,V5,W5,X5,Y5,Z5,AA5),2)</f>
        <v>21</v>
      </c>
      <c r="AJ5" s="2"/>
      <c r="AK5" t="s">
        <v>315</v>
      </c>
    </row>
    <row r="6" spans="1:37" x14ac:dyDescent="0.25">
      <c r="C6" s="302" t="s">
        <v>37</v>
      </c>
      <c r="D6" s="302"/>
      <c r="K6" s="22">
        <v>0</v>
      </c>
      <c r="L6" s="12">
        <v>0</v>
      </c>
      <c r="M6" s="13">
        <v>0</v>
      </c>
      <c r="N6" s="13">
        <v>1</v>
      </c>
      <c r="O6" s="14">
        <v>1</v>
      </c>
      <c r="P6" s="12">
        <v>0</v>
      </c>
      <c r="Q6" s="2">
        <v>0</v>
      </c>
      <c r="R6" s="18">
        <v>0</v>
      </c>
      <c r="S6" s="19">
        <v>0</v>
      </c>
      <c r="T6" s="20">
        <v>0</v>
      </c>
      <c r="U6" s="18">
        <v>1</v>
      </c>
      <c r="V6" s="18">
        <v>0</v>
      </c>
      <c r="W6" s="6">
        <v>0</v>
      </c>
      <c r="X6" s="7">
        <v>1</v>
      </c>
      <c r="Y6" s="8">
        <v>1</v>
      </c>
      <c r="Z6" s="8">
        <v>1</v>
      </c>
      <c r="AA6" s="6">
        <v>1</v>
      </c>
      <c r="AG6" t="str">
        <f t="shared" si="6"/>
        <v>00110000</v>
      </c>
      <c r="AH6" t="str">
        <f t="shared" si="7"/>
        <v>30</v>
      </c>
      <c r="AI6" t="str">
        <f t="shared" si="8"/>
        <v>4F</v>
      </c>
      <c r="AJ6" s="18"/>
      <c r="AK6" t="s">
        <v>316</v>
      </c>
    </row>
    <row r="7" spans="1:37" x14ac:dyDescent="0.25">
      <c r="A7" t="s">
        <v>29</v>
      </c>
      <c r="B7" t="s">
        <v>31</v>
      </c>
      <c r="E7" t="s">
        <v>30</v>
      </c>
      <c r="K7" s="22">
        <v>0</v>
      </c>
      <c r="L7" s="12">
        <v>0</v>
      </c>
      <c r="M7" s="13">
        <v>0</v>
      </c>
      <c r="N7" s="13">
        <v>1</v>
      </c>
      <c r="O7" s="14">
        <v>1</v>
      </c>
      <c r="P7" s="12">
        <v>0</v>
      </c>
      <c r="Q7" s="2">
        <v>0</v>
      </c>
      <c r="R7" s="18">
        <v>0</v>
      </c>
      <c r="S7" s="19">
        <v>0</v>
      </c>
      <c r="T7" s="20">
        <v>0</v>
      </c>
      <c r="U7" s="18">
        <v>1</v>
      </c>
      <c r="V7" s="18">
        <v>1</v>
      </c>
      <c r="W7" s="6">
        <v>1</v>
      </c>
      <c r="X7" s="7">
        <v>1</v>
      </c>
      <c r="Y7" s="8">
        <v>1</v>
      </c>
      <c r="Z7" s="8">
        <v>1</v>
      </c>
      <c r="AA7" s="6">
        <v>1</v>
      </c>
      <c r="AG7" t="str">
        <f t="shared" si="6"/>
        <v>00110000</v>
      </c>
      <c r="AH7" t="str">
        <f t="shared" si="7"/>
        <v>30</v>
      </c>
      <c r="AI7" t="str">
        <f t="shared" si="8"/>
        <v>7F</v>
      </c>
      <c r="AJ7" s="8"/>
      <c r="AK7" t="s">
        <v>317</v>
      </c>
    </row>
    <row r="8" spans="1:37" x14ac:dyDescent="0.25">
      <c r="A8">
        <v>0</v>
      </c>
      <c r="B8" t="str">
        <f>CONCATENATE("0x",DEC2HEX(A8,3))</f>
        <v>0x000</v>
      </c>
      <c r="C8">
        <f>HEX2DEC(D8)</f>
        <v>47167</v>
      </c>
      <c r="D8" t="s">
        <v>102</v>
      </c>
      <c r="E8" t="s">
        <v>38</v>
      </c>
      <c r="F8" t="s">
        <v>109</v>
      </c>
      <c r="K8" s="22">
        <v>0</v>
      </c>
      <c r="L8" s="12">
        <v>0</v>
      </c>
      <c r="M8" s="13">
        <v>0</v>
      </c>
      <c r="N8" s="13">
        <v>1</v>
      </c>
      <c r="O8" s="14">
        <v>1</v>
      </c>
      <c r="P8" s="12">
        <v>0</v>
      </c>
      <c r="Q8" s="2">
        <v>0</v>
      </c>
      <c r="R8" s="18">
        <v>0</v>
      </c>
      <c r="S8" s="19">
        <v>0</v>
      </c>
      <c r="T8" s="20">
        <v>1</v>
      </c>
      <c r="U8" s="18">
        <v>0</v>
      </c>
      <c r="V8" s="18">
        <v>0</v>
      </c>
      <c r="W8" s="6">
        <v>0</v>
      </c>
      <c r="X8" s="7">
        <v>0</v>
      </c>
      <c r="Y8" s="8">
        <v>0</v>
      </c>
      <c r="Z8" s="8">
        <v>0</v>
      </c>
      <c r="AA8" s="6">
        <v>0</v>
      </c>
      <c r="AG8" t="str">
        <f>CONCATENATE(L8,M8,N8,O8,P8,Q8,R8,S8)</f>
        <v>00110000</v>
      </c>
      <c r="AH8" t="str">
        <f>BIN2HEX(AG8,2)</f>
        <v>30</v>
      </c>
      <c r="AI8" t="str">
        <f>BIN2HEX(CONCATENATE(T8,U8,V8,W8,X8,Y8,Z8,AA8),2)</f>
        <v>80</v>
      </c>
    </row>
    <row r="9" spans="1:37" x14ac:dyDescent="0.25">
      <c r="A9">
        <f>A8+1</f>
        <v>1</v>
      </c>
      <c r="B9" t="str">
        <f t="shared" ref="B9:B72" si="9">CONCATENATE("0x",DEC2HEX(A9,3))</f>
        <v>0x001</v>
      </c>
      <c r="C9">
        <f t="shared" ref="C9:C15" si="10">HEX2DEC(D9)</f>
        <v>48223</v>
      </c>
      <c r="D9" t="s">
        <v>103</v>
      </c>
      <c r="E9" t="s">
        <v>39</v>
      </c>
      <c r="K9" s="22">
        <v>0</v>
      </c>
      <c r="L9" s="12">
        <v>1</v>
      </c>
      <c r="M9" s="13">
        <v>0</v>
      </c>
      <c r="N9" s="13">
        <v>0</v>
      </c>
      <c r="O9" s="14">
        <v>0</v>
      </c>
      <c r="P9" s="12">
        <v>1</v>
      </c>
      <c r="Q9" s="2">
        <v>0</v>
      </c>
      <c r="R9" s="18">
        <v>0</v>
      </c>
      <c r="S9" s="19">
        <v>0</v>
      </c>
      <c r="T9" s="20">
        <v>0</v>
      </c>
      <c r="U9" s="18">
        <v>0</v>
      </c>
      <c r="V9" s="18">
        <v>1</v>
      </c>
      <c r="W9" s="6">
        <v>0</v>
      </c>
      <c r="X9" s="7">
        <v>0</v>
      </c>
      <c r="Y9" s="8">
        <v>0</v>
      </c>
      <c r="Z9" s="8">
        <v>0</v>
      </c>
      <c r="AA9" s="6">
        <v>1</v>
      </c>
      <c r="AG9" t="str">
        <f t="shared" ref="AG9:AG15" si="11">CONCATENATE(L9,M9,N9,O9,P9,Q9,R9,S9)</f>
        <v>10001000</v>
      </c>
      <c r="AH9" t="str">
        <f t="shared" ref="AH9:AH15" si="12">BIN2HEX(AG9,2)</f>
        <v>88</v>
      </c>
      <c r="AI9" t="str">
        <f t="shared" ref="AI9:AI15" si="13">BIN2HEX(CONCATENATE(T9,U9,V9,W9,X9,Y9,Z9,AA9),2)</f>
        <v>21</v>
      </c>
      <c r="AJ9" t="s">
        <v>318</v>
      </c>
    </row>
    <row r="10" spans="1:37" x14ac:dyDescent="0.25">
      <c r="A10">
        <f t="shared" ref="A10:A73" si="14">A9+1</f>
        <v>2</v>
      </c>
      <c r="B10" t="str">
        <f t="shared" si="9"/>
        <v>0x002</v>
      </c>
      <c r="C10">
        <f t="shared" si="10"/>
        <v>112766</v>
      </c>
      <c r="D10" t="s">
        <v>104</v>
      </c>
      <c r="E10" t="s">
        <v>40</v>
      </c>
      <c r="K10" s="22">
        <v>0</v>
      </c>
      <c r="L10" s="12">
        <v>1</v>
      </c>
      <c r="M10" s="13">
        <v>0</v>
      </c>
      <c r="N10" s="13">
        <v>0</v>
      </c>
      <c r="O10" s="14">
        <v>0</v>
      </c>
      <c r="P10" s="12">
        <v>1</v>
      </c>
      <c r="Q10" s="2">
        <v>0</v>
      </c>
      <c r="R10" s="18">
        <v>0</v>
      </c>
      <c r="S10" s="19">
        <v>0</v>
      </c>
      <c r="T10" s="20">
        <v>0</v>
      </c>
      <c r="U10" s="18">
        <v>0</v>
      </c>
      <c r="V10" s="18">
        <v>1</v>
      </c>
      <c r="W10" s="6">
        <v>0</v>
      </c>
      <c r="X10" s="7">
        <v>0</v>
      </c>
      <c r="Y10" s="8">
        <v>0</v>
      </c>
      <c r="Z10" s="8">
        <v>0</v>
      </c>
      <c r="AA10" s="6">
        <v>1</v>
      </c>
      <c r="AG10" t="str">
        <f t="shared" si="11"/>
        <v>10001000</v>
      </c>
      <c r="AH10" t="str">
        <f t="shared" si="12"/>
        <v>88</v>
      </c>
      <c r="AI10" t="str">
        <f t="shared" si="13"/>
        <v>21</v>
      </c>
      <c r="AJ10" t="s">
        <v>319</v>
      </c>
    </row>
    <row r="11" spans="1:37" x14ac:dyDescent="0.25">
      <c r="A11">
        <f t="shared" si="14"/>
        <v>3</v>
      </c>
      <c r="B11" t="str">
        <f t="shared" si="9"/>
        <v>0x003</v>
      </c>
      <c r="C11">
        <f t="shared" si="10"/>
        <v>51326</v>
      </c>
      <c r="D11" t="s">
        <v>105</v>
      </c>
      <c r="E11" t="s">
        <v>41</v>
      </c>
      <c r="K11" s="22">
        <v>1</v>
      </c>
      <c r="L11" s="12">
        <v>1</v>
      </c>
      <c r="M11" s="13">
        <v>0</v>
      </c>
      <c r="N11" s="13">
        <v>0</v>
      </c>
      <c r="O11" s="14">
        <v>0</v>
      </c>
      <c r="P11" s="12">
        <v>1</v>
      </c>
      <c r="Q11" s="2">
        <v>0</v>
      </c>
      <c r="R11" s="18">
        <v>0</v>
      </c>
      <c r="S11" s="19">
        <v>0</v>
      </c>
      <c r="T11" s="20">
        <v>0</v>
      </c>
      <c r="U11" s="18">
        <v>0</v>
      </c>
      <c r="V11" s="18">
        <v>1</v>
      </c>
      <c r="W11" s="6">
        <v>0</v>
      </c>
      <c r="X11" s="7">
        <v>0</v>
      </c>
      <c r="Y11" s="8">
        <v>0</v>
      </c>
      <c r="Z11" s="8">
        <v>0</v>
      </c>
      <c r="AA11" s="6">
        <v>1</v>
      </c>
      <c r="AG11" t="str">
        <f t="shared" si="11"/>
        <v>10001000</v>
      </c>
      <c r="AH11" t="str">
        <f t="shared" si="12"/>
        <v>88</v>
      </c>
      <c r="AI11" t="str">
        <f t="shared" si="13"/>
        <v>21</v>
      </c>
      <c r="AJ11" t="s">
        <v>321</v>
      </c>
    </row>
    <row r="12" spans="1:37" x14ac:dyDescent="0.25">
      <c r="A12">
        <f t="shared" si="14"/>
        <v>4</v>
      </c>
      <c r="B12" t="str">
        <f t="shared" si="9"/>
        <v>0x004</v>
      </c>
      <c r="C12">
        <f t="shared" si="10"/>
        <v>48130</v>
      </c>
      <c r="D12" t="s">
        <v>117</v>
      </c>
      <c r="E12" t="s">
        <v>42</v>
      </c>
      <c r="F12" t="s">
        <v>108</v>
      </c>
      <c r="K12" s="22">
        <v>1</v>
      </c>
      <c r="L12" s="12">
        <v>1</v>
      </c>
      <c r="M12" s="13">
        <v>0</v>
      </c>
      <c r="N12" s="13">
        <v>0</v>
      </c>
      <c r="O12" s="14">
        <v>1</v>
      </c>
      <c r="P12" s="12">
        <v>0</v>
      </c>
      <c r="Q12" s="2">
        <v>1</v>
      </c>
      <c r="R12" s="18">
        <v>0</v>
      </c>
      <c r="S12" s="19">
        <v>0</v>
      </c>
      <c r="T12" s="20">
        <v>0</v>
      </c>
      <c r="U12" s="18">
        <v>0</v>
      </c>
      <c r="V12" s="18">
        <v>1</v>
      </c>
      <c r="W12" s="6">
        <v>0</v>
      </c>
      <c r="X12" s="7">
        <v>0</v>
      </c>
      <c r="Y12" s="8">
        <v>0</v>
      </c>
      <c r="Z12" s="8">
        <v>0</v>
      </c>
      <c r="AA12" s="6">
        <v>1</v>
      </c>
      <c r="AG12" t="str">
        <f t="shared" si="11"/>
        <v>10010100</v>
      </c>
      <c r="AH12" t="str">
        <f t="shared" si="12"/>
        <v>94</v>
      </c>
      <c r="AI12" t="str">
        <f t="shared" si="13"/>
        <v>21</v>
      </c>
      <c r="AJ12" t="s">
        <v>322</v>
      </c>
    </row>
    <row r="13" spans="1:37" x14ac:dyDescent="0.25">
      <c r="A13">
        <f t="shared" si="14"/>
        <v>5</v>
      </c>
      <c r="B13" t="str">
        <f t="shared" si="9"/>
        <v>0x005</v>
      </c>
      <c r="C13">
        <f t="shared" si="10"/>
        <v>48129</v>
      </c>
      <c r="D13" t="s">
        <v>118</v>
      </c>
      <c r="E13" t="s">
        <v>43</v>
      </c>
      <c r="K13" s="22">
        <v>0</v>
      </c>
      <c r="L13" s="12">
        <v>1</v>
      </c>
      <c r="M13" s="13">
        <v>0</v>
      </c>
      <c r="N13" s="13">
        <v>0</v>
      </c>
      <c r="O13" s="14">
        <v>0</v>
      </c>
      <c r="P13" s="12">
        <v>1</v>
      </c>
      <c r="Q13" s="2">
        <v>1</v>
      </c>
      <c r="R13" s="18">
        <v>0</v>
      </c>
      <c r="S13" s="19">
        <v>0</v>
      </c>
      <c r="T13" s="20">
        <v>0</v>
      </c>
      <c r="U13" s="18">
        <v>0</v>
      </c>
      <c r="V13" s="18">
        <v>0</v>
      </c>
      <c r="W13" s="6">
        <v>0</v>
      </c>
      <c r="X13" s="7">
        <v>0</v>
      </c>
      <c r="Y13" s="8">
        <v>0</v>
      </c>
      <c r="Z13" s="8">
        <v>0</v>
      </c>
      <c r="AA13" s="6">
        <v>1</v>
      </c>
      <c r="AG13" t="str">
        <f t="shared" si="11"/>
        <v>10001100</v>
      </c>
      <c r="AH13" t="str">
        <f t="shared" si="12"/>
        <v>8C</v>
      </c>
      <c r="AI13" t="str">
        <f t="shared" si="13"/>
        <v>01</v>
      </c>
      <c r="AJ13" t="s">
        <v>320</v>
      </c>
    </row>
    <row r="14" spans="1:37" x14ac:dyDescent="0.25">
      <c r="A14">
        <f t="shared" si="14"/>
        <v>6</v>
      </c>
      <c r="B14" t="str">
        <f t="shared" si="9"/>
        <v>0x006</v>
      </c>
      <c r="C14">
        <f t="shared" si="10"/>
        <v>48144</v>
      </c>
      <c r="D14" t="s">
        <v>119</v>
      </c>
      <c r="E14" t="s">
        <v>44</v>
      </c>
      <c r="K14" s="22">
        <v>0</v>
      </c>
      <c r="L14" s="12">
        <v>1</v>
      </c>
      <c r="M14" s="13">
        <v>0</v>
      </c>
      <c r="N14" s="13">
        <v>1</v>
      </c>
      <c r="O14" s="14">
        <v>1</v>
      </c>
      <c r="P14" s="12">
        <v>1</v>
      </c>
      <c r="Q14" s="2">
        <v>0</v>
      </c>
      <c r="R14" s="18">
        <v>0</v>
      </c>
      <c r="S14" s="19">
        <v>0</v>
      </c>
      <c r="T14" s="20">
        <v>0</v>
      </c>
      <c r="U14" s="18">
        <v>0</v>
      </c>
      <c r="V14" s="18">
        <v>1</v>
      </c>
      <c r="W14" s="6">
        <v>0</v>
      </c>
      <c r="X14" s="7">
        <v>0</v>
      </c>
      <c r="Y14" s="8">
        <v>0</v>
      </c>
      <c r="Z14" s="8">
        <v>0</v>
      </c>
      <c r="AA14" s="6">
        <v>0</v>
      </c>
      <c r="AG14" t="str">
        <f t="shared" si="11"/>
        <v>10111000</v>
      </c>
      <c r="AH14" t="str">
        <f t="shared" si="12"/>
        <v>B8</v>
      </c>
      <c r="AI14" t="str">
        <f t="shared" si="13"/>
        <v>20</v>
      </c>
    </row>
    <row r="15" spans="1:37" x14ac:dyDescent="0.25">
      <c r="A15">
        <f t="shared" si="14"/>
        <v>7</v>
      </c>
      <c r="B15" t="str">
        <f t="shared" si="9"/>
        <v>0x007</v>
      </c>
      <c r="C15">
        <f t="shared" si="10"/>
        <v>48148</v>
      </c>
      <c r="D15" t="s">
        <v>120</v>
      </c>
      <c r="E15" t="s">
        <v>45</v>
      </c>
      <c r="K15" s="22">
        <v>0</v>
      </c>
      <c r="L15" s="12">
        <v>1</v>
      </c>
      <c r="M15" s="13">
        <v>0</v>
      </c>
      <c r="N15" s="13">
        <v>1</v>
      </c>
      <c r="O15" s="14">
        <v>1</v>
      </c>
      <c r="P15" s="12">
        <v>1</v>
      </c>
      <c r="Q15" s="2">
        <v>0</v>
      </c>
      <c r="R15" s="18">
        <v>0</v>
      </c>
      <c r="S15" s="19">
        <v>0</v>
      </c>
      <c r="T15" s="20">
        <v>0</v>
      </c>
      <c r="U15" s="18">
        <v>0</v>
      </c>
      <c r="V15" s="18">
        <v>1</v>
      </c>
      <c r="W15" s="6">
        <v>0</v>
      </c>
      <c r="X15" s="7">
        <v>0</v>
      </c>
      <c r="Y15" s="8">
        <v>0</v>
      </c>
      <c r="Z15" s="8">
        <v>0</v>
      </c>
      <c r="AA15" s="6">
        <v>0</v>
      </c>
      <c r="AG15" t="str">
        <f t="shared" si="11"/>
        <v>10111000</v>
      </c>
      <c r="AH15" t="str">
        <f t="shared" si="12"/>
        <v>B8</v>
      </c>
      <c r="AI15" t="str">
        <f t="shared" si="13"/>
        <v>20</v>
      </c>
    </row>
    <row r="16" spans="1:37" x14ac:dyDescent="0.25">
      <c r="A16">
        <f t="shared" si="14"/>
        <v>8</v>
      </c>
      <c r="B16" t="str">
        <f t="shared" si="9"/>
        <v>0x008</v>
      </c>
      <c r="C16">
        <v>0</v>
      </c>
      <c r="D16" t="str">
        <f t="shared" ref="D16:D72" si="15">DEC2HEX(C16,5)</f>
        <v>00000</v>
      </c>
      <c r="E16" t="s">
        <v>46</v>
      </c>
      <c r="AG16" t="str">
        <f t="shared" ref="AG16:AG26" si="16">CONCATENATE(L16,M16,N16,O16,P16,Q16,R16,S16)</f>
        <v/>
      </c>
      <c r="AH16" t="str">
        <f t="shared" ref="AH16:AH26" si="17">BIN2HEX(AG16,2)</f>
        <v>00</v>
      </c>
      <c r="AI16" t="str">
        <f t="shared" ref="AI16:AI26" si="18">BIN2HEX(CONCATENATE(T16,U16,V16,W16,X16,Y16,Z16,AA16),2)</f>
        <v>00</v>
      </c>
    </row>
    <row r="17" spans="1:35" x14ac:dyDescent="0.25">
      <c r="A17">
        <f t="shared" si="14"/>
        <v>9</v>
      </c>
      <c r="B17" t="str">
        <f t="shared" si="9"/>
        <v>0x009</v>
      </c>
      <c r="C17">
        <v>0</v>
      </c>
      <c r="D17" t="str">
        <f t="shared" si="15"/>
        <v>00000</v>
      </c>
      <c r="E17" t="s">
        <v>47</v>
      </c>
      <c r="F17" t="s">
        <v>108</v>
      </c>
      <c r="K17" s="22">
        <v>0</v>
      </c>
      <c r="L17" s="12">
        <v>1</v>
      </c>
      <c r="M17" s="13">
        <v>0</v>
      </c>
      <c r="N17" s="13">
        <v>0</v>
      </c>
      <c r="O17" s="14">
        <v>0</v>
      </c>
      <c r="P17" s="12">
        <v>1</v>
      </c>
      <c r="Q17" s="2">
        <v>1</v>
      </c>
      <c r="R17" s="18">
        <v>0</v>
      </c>
      <c r="S17" s="19">
        <v>0</v>
      </c>
      <c r="T17" s="20">
        <v>0</v>
      </c>
      <c r="U17" s="18">
        <v>0</v>
      </c>
      <c r="V17" s="18">
        <v>0</v>
      </c>
      <c r="W17" s="6">
        <v>0</v>
      </c>
      <c r="X17" s="7">
        <v>1</v>
      </c>
      <c r="Y17" s="8">
        <v>0</v>
      </c>
      <c r="Z17" s="8">
        <v>0</v>
      </c>
      <c r="AA17" s="6">
        <v>0</v>
      </c>
      <c r="AG17" t="str">
        <f t="shared" si="16"/>
        <v>10001100</v>
      </c>
      <c r="AH17" t="str">
        <f t="shared" si="17"/>
        <v>8C</v>
      </c>
      <c r="AI17" t="str">
        <f t="shared" si="18"/>
        <v>08</v>
      </c>
    </row>
    <row r="18" spans="1:35" x14ac:dyDescent="0.25">
      <c r="A18">
        <f t="shared" si="14"/>
        <v>10</v>
      </c>
      <c r="B18" t="str">
        <f t="shared" si="9"/>
        <v>0x00A</v>
      </c>
      <c r="C18">
        <v>0</v>
      </c>
      <c r="D18" t="str">
        <f t="shared" si="15"/>
        <v>00000</v>
      </c>
      <c r="E18" t="s">
        <v>48</v>
      </c>
      <c r="AG18" t="str">
        <f t="shared" si="16"/>
        <v/>
      </c>
      <c r="AH18" t="str">
        <f t="shared" si="17"/>
        <v>00</v>
      </c>
      <c r="AI18" t="str">
        <f t="shared" si="18"/>
        <v>00</v>
      </c>
    </row>
    <row r="19" spans="1:35" x14ac:dyDescent="0.25">
      <c r="A19">
        <f t="shared" si="14"/>
        <v>11</v>
      </c>
      <c r="B19" t="str">
        <f t="shared" si="9"/>
        <v>0x00B</v>
      </c>
      <c r="C19">
        <v>0</v>
      </c>
      <c r="D19" t="str">
        <f t="shared" si="15"/>
        <v>00000</v>
      </c>
      <c r="E19" t="s">
        <v>49</v>
      </c>
      <c r="F19" t="s">
        <v>106</v>
      </c>
      <c r="AG19" t="str">
        <f t="shared" si="16"/>
        <v/>
      </c>
      <c r="AH19" t="str">
        <f t="shared" si="17"/>
        <v>00</v>
      </c>
      <c r="AI19" t="str">
        <f t="shared" si="18"/>
        <v>00</v>
      </c>
    </row>
    <row r="20" spans="1:35" x14ac:dyDescent="0.25">
      <c r="A20">
        <f t="shared" si="14"/>
        <v>12</v>
      </c>
      <c r="B20" t="str">
        <f t="shared" si="9"/>
        <v>0x00C</v>
      </c>
      <c r="C20">
        <v>0</v>
      </c>
      <c r="D20" t="str">
        <f t="shared" si="15"/>
        <v>00000</v>
      </c>
      <c r="E20" t="s">
        <v>50</v>
      </c>
      <c r="F20" t="s">
        <v>107</v>
      </c>
      <c r="AG20" t="str">
        <f t="shared" si="16"/>
        <v/>
      </c>
      <c r="AH20" t="str">
        <f t="shared" si="17"/>
        <v>00</v>
      </c>
      <c r="AI20" t="str">
        <f t="shared" si="18"/>
        <v>00</v>
      </c>
    </row>
    <row r="21" spans="1:35" x14ac:dyDescent="0.25">
      <c r="A21">
        <f t="shared" si="14"/>
        <v>13</v>
      </c>
      <c r="B21" t="str">
        <f t="shared" si="9"/>
        <v>0x00D</v>
      </c>
      <c r="C21">
        <v>0</v>
      </c>
      <c r="D21" t="str">
        <f t="shared" si="15"/>
        <v>00000</v>
      </c>
      <c r="E21" t="s">
        <v>51</v>
      </c>
      <c r="F21" t="s">
        <v>110</v>
      </c>
      <c r="H21" t="s">
        <v>111</v>
      </c>
      <c r="K21" s="22">
        <v>0</v>
      </c>
      <c r="L21" s="12">
        <v>1</v>
      </c>
      <c r="M21" s="13">
        <v>0</v>
      </c>
      <c r="N21" s="13">
        <v>1</v>
      </c>
      <c r="O21" s="14">
        <v>1</v>
      </c>
      <c r="P21" s="12">
        <v>1</v>
      </c>
      <c r="Q21" s="2">
        <v>1</v>
      </c>
      <c r="R21" s="18">
        <v>0</v>
      </c>
      <c r="S21" s="19">
        <v>0</v>
      </c>
      <c r="T21" s="20">
        <v>0</v>
      </c>
      <c r="U21" s="18">
        <v>0</v>
      </c>
      <c r="V21" s="18">
        <v>0</v>
      </c>
      <c r="W21" s="6">
        <v>0</v>
      </c>
      <c r="X21" s="7">
        <v>0</v>
      </c>
      <c r="Y21" s="8">
        <v>0</v>
      </c>
      <c r="Z21" s="8">
        <v>1</v>
      </c>
      <c r="AA21" s="6">
        <v>0</v>
      </c>
      <c r="AG21" t="str">
        <f t="shared" si="16"/>
        <v>10111100</v>
      </c>
      <c r="AH21" t="str">
        <f t="shared" si="17"/>
        <v>BC</v>
      </c>
      <c r="AI21" t="str">
        <f t="shared" si="18"/>
        <v>02</v>
      </c>
    </row>
    <row r="22" spans="1:35" x14ac:dyDescent="0.25">
      <c r="A22">
        <f t="shared" si="14"/>
        <v>14</v>
      </c>
      <c r="B22" t="str">
        <f t="shared" si="9"/>
        <v>0x00E</v>
      </c>
      <c r="C22">
        <v>0</v>
      </c>
      <c r="D22" t="str">
        <f t="shared" si="15"/>
        <v>00000</v>
      </c>
      <c r="E22" t="s">
        <v>52</v>
      </c>
      <c r="F22" t="s">
        <v>110</v>
      </c>
      <c r="H22" t="s">
        <v>112</v>
      </c>
      <c r="K22" s="22">
        <v>0</v>
      </c>
      <c r="L22" s="12">
        <v>1</v>
      </c>
      <c r="M22" s="13">
        <v>0</v>
      </c>
      <c r="N22" s="13">
        <v>1</v>
      </c>
      <c r="O22" s="14">
        <v>1</v>
      </c>
      <c r="P22" s="12">
        <v>1</v>
      </c>
      <c r="Q22" s="2">
        <v>1</v>
      </c>
      <c r="R22" s="18">
        <v>0</v>
      </c>
      <c r="S22" s="19">
        <v>0</v>
      </c>
      <c r="T22" s="20">
        <v>0</v>
      </c>
      <c r="U22" s="18">
        <v>0</v>
      </c>
      <c r="V22" s="18">
        <v>0</v>
      </c>
      <c r="W22" s="6">
        <v>0</v>
      </c>
      <c r="X22" s="7">
        <v>0</v>
      </c>
      <c r="Y22" s="8">
        <v>0</v>
      </c>
      <c r="Z22" s="8">
        <v>0</v>
      </c>
      <c r="AA22" s="6">
        <v>1</v>
      </c>
      <c r="AG22" t="str">
        <f t="shared" si="16"/>
        <v>10111100</v>
      </c>
      <c r="AH22" t="str">
        <f t="shared" si="17"/>
        <v>BC</v>
      </c>
      <c r="AI22" t="str">
        <f t="shared" si="18"/>
        <v>01</v>
      </c>
    </row>
    <row r="23" spans="1:35" x14ac:dyDescent="0.25">
      <c r="A23">
        <f t="shared" si="14"/>
        <v>15</v>
      </c>
      <c r="B23" t="str">
        <f t="shared" si="9"/>
        <v>0x00F</v>
      </c>
      <c r="C23">
        <v>0</v>
      </c>
      <c r="D23" t="str">
        <f t="shared" si="15"/>
        <v>00000</v>
      </c>
      <c r="E23" t="s">
        <v>53</v>
      </c>
      <c r="F23" t="s">
        <v>113</v>
      </c>
      <c r="H23" t="s">
        <v>114</v>
      </c>
      <c r="K23" s="22">
        <v>0</v>
      </c>
      <c r="L23" s="12">
        <v>1</v>
      </c>
      <c r="M23" s="13">
        <v>0</v>
      </c>
      <c r="N23" s="13">
        <v>1</v>
      </c>
      <c r="O23" s="14">
        <v>1</v>
      </c>
      <c r="P23" s="12">
        <v>1</v>
      </c>
      <c r="Q23" s="2">
        <v>1</v>
      </c>
      <c r="R23" s="18">
        <v>0</v>
      </c>
      <c r="S23" s="19">
        <v>0</v>
      </c>
      <c r="T23" s="20">
        <v>0</v>
      </c>
      <c r="U23" s="18">
        <v>0</v>
      </c>
      <c r="V23" s="18">
        <v>0</v>
      </c>
      <c r="W23" s="6">
        <v>1</v>
      </c>
      <c r="X23" s="7">
        <v>0</v>
      </c>
      <c r="Y23" s="8">
        <v>0</v>
      </c>
      <c r="Z23" s="8">
        <v>0</v>
      </c>
      <c r="AA23" s="6">
        <v>0</v>
      </c>
      <c r="AG23" t="str">
        <f t="shared" si="16"/>
        <v>10111100</v>
      </c>
      <c r="AH23" t="str">
        <f t="shared" si="17"/>
        <v>BC</v>
      </c>
      <c r="AI23" t="str">
        <f t="shared" si="18"/>
        <v>10</v>
      </c>
    </row>
    <row r="24" spans="1:35" x14ac:dyDescent="0.25">
      <c r="A24">
        <f t="shared" si="14"/>
        <v>16</v>
      </c>
      <c r="B24" t="str">
        <f t="shared" si="9"/>
        <v>0x010</v>
      </c>
      <c r="C24">
        <v>0</v>
      </c>
      <c r="D24" t="str">
        <f t="shared" si="15"/>
        <v>00000</v>
      </c>
      <c r="E24" t="s">
        <v>54</v>
      </c>
      <c r="F24" t="s">
        <v>115</v>
      </c>
      <c r="H24" t="s">
        <v>116</v>
      </c>
      <c r="K24" s="22">
        <v>0</v>
      </c>
      <c r="L24" s="12">
        <v>1</v>
      </c>
      <c r="M24" s="13">
        <v>0</v>
      </c>
      <c r="N24" s="13">
        <v>1</v>
      </c>
      <c r="O24" s="14">
        <v>1</v>
      </c>
      <c r="P24" s="12">
        <v>1</v>
      </c>
      <c r="Q24" s="2">
        <v>0</v>
      </c>
      <c r="R24" s="18">
        <v>0</v>
      </c>
      <c r="S24" s="19">
        <v>0</v>
      </c>
      <c r="T24" s="20">
        <v>0</v>
      </c>
      <c r="U24" s="18">
        <v>0</v>
      </c>
      <c r="V24" s="18">
        <v>0</v>
      </c>
      <c r="W24" s="6">
        <v>1</v>
      </c>
      <c r="X24" s="7">
        <v>0</v>
      </c>
      <c r="Y24" s="8">
        <v>1</v>
      </c>
      <c r="Z24" s="8">
        <v>0</v>
      </c>
      <c r="AA24" s="6">
        <v>0</v>
      </c>
      <c r="AG24" t="str">
        <f t="shared" si="16"/>
        <v>10111000</v>
      </c>
      <c r="AH24" t="str">
        <f t="shared" si="17"/>
        <v>B8</v>
      </c>
      <c r="AI24" t="str">
        <f t="shared" si="18"/>
        <v>14</v>
      </c>
    </row>
    <row r="25" spans="1:35" x14ac:dyDescent="0.25">
      <c r="A25">
        <f t="shared" si="14"/>
        <v>17</v>
      </c>
      <c r="B25" t="str">
        <f t="shared" si="9"/>
        <v>0x011</v>
      </c>
      <c r="C25">
        <v>0</v>
      </c>
      <c r="D25" t="str">
        <f t="shared" si="15"/>
        <v>00000</v>
      </c>
      <c r="E25" t="s">
        <v>55</v>
      </c>
      <c r="AG25" t="str">
        <f t="shared" si="16"/>
        <v/>
      </c>
      <c r="AH25" t="str">
        <f t="shared" si="17"/>
        <v>00</v>
      </c>
      <c r="AI25" t="str">
        <f t="shared" si="18"/>
        <v>00</v>
      </c>
    </row>
    <row r="26" spans="1:35" x14ac:dyDescent="0.25">
      <c r="A26">
        <f t="shared" si="14"/>
        <v>18</v>
      </c>
      <c r="B26" t="str">
        <f t="shared" si="9"/>
        <v>0x012</v>
      </c>
      <c r="C26">
        <v>0</v>
      </c>
      <c r="D26" t="str">
        <f t="shared" si="15"/>
        <v>00000</v>
      </c>
      <c r="E26" t="s">
        <v>56</v>
      </c>
      <c r="F26" t="s">
        <v>175</v>
      </c>
      <c r="H26" t="s">
        <v>176</v>
      </c>
      <c r="I26" t="s">
        <v>177</v>
      </c>
      <c r="K26" s="22">
        <v>0</v>
      </c>
      <c r="L26" s="12">
        <v>1</v>
      </c>
      <c r="M26" s="13">
        <v>1</v>
      </c>
      <c r="N26" s="13">
        <v>1</v>
      </c>
      <c r="O26" s="14">
        <v>1</v>
      </c>
      <c r="P26" s="12">
        <v>1</v>
      </c>
      <c r="Q26" s="2">
        <v>0</v>
      </c>
      <c r="R26" s="18">
        <v>0</v>
      </c>
      <c r="S26" s="19">
        <v>0</v>
      </c>
      <c r="T26" s="20">
        <v>0</v>
      </c>
      <c r="U26" s="18">
        <v>0</v>
      </c>
      <c r="V26" s="18">
        <v>1</v>
      </c>
      <c r="W26" s="6">
        <v>1</v>
      </c>
      <c r="X26" s="7">
        <v>1</v>
      </c>
      <c r="Y26" s="8">
        <v>1</v>
      </c>
      <c r="Z26" s="8">
        <v>1</v>
      </c>
      <c r="AA26" s="6">
        <v>0</v>
      </c>
      <c r="AG26" t="str">
        <f t="shared" si="16"/>
        <v>11111000</v>
      </c>
      <c r="AH26" t="str">
        <f t="shared" si="17"/>
        <v>F8</v>
      </c>
      <c r="AI26" t="str">
        <f t="shared" si="18"/>
        <v>3E</v>
      </c>
    </row>
    <row r="27" spans="1:35" x14ac:dyDescent="0.25">
      <c r="A27">
        <f t="shared" si="14"/>
        <v>19</v>
      </c>
      <c r="B27" t="str">
        <f t="shared" si="9"/>
        <v>0x013</v>
      </c>
      <c r="C27">
        <v>0</v>
      </c>
      <c r="D27" t="str">
        <f t="shared" si="15"/>
        <v>00000</v>
      </c>
      <c r="E27" t="s">
        <v>57</v>
      </c>
      <c r="F27" t="s">
        <v>175</v>
      </c>
      <c r="H27" t="s">
        <v>121</v>
      </c>
      <c r="I27" t="s">
        <v>177</v>
      </c>
      <c r="J27" t="s">
        <v>178</v>
      </c>
      <c r="K27" s="22">
        <v>1</v>
      </c>
      <c r="AG27" t="str">
        <f t="shared" ref="AG27:AG30" si="19">CONCATENATE(L27,M27,N27,O27,P27,Q27,R27,S27)</f>
        <v/>
      </c>
      <c r="AH27" t="str">
        <f t="shared" ref="AH27:AH30" si="20">BIN2HEX(AG27,2)</f>
        <v>00</v>
      </c>
      <c r="AI27" t="str">
        <f t="shared" ref="AI27:AI30" si="21">BIN2HEX(CONCATENATE(T27,U27,V27,W27,X27,Y27,Z27,AA27),2)</f>
        <v>00</v>
      </c>
    </row>
    <row r="28" spans="1:35" x14ac:dyDescent="0.25">
      <c r="A28">
        <f t="shared" si="14"/>
        <v>20</v>
      </c>
      <c r="B28" t="str">
        <f t="shared" si="9"/>
        <v>0x014</v>
      </c>
      <c r="C28">
        <v>0</v>
      </c>
      <c r="D28" t="str">
        <f t="shared" si="15"/>
        <v>00000</v>
      </c>
      <c r="E28" t="s">
        <v>58</v>
      </c>
      <c r="H28" t="s">
        <v>121</v>
      </c>
      <c r="I28" t="s">
        <v>177</v>
      </c>
      <c r="J28" t="s">
        <v>179</v>
      </c>
      <c r="AG28" t="str">
        <f t="shared" si="19"/>
        <v/>
      </c>
      <c r="AH28" t="str">
        <f t="shared" si="20"/>
        <v>00</v>
      </c>
      <c r="AI28" t="str">
        <f t="shared" si="21"/>
        <v>00</v>
      </c>
    </row>
    <row r="29" spans="1:35" x14ac:dyDescent="0.25">
      <c r="A29">
        <f t="shared" si="14"/>
        <v>21</v>
      </c>
      <c r="B29" t="str">
        <f t="shared" si="9"/>
        <v>0x015</v>
      </c>
      <c r="C29">
        <v>0</v>
      </c>
      <c r="D29" t="str">
        <f t="shared" si="15"/>
        <v>00000</v>
      </c>
      <c r="E29" t="s">
        <v>59</v>
      </c>
      <c r="F29" t="s">
        <v>175</v>
      </c>
      <c r="H29" t="s">
        <v>180</v>
      </c>
      <c r="J29" t="s">
        <v>181</v>
      </c>
      <c r="K29" s="22">
        <v>0</v>
      </c>
      <c r="L29" s="12">
        <v>1</v>
      </c>
      <c r="M29" s="13">
        <v>1</v>
      </c>
      <c r="N29" s="13">
        <v>1</v>
      </c>
      <c r="O29" s="14">
        <v>1</v>
      </c>
      <c r="P29" s="12">
        <v>1</v>
      </c>
      <c r="Q29" s="2">
        <v>1</v>
      </c>
      <c r="R29" s="18">
        <v>0</v>
      </c>
      <c r="S29" s="19">
        <v>0</v>
      </c>
      <c r="T29" s="20">
        <v>0</v>
      </c>
      <c r="U29" s="18">
        <v>0</v>
      </c>
      <c r="V29" s="18">
        <v>0</v>
      </c>
      <c r="W29" s="6">
        <v>0</v>
      </c>
      <c r="X29" s="7">
        <v>0</v>
      </c>
      <c r="Y29" s="8">
        <v>0</v>
      </c>
      <c r="Z29" s="8">
        <v>0</v>
      </c>
      <c r="AA29" s="6">
        <v>1</v>
      </c>
      <c r="AG29" t="str">
        <f t="shared" si="19"/>
        <v>11111100</v>
      </c>
      <c r="AH29" t="str">
        <f t="shared" si="20"/>
        <v>FC</v>
      </c>
      <c r="AI29" t="str">
        <f t="shared" si="21"/>
        <v>01</v>
      </c>
    </row>
    <row r="30" spans="1:35" x14ac:dyDescent="0.25">
      <c r="A30">
        <f t="shared" si="14"/>
        <v>22</v>
      </c>
      <c r="B30" t="str">
        <f t="shared" si="9"/>
        <v>0x016</v>
      </c>
      <c r="C30">
        <v>0</v>
      </c>
      <c r="D30" t="str">
        <f t="shared" si="15"/>
        <v>00000</v>
      </c>
      <c r="E30" t="s">
        <v>60</v>
      </c>
      <c r="F30" t="s">
        <v>175</v>
      </c>
      <c r="H30" t="s">
        <v>182</v>
      </c>
      <c r="J30" t="s">
        <v>181</v>
      </c>
      <c r="K30" s="22">
        <v>0</v>
      </c>
      <c r="L30" s="12">
        <v>1</v>
      </c>
      <c r="M30" s="13">
        <v>1</v>
      </c>
      <c r="N30" s="13">
        <v>1</v>
      </c>
      <c r="O30" s="14">
        <v>1</v>
      </c>
      <c r="P30" s="12">
        <v>1</v>
      </c>
      <c r="Q30" s="2">
        <v>0</v>
      </c>
      <c r="R30" s="18">
        <v>0</v>
      </c>
      <c r="S30" s="19">
        <v>0</v>
      </c>
      <c r="T30" s="20">
        <v>0</v>
      </c>
      <c r="U30" s="18">
        <v>0</v>
      </c>
      <c r="V30" s="18">
        <v>0</v>
      </c>
      <c r="W30" s="6">
        <v>1</v>
      </c>
      <c r="X30" s="7">
        <v>0</v>
      </c>
      <c r="Y30" s="8">
        <v>0</v>
      </c>
      <c r="Z30" s="8">
        <v>0</v>
      </c>
      <c r="AA30" s="6">
        <v>1</v>
      </c>
      <c r="AG30" t="str">
        <f t="shared" si="19"/>
        <v>11111000</v>
      </c>
      <c r="AH30" t="str">
        <f t="shared" si="20"/>
        <v>F8</v>
      </c>
      <c r="AI30" t="str">
        <f t="shared" si="21"/>
        <v>11</v>
      </c>
    </row>
    <row r="31" spans="1:35" x14ac:dyDescent="0.25">
      <c r="A31">
        <f t="shared" si="14"/>
        <v>23</v>
      </c>
      <c r="B31" t="str">
        <f t="shared" si="9"/>
        <v>0x017</v>
      </c>
      <c r="C31">
        <v>0</v>
      </c>
      <c r="D31" t="str">
        <f t="shared" si="15"/>
        <v>00000</v>
      </c>
      <c r="E31" t="s">
        <v>61</v>
      </c>
    </row>
    <row r="32" spans="1:35" x14ac:dyDescent="0.25">
      <c r="A32">
        <f t="shared" si="14"/>
        <v>24</v>
      </c>
      <c r="B32" t="str">
        <f t="shared" si="9"/>
        <v>0x018</v>
      </c>
      <c r="C32">
        <v>0</v>
      </c>
      <c r="D32" t="str">
        <f t="shared" si="15"/>
        <v>00000</v>
      </c>
      <c r="E32" t="s">
        <v>62</v>
      </c>
      <c r="F32" t="s">
        <v>108</v>
      </c>
      <c r="G32" t="s">
        <v>33</v>
      </c>
      <c r="K32" s="22">
        <v>0</v>
      </c>
      <c r="L32" s="12">
        <v>1</v>
      </c>
      <c r="M32" s="13">
        <v>0</v>
      </c>
      <c r="N32" s="13">
        <v>1</v>
      </c>
      <c r="O32" s="14">
        <v>1</v>
      </c>
      <c r="P32" s="12">
        <v>1</v>
      </c>
      <c r="Q32" s="2">
        <v>0</v>
      </c>
      <c r="R32" s="18">
        <v>0</v>
      </c>
      <c r="S32" s="19">
        <v>0</v>
      </c>
      <c r="T32" s="20">
        <v>0</v>
      </c>
      <c r="U32" s="18">
        <v>1</v>
      </c>
      <c r="V32" s="18">
        <v>0</v>
      </c>
      <c r="W32" s="6">
        <v>1</v>
      </c>
      <c r="X32" s="7">
        <v>1</v>
      </c>
      <c r="Y32" s="8">
        <v>1</v>
      </c>
      <c r="Z32" s="8">
        <v>1</v>
      </c>
      <c r="AA32" s="6">
        <v>1</v>
      </c>
      <c r="AG32" t="str">
        <f>CONCATENATE(L32,M32,N32,O32,P32,Q32,R32,S32)</f>
        <v>10111000</v>
      </c>
      <c r="AH32" t="str">
        <f>BIN2HEX(AG32,2)</f>
        <v>B8</v>
      </c>
      <c r="AI32" t="str">
        <f>BIN2HEX(CONCATENATE(T32,U32,V32,W32,X32,Y32,Z32,AA32),2)</f>
        <v>5F</v>
      </c>
    </row>
    <row r="33" spans="1:35" x14ac:dyDescent="0.25">
      <c r="A33">
        <f t="shared" si="14"/>
        <v>25</v>
      </c>
      <c r="B33" t="str">
        <f t="shared" si="9"/>
        <v>0x019</v>
      </c>
      <c r="C33">
        <v>0</v>
      </c>
      <c r="D33" t="str">
        <f t="shared" si="15"/>
        <v>00000</v>
      </c>
      <c r="E33" t="s">
        <v>63</v>
      </c>
    </row>
    <row r="34" spans="1:35" x14ac:dyDescent="0.25">
      <c r="A34">
        <f t="shared" si="14"/>
        <v>26</v>
      </c>
      <c r="B34" t="str">
        <f t="shared" si="9"/>
        <v>0x01A</v>
      </c>
      <c r="C34">
        <v>0</v>
      </c>
      <c r="D34" t="str">
        <f t="shared" si="15"/>
        <v>00000</v>
      </c>
      <c r="E34" t="s">
        <v>64</v>
      </c>
      <c r="F34" t="s">
        <v>110</v>
      </c>
      <c r="H34" t="s">
        <v>195</v>
      </c>
      <c r="K34" s="22">
        <v>0</v>
      </c>
      <c r="L34" s="12">
        <v>1</v>
      </c>
      <c r="M34" s="13">
        <v>0</v>
      </c>
      <c r="N34" s="13">
        <v>0</v>
      </c>
      <c r="O34" s="14">
        <v>0</v>
      </c>
      <c r="P34" s="12">
        <v>1</v>
      </c>
      <c r="Q34" s="2">
        <v>1</v>
      </c>
      <c r="R34" s="18">
        <v>0</v>
      </c>
      <c r="S34" s="19">
        <v>0</v>
      </c>
      <c r="T34" s="20">
        <v>0</v>
      </c>
      <c r="U34" s="18">
        <v>0</v>
      </c>
      <c r="V34" s="18">
        <v>0</v>
      </c>
      <c r="W34" s="6">
        <v>0</v>
      </c>
      <c r="X34" s="7">
        <v>0</v>
      </c>
      <c r="Y34" s="8">
        <v>0</v>
      </c>
      <c r="Z34" s="8">
        <v>0</v>
      </c>
      <c r="AA34" s="6">
        <v>0</v>
      </c>
      <c r="AG34" t="str">
        <f t="shared" ref="AG34:AG36" si="22">CONCATENATE(L34,M34,N34,O34,P34,Q34,R34,S34)</f>
        <v>10001100</v>
      </c>
      <c r="AH34" t="str">
        <f t="shared" ref="AH34:AH36" si="23">BIN2HEX(AG34,2)</f>
        <v>8C</v>
      </c>
      <c r="AI34" t="str">
        <f t="shared" ref="AI34:AI36" si="24">BIN2HEX(CONCATENATE(T34,U34,V34,W34,X34,Y34,Z34,AA34),2)</f>
        <v>00</v>
      </c>
    </row>
    <row r="35" spans="1:35" x14ac:dyDescent="0.25">
      <c r="A35">
        <f t="shared" si="14"/>
        <v>27</v>
      </c>
      <c r="B35" t="str">
        <f t="shared" si="9"/>
        <v>0x01B</v>
      </c>
      <c r="C35">
        <v>0</v>
      </c>
      <c r="D35" t="str">
        <f t="shared" si="15"/>
        <v>00000</v>
      </c>
      <c r="E35" t="s">
        <v>65</v>
      </c>
      <c r="F35" t="s">
        <v>110</v>
      </c>
      <c r="H35" t="s">
        <v>112</v>
      </c>
      <c r="K35" s="22">
        <v>0</v>
      </c>
      <c r="L35" s="12">
        <v>1</v>
      </c>
      <c r="M35" s="13">
        <v>0</v>
      </c>
      <c r="N35" s="13">
        <v>1</v>
      </c>
      <c r="O35" s="14">
        <v>1</v>
      </c>
      <c r="P35" s="12">
        <v>1</v>
      </c>
      <c r="Q35" s="2">
        <v>1</v>
      </c>
      <c r="R35" s="18">
        <v>0</v>
      </c>
      <c r="S35" s="19">
        <v>0</v>
      </c>
      <c r="T35" s="20">
        <v>0</v>
      </c>
      <c r="U35" s="18">
        <v>0</v>
      </c>
      <c r="V35" s="18">
        <v>0</v>
      </c>
      <c r="W35" s="6">
        <v>0</v>
      </c>
      <c r="X35" s="7">
        <v>0</v>
      </c>
      <c r="Y35" s="8">
        <v>0</v>
      </c>
      <c r="Z35" s="8">
        <v>0</v>
      </c>
      <c r="AA35" s="6">
        <v>1</v>
      </c>
      <c r="AG35" t="str">
        <f t="shared" si="22"/>
        <v>10111100</v>
      </c>
      <c r="AH35" t="str">
        <f t="shared" si="23"/>
        <v>BC</v>
      </c>
      <c r="AI35" t="str">
        <f t="shared" si="24"/>
        <v>01</v>
      </c>
    </row>
    <row r="36" spans="1:35" x14ac:dyDescent="0.25">
      <c r="A36">
        <f t="shared" si="14"/>
        <v>28</v>
      </c>
      <c r="B36" t="str">
        <f t="shared" si="9"/>
        <v>0x01C</v>
      </c>
      <c r="C36">
        <v>0</v>
      </c>
      <c r="D36" t="str">
        <f t="shared" si="15"/>
        <v>00000</v>
      </c>
      <c r="E36" t="s">
        <v>66</v>
      </c>
      <c r="F36" t="s">
        <v>108</v>
      </c>
      <c r="K36" s="22">
        <v>0</v>
      </c>
      <c r="L36" s="12">
        <v>1</v>
      </c>
      <c r="M36" s="13">
        <v>0</v>
      </c>
      <c r="N36" s="13">
        <v>1</v>
      </c>
      <c r="O36" s="14">
        <v>1</v>
      </c>
      <c r="P36" s="12">
        <v>1</v>
      </c>
      <c r="Q36" s="2">
        <v>0</v>
      </c>
      <c r="R36" s="18">
        <v>0</v>
      </c>
      <c r="S36" s="19">
        <v>0</v>
      </c>
      <c r="T36" s="20">
        <v>0</v>
      </c>
      <c r="U36" s="18">
        <v>1</v>
      </c>
      <c r="V36" s="18">
        <v>0</v>
      </c>
      <c r="W36" s="6">
        <v>0</v>
      </c>
      <c r="X36" s="7">
        <v>0</v>
      </c>
      <c r="Y36" s="8">
        <v>0</v>
      </c>
      <c r="Z36" s="8">
        <v>1</v>
      </c>
      <c r="AA36" s="6">
        <v>1</v>
      </c>
      <c r="AG36" t="str">
        <f t="shared" si="22"/>
        <v>10111000</v>
      </c>
      <c r="AH36" t="str">
        <f t="shared" si="23"/>
        <v>B8</v>
      </c>
      <c r="AI36" t="str">
        <f t="shared" si="24"/>
        <v>43</v>
      </c>
    </row>
    <row r="37" spans="1:35" x14ac:dyDescent="0.25">
      <c r="A37">
        <f t="shared" si="14"/>
        <v>29</v>
      </c>
      <c r="B37" t="str">
        <f t="shared" si="9"/>
        <v>0x01D</v>
      </c>
      <c r="C37">
        <v>0</v>
      </c>
      <c r="D37" t="str">
        <f t="shared" si="15"/>
        <v>00000</v>
      </c>
      <c r="E37" t="s">
        <v>67</v>
      </c>
      <c r="F37" t="s">
        <v>110</v>
      </c>
      <c r="H37" t="s">
        <v>200</v>
      </c>
      <c r="K37" s="22">
        <v>0</v>
      </c>
      <c r="L37" s="12">
        <v>1</v>
      </c>
      <c r="M37" s="13">
        <v>0</v>
      </c>
      <c r="N37" s="13">
        <v>1</v>
      </c>
      <c r="O37" s="14">
        <v>1</v>
      </c>
      <c r="P37" s="12">
        <v>1</v>
      </c>
      <c r="Q37" s="2">
        <v>1</v>
      </c>
      <c r="R37" s="18">
        <v>0</v>
      </c>
      <c r="S37" s="19">
        <v>0</v>
      </c>
      <c r="T37" s="20">
        <v>0</v>
      </c>
      <c r="U37" s="18">
        <v>0</v>
      </c>
      <c r="V37" s="18">
        <v>0</v>
      </c>
      <c r="W37" s="6">
        <v>0</v>
      </c>
      <c r="X37" s="7">
        <v>0</v>
      </c>
      <c r="Y37" s="8">
        <v>0</v>
      </c>
      <c r="Z37" s="8">
        <v>1</v>
      </c>
      <c r="AA37" s="6">
        <v>0</v>
      </c>
      <c r="AG37" t="str">
        <f t="shared" ref="AG37:AG38" si="25">CONCATENATE(L37,M37,N37,O37,P37,Q37,R37,S37)</f>
        <v>10111100</v>
      </c>
      <c r="AH37" t="str">
        <f t="shared" ref="AH37:AH38" si="26">BIN2HEX(AG37,2)</f>
        <v>BC</v>
      </c>
      <c r="AI37" t="str">
        <f t="shared" ref="AI37:AI38" si="27">BIN2HEX(CONCATENATE(T37,U37,V37,W37,X37,Y37,Z37,AA37),2)</f>
        <v>02</v>
      </c>
    </row>
    <row r="38" spans="1:35" x14ac:dyDescent="0.25">
      <c r="A38">
        <f t="shared" si="14"/>
        <v>30</v>
      </c>
      <c r="B38" t="str">
        <f t="shared" si="9"/>
        <v>0x01E</v>
      </c>
      <c r="C38">
        <v>0</v>
      </c>
      <c r="D38" t="str">
        <f t="shared" si="15"/>
        <v>00000</v>
      </c>
      <c r="E38" t="s">
        <v>68</v>
      </c>
      <c r="F38" t="s">
        <v>110</v>
      </c>
      <c r="H38" t="s">
        <v>201</v>
      </c>
      <c r="K38" s="22">
        <v>0</v>
      </c>
      <c r="L38" s="12">
        <v>1</v>
      </c>
      <c r="M38" s="13">
        <v>0</v>
      </c>
      <c r="N38" s="13">
        <v>1</v>
      </c>
      <c r="O38" s="14">
        <v>1</v>
      </c>
      <c r="P38" s="12">
        <v>1</v>
      </c>
      <c r="Q38" s="2">
        <v>1</v>
      </c>
      <c r="R38" s="18">
        <v>0</v>
      </c>
      <c r="S38" s="19">
        <v>0</v>
      </c>
      <c r="T38" s="20">
        <v>0</v>
      </c>
      <c r="U38" s="18">
        <v>0</v>
      </c>
      <c r="V38" s="18">
        <v>0</v>
      </c>
      <c r="W38" s="6">
        <v>0</v>
      </c>
      <c r="X38" s="7">
        <v>0</v>
      </c>
      <c r="Y38" s="8">
        <v>0</v>
      </c>
      <c r="Z38" s="8">
        <v>1</v>
      </c>
      <c r="AA38" s="6">
        <v>1</v>
      </c>
      <c r="AG38" t="str">
        <f t="shared" si="25"/>
        <v>10111100</v>
      </c>
      <c r="AH38" t="str">
        <f t="shared" si="26"/>
        <v>BC</v>
      </c>
      <c r="AI38" t="str">
        <f t="shared" si="27"/>
        <v>03</v>
      </c>
    </row>
    <row r="39" spans="1:35" x14ac:dyDescent="0.25">
      <c r="A39">
        <f t="shared" si="14"/>
        <v>31</v>
      </c>
      <c r="B39" t="str">
        <f t="shared" si="9"/>
        <v>0x01F</v>
      </c>
      <c r="C39">
        <v>0</v>
      </c>
      <c r="D39" t="str">
        <f t="shared" si="15"/>
        <v>00000</v>
      </c>
      <c r="E39" t="s">
        <v>69</v>
      </c>
    </row>
    <row r="40" spans="1:35" x14ac:dyDescent="0.25">
      <c r="A40">
        <f t="shared" si="14"/>
        <v>32</v>
      </c>
      <c r="B40" t="str">
        <f t="shared" si="9"/>
        <v>0x020</v>
      </c>
      <c r="C40">
        <v>0</v>
      </c>
      <c r="D40" t="str">
        <f t="shared" si="15"/>
        <v>00000</v>
      </c>
      <c r="E40" t="s">
        <v>32</v>
      </c>
      <c r="F40" t="s">
        <v>35</v>
      </c>
    </row>
    <row r="41" spans="1:35" x14ac:dyDescent="0.25">
      <c r="A41">
        <f t="shared" si="14"/>
        <v>33</v>
      </c>
      <c r="B41" t="str">
        <f t="shared" si="9"/>
        <v>0x021</v>
      </c>
      <c r="C41">
        <f>C40+1</f>
        <v>1</v>
      </c>
      <c r="D41" t="str">
        <f t="shared" si="15"/>
        <v>00001</v>
      </c>
      <c r="E41" t="s">
        <v>32</v>
      </c>
    </row>
    <row r="42" spans="1:35" x14ac:dyDescent="0.25">
      <c r="A42">
        <f t="shared" si="14"/>
        <v>34</v>
      </c>
      <c r="B42" t="str">
        <f t="shared" si="9"/>
        <v>0x022</v>
      </c>
      <c r="C42">
        <f t="shared" ref="C42:C71" si="28">C41+1</f>
        <v>2</v>
      </c>
      <c r="D42" t="str">
        <f t="shared" si="15"/>
        <v>00002</v>
      </c>
      <c r="E42" t="s">
        <v>32</v>
      </c>
    </row>
    <row r="43" spans="1:35" x14ac:dyDescent="0.25">
      <c r="A43">
        <f t="shared" si="14"/>
        <v>35</v>
      </c>
      <c r="B43" t="str">
        <f t="shared" si="9"/>
        <v>0x023</v>
      </c>
      <c r="C43">
        <f t="shared" si="28"/>
        <v>3</v>
      </c>
      <c r="D43" t="str">
        <f t="shared" si="15"/>
        <v>00003</v>
      </c>
      <c r="E43" t="s">
        <v>32</v>
      </c>
    </row>
    <row r="44" spans="1:35" x14ac:dyDescent="0.25">
      <c r="A44">
        <f t="shared" si="14"/>
        <v>36</v>
      </c>
      <c r="B44" t="str">
        <f t="shared" si="9"/>
        <v>0x024</v>
      </c>
      <c r="C44">
        <f t="shared" si="28"/>
        <v>4</v>
      </c>
      <c r="D44" t="str">
        <f t="shared" si="15"/>
        <v>00004</v>
      </c>
      <c r="E44" t="s">
        <v>32</v>
      </c>
    </row>
    <row r="45" spans="1:35" x14ac:dyDescent="0.25">
      <c r="A45">
        <f t="shared" si="14"/>
        <v>37</v>
      </c>
      <c r="B45" t="str">
        <f t="shared" si="9"/>
        <v>0x025</v>
      </c>
      <c r="C45">
        <f t="shared" si="28"/>
        <v>5</v>
      </c>
      <c r="D45" t="str">
        <f t="shared" si="15"/>
        <v>00005</v>
      </c>
      <c r="E45" t="s">
        <v>32</v>
      </c>
    </row>
    <row r="46" spans="1:35" x14ac:dyDescent="0.25">
      <c r="A46">
        <f t="shared" si="14"/>
        <v>38</v>
      </c>
      <c r="B46" t="str">
        <f t="shared" si="9"/>
        <v>0x026</v>
      </c>
      <c r="C46">
        <f t="shared" si="28"/>
        <v>6</v>
      </c>
      <c r="D46" t="str">
        <f t="shared" si="15"/>
        <v>00006</v>
      </c>
      <c r="E46" t="s">
        <v>32</v>
      </c>
    </row>
    <row r="47" spans="1:35" x14ac:dyDescent="0.25">
      <c r="A47">
        <f t="shared" si="14"/>
        <v>39</v>
      </c>
      <c r="B47" t="str">
        <f t="shared" si="9"/>
        <v>0x027</v>
      </c>
      <c r="C47">
        <f t="shared" si="28"/>
        <v>7</v>
      </c>
      <c r="D47" t="str">
        <f t="shared" si="15"/>
        <v>00007</v>
      </c>
      <c r="E47" t="s">
        <v>32</v>
      </c>
    </row>
    <row r="48" spans="1:35" x14ac:dyDescent="0.25">
      <c r="A48">
        <f t="shared" si="14"/>
        <v>40</v>
      </c>
      <c r="B48" t="str">
        <f t="shared" si="9"/>
        <v>0x028</v>
      </c>
      <c r="C48">
        <f t="shared" si="28"/>
        <v>8</v>
      </c>
      <c r="D48" t="str">
        <f t="shared" si="15"/>
        <v>00008</v>
      </c>
      <c r="E48" t="s">
        <v>32</v>
      </c>
    </row>
    <row r="49" spans="1:5" x14ac:dyDescent="0.25">
      <c r="A49">
        <f t="shared" si="14"/>
        <v>41</v>
      </c>
      <c r="B49" t="str">
        <f t="shared" si="9"/>
        <v>0x029</v>
      </c>
      <c r="C49">
        <f t="shared" si="28"/>
        <v>9</v>
      </c>
      <c r="D49" t="str">
        <f t="shared" si="15"/>
        <v>00009</v>
      </c>
      <c r="E49" t="s">
        <v>32</v>
      </c>
    </row>
    <row r="50" spans="1:5" x14ac:dyDescent="0.25">
      <c r="A50">
        <f t="shared" si="14"/>
        <v>42</v>
      </c>
      <c r="B50" t="str">
        <f t="shared" si="9"/>
        <v>0x02A</v>
      </c>
      <c r="C50">
        <f t="shared" si="28"/>
        <v>10</v>
      </c>
      <c r="D50" t="str">
        <f t="shared" si="15"/>
        <v>0000A</v>
      </c>
      <c r="E50" t="s">
        <v>32</v>
      </c>
    </row>
    <row r="51" spans="1:5" x14ac:dyDescent="0.25">
      <c r="A51">
        <f t="shared" si="14"/>
        <v>43</v>
      </c>
      <c r="B51" t="str">
        <f t="shared" si="9"/>
        <v>0x02B</v>
      </c>
      <c r="C51">
        <f t="shared" si="28"/>
        <v>11</v>
      </c>
      <c r="D51" t="str">
        <f t="shared" si="15"/>
        <v>0000B</v>
      </c>
      <c r="E51" t="s">
        <v>32</v>
      </c>
    </row>
    <row r="52" spans="1:5" x14ac:dyDescent="0.25">
      <c r="A52">
        <f t="shared" si="14"/>
        <v>44</v>
      </c>
      <c r="B52" t="str">
        <f t="shared" si="9"/>
        <v>0x02C</v>
      </c>
      <c r="C52">
        <f t="shared" si="28"/>
        <v>12</v>
      </c>
      <c r="D52" t="str">
        <f t="shared" si="15"/>
        <v>0000C</v>
      </c>
      <c r="E52" t="s">
        <v>32</v>
      </c>
    </row>
    <row r="53" spans="1:5" x14ac:dyDescent="0.25">
      <c r="A53">
        <f t="shared" si="14"/>
        <v>45</v>
      </c>
      <c r="B53" t="str">
        <f t="shared" si="9"/>
        <v>0x02D</v>
      </c>
      <c r="C53">
        <f t="shared" si="28"/>
        <v>13</v>
      </c>
      <c r="D53" t="str">
        <f t="shared" si="15"/>
        <v>0000D</v>
      </c>
      <c r="E53" t="s">
        <v>32</v>
      </c>
    </row>
    <row r="54" spans="1:5" x14ac:dyDescent="0.25">
      <c r="A54">
        <f t="shared" si="14"/>
        <v>46</v>
      </c>
      <c r="B54" t="str">
        <f t="shared" si="9"/>
        <v>0x02E</v>
      </c>
      <c r="C54">
        <f t="shared" si="28"/>
        <v>14</v>
      </c>
      <c r="D54" t="str">
        <f t="shared" si="15"/>
        <v>0000E</v>
      </c>
      <c r="E54" t="s">
        <v>32</v>
      </c>
    </row>
    <row r="55" spans="1:5" x14ac:dyDescent="0.25">
      <c r="A55">
        <f t="shared" si="14"/>
        <v>47</v>
      </c>
      <c r="B55" t="str">
        <f t="shared" si="9"/>
        <v>0x02F</v>
      </c>
      <c r="C55">
        <f t="shared" si="28"/>
        <v>15</v>
      </c>
      <c r="D55" t="str">
        <f t="shared" si="15"/>
        <v>0000F</v>
      </c>
      <c r="E55" t="s">
        <v>32</v>
      </c>
    </row>
    <row r="56" spans="1:5" x14ac:dyDescent="0.25">
      <c r="A56">
        <f t="shared" si="14"/>
        <v>48</v>
      </c>
      <c r="B56" t="str">
        <f t="shared" si="9"/>
        <v>0x030</v>
      </c>
      <c r="C56">
        <f t="shared" si="28"/>
        <v>16</v>
      </c>
      <c r="D56" t="str">
        <f t="shared" si="15"/>
        <v>00010</v>
      </c>
      <c r="E56" t="s">
        <v>32</v>
      </c>
    </row>
    <row r="57" spans="1:5" x14ac:dyDescent="0.25">
      <c r="A57">
        <f t="shared" si="14"/>
        <v>49</v>
      </c>
      <c r="B57" t="str">
        <f t="shared" si="9"/>
        <v>0x031</v>
      </c>
      <c r="C57">
        <f t="shared" si="28"/>
        <v>17</v>
      </c>
      <c r="D57" t="str">
        <f t="shared" si="15"/>
        <v>00011</v>
      </c>
      <c r="E57" t="s">
        <v>32</v>
      </c>
    </row>
    <row r="58" spans="1:5" x14ac:dyDescent="0.25">
      <c r="A58">
        <f t="shared" si="14"/>
        <v>50</v>
      </c>
      <c r="B58" t="str">
        <f t="shared" si="9"/>
        <v>0x032</v>
      </c>
      <c r="C58">
        <f t="shared" si="28"/>
        <v>18</v>
      </c>
      <c r="D58" t="str">
        <f t="shared" si="15"/>
        <v>00012</v>
      </c>
      <c r="E58" t="s">
        <v>32</v>
      </c>
    </row>
    <row r="59" spans="1:5" x14ac:dyDescent="0.25">
      <c r="A59">
        <f t="shared" si="14"/>
        <v>51</v>
      </c>
      <c r="B59" t="str">
        <f t="shared" si="9"/>
        <v>0x033</v>
      </c>
      <c r="C59">
        <f t="shared" si="28"/>
        <v>19</v>
      </c>
      <c r="D59" t="str">
        <f t="shared" si="15"/>
        <v>00013</v>
      </c>
      <c r="E59" t="s">
        <v>32</v>
      </c>
    </row>
    <row r="60" spans="1:5" x14ac:dyDescent="0.25">
      <c r="A60">
        <f t="shared" si="14"/>
        <v>52</v>
      </c>
      <c r="B60" t="str">
        <f t="shared" si="9"/>
        <v>0x034</v>
      </c>
      <c r="C60">
        <f t="shared" si="28"/>
        <v>20</v>
      </c>
      <c r="D60" t="str">
        <f t="shared" si="15"/>
        <v>00014</v>
      </c>
      <c r="E60" t="s">
        <v>32</v>
      </c>
    </row>
    <row r="61" spans="1:5" x14ac:dyDescent="0.25">
      <c r="A61">
        <f t="shared" si="14"/>
        <v>53</v>
      </c>
      <c r="B61" t="str">
        <f t="shared" si="9"/>
        <v>0x035</v>
      </c>
      <c r="C61">
        <f t="shared" si="28"/>
        <v>21</v>
      </c>
      <c r="D61" t="str">
        <f t="shared" si="15"/>
        <v>00015</v>
      </c>
      <c r="E61" t="s">
        <v>32</v>
      </c>
    </row>
    <row r="62" spans="1:5" x14ac:dyDescent="0.25">
      <c r="A62">
        <f t="shared" si="14"/>
        <v>54</v>
      </c>
      <c r="B62" t="str">
        <f t="shared" si="9"/>
        <v>0x036</v>
      </c>
      <c r="C62">
        <f t="shared" si="28"/>
        <v>22</v>
      </c>
      <c r="D62" t="str">
        <f t="shared" si="15"/>
        <v>00016</v>
      </c>
      <c r="E62" t="s">
        <v>32</v>
      </c>
    </row>
    <row r="63" spans="1:5" x14ac:dyDescent="0.25">
      <c r="A63">
        <f t="shared" si="14"/>
        <v>55</v>
      </c>
      <c r="B63" t="str">
        <f t="shared" si="9"/>
        <v>0x037</v>
      </c>
      <c r="C63">
        <f t="shared" si="28"/>
        <v>23</v>
      </c>
      <c r="D63" t="str">
        <f t="shared" si="15"/>
        <v>00017</v>
      </c>
      <c r="E63" t="s">
        <v>32</v>
      </c>
    </row>
    <row r="64" spans="1:5" x14ac:dyDescent="0.25">
      <c r="A64">
        <f t="shared" si="14"/>
        <v>56</v>
      </c>
      <c r="B64" t="str">
        <f t="shared" si="9"/>
        <v>0x038</v>
      </c>
      <c r="C64">
        <f t="shared" si="28"/>
        <v>24</v>
      </c>
      <c r="D64" t="str">
        <f t="shared" si="15"/>
        <v>00018</v>
      </c>
      <c r="E64" t="s">
        <v>32</v>
      </c>
    </row>
    <row r="65" spans="1:6" x14ac:dyDescent="0.25">
      <c r="A65">
        <f t="shared" si="14"/>
        <v>57</v>
      </c>
      <c r="B65" t="str">
        <f t="shared" si="9"/>
        <v>0x039</v>
      </c>
      <c r="C65">
        <f t="shared" si="28"/>
        <v>25</v>
      </c>
      <c r="D65" t="str">
        <f t="shared" si="15"/>
        <v>00019</v>
      </c>
      <c r="E65" t="s">
        <v>32</v>
      </c>
    </row>
    <row r="66" spans="1:6" x14ac:dyDescent="0.25">
      <c r="A66">
        <f t="shared" si="14"/>
        <v>58</v>
      </c>
      <c r="B66" t="str">
        <f t="shared" si="9"/>
        <v>0x03A</v>
      </c>
      <c r="C66">
        <f t="shared" si="28"/>
        <v>26</v>
      </c>
      <c r="D66" t="str">
        <f t="shared" si="15"/>
        <v>0001A</v>
      </c>
      <c r="E66" t="s">
        <v>32</v>
      </c>
    </row>
    <row r="67" spans="1:6" x14ac:dyDescent="0.25">
      <c r="A67">
        <f t="shared" si="14"/>
        <v>59</v>
      </c>
      <c r="B67" t="str">
        <f t="shared" si="9"/>
        <v>0x03B</v>
      </c>
      <c r="C67">
        <f t="shared" si="28"/>
        <v>27</v>
      </c>
      <c r="D67" t="str">
        <f t="shared" si="15"/>
        <v>0001B</v>
      </c>
      <c r="E67" t="s">
        <v>32</v>
      </c>
    </row>
    <row r="68" spans="1:6" x14ac:dyDescent="0.25">
      <c r="A68">
        <f t="shared" si="14"/>
        <v>60</v>
      </c>
      <c r="B68" t="str">
        <f t="shared" si="9"/>
        <v>0x03C</v>
      </c>
      <c r="C68">
        <f t="shared" si="28"/>
        <v>28</v>
      </c>
      <c r="D68" t="str">
        <f t="shared" si="15"/>
        <v>0001C</v>
      </c>
      <c r="E68" t="s">
        <v>32</v>
      </c>
    </row>
    <row r="69" spans="1:6" x14ac:dyDescent="0.25">
      <c r="A69">
        <f t="shared" si="14"/>
        <v>61</v>
      </c>
      <c r="B69" t="str">
        <f t="shared" si="9"/>
        <v>0x03D</v>
      </c>
      <c r="C69">
        <f t="shared" si="28"/>
        <v>29</v>
      </c>
      <c r="D69" t="str">
        <f t="shared" si="15"/>
        <v>0001D</v>
      </c>
      <c r="E69" t="s">
        <v>32</v>
      </c>
    </row>
    <row r="70" spans="1:6" x14ac:dyDescent="0.25">
      <c r="A70">
        <f t="shared" si="14"/>
        <v>62</v>
      </c>
      <c r="B70" t="str">
        <f t="shared" si="9"/>
        <v>0x03E</v>
      </c>
      <c r="C70">
        <f t="shared" si="28"/>
        <v>30</v>
      </c>
      <c r="D70" t="str">
        <f t="shared" si="15"/>
        <v>0001E</v>
      </c>
      <c r="E70" t="s">
        <v>32</v>
      </c>
    </row>
    <row r="71" spans="1:6" x14ac:dyDescent="0.25">
      <c r="A71">
        <f t="shared" si="14"/>
        <v>63</v>
      </c>
      <c r="B71" t="str">
        <f t="shared" si="9"/>
        <v>0x03F</v>
      </c>
      <c r="C71">
        <f t="shared" si="28"/>
        <v>31</v>
      </c>
      <c r="D71" t="str">
        <f t="shared" si="15"/>
        <v>0001F</v>
      </c>
      <c r="E71" t="s">
        <v>32</v>
      </c>
      <c r="F71" t="s">
        <v>36</v>
      </c>
    </row>
    <row r="72" spans="1:6" x14ac:dyDescent="0.25">
      <c r="A72">
        <f t="shared" si="14"/>
        <v>64</v>
      </c>
      <c r="B72" t="str">
        <f t="shared" si="9"/>
        <v>0x040</v>
      </c>
      <c r="C72">
        <f ca="1">RANDBETWEEN(0,65535)</f>
        <v>36525</v>
      </c>
      <c r="D72" t="str">
        <f t="shared" ca="1" si="15"/>
        <v>08EAD</v>
      </c>
      <c r="E72" t="s">
        <v>33</v>
      </c>
      <c r="F72" t="s">
        <v>35</v>
      </c>
    </row>
    <row r="73" spans="1:6" x14ac:dyDescent="0.25">
      <c r="A73">
        <f t="shared" si="14"/>
        <v>65</v>
      </c>
      <c r="B73" t="str">
        <f t="shared" ref="B73:B136" si="29">CONCATENATE("0x",DEC2HEX(A73,3))</f>
        <v>0x041</v>
      </c>
      <c r="C73">
        <f t="shared" ref="C73:C103" ca="1" si="30">RANDBETWEEN(0,65535)</f>
        <v>53854</v>
      </c>
      <c r="D73" t="str">
        <f t="shared" ref="D73:D136" ca="1" si="31">DEC2HEX(C73,5)</f>
        <v>0D25E</v>
      </c>
      <c r="E73" t="s">
        <v>33</v>
      </c>
    </row>
    <row r="74" spans="1:6" x14ac:dyDescent="0.25">
      <c r="A74">
        <f t="shared" ref="A74:A137" si="32">A73+1</f>
        <v>66</v>
      </c>
      <c r="B74" t="str">
        <f t="shared" si="29"/>
        <v>0x042</v>
      </c>
      <c r="C74">
        <f t="shared" ca="1" si="30"/>
        <v>5387</v>
      </c>
      <c r="D74" t="str">
        <f t="shared" ca="1" si="31"/>
        <v>0150B</v>
      </c>
      <c r="E74" t="s">
        <v>33</v>
      </c>
    </row>
    <row r="75" spans="1:6" x14ac:dyDescent="0.25">
      <c r="A75">
        <f t="shared" si="32"/>
        <v>67</v>
      </c>
      <c r="B75" t="str">
        <f t="shared" si="29"/>
        <v>0x043</v>
      </c>
      <c r="C75">
        <f t="shared" ca="1" si="30"/>
        <v>5499</v>
      </c>
      <c r="D75" t="str">
        <f t="shared" ca="1" si="31"/>
        <v>0157B</v>
      </c>
      <c r="E75" t="s">
        <v>33</v>
      </c>
    </row>
    <row r="76" spans="1:6" x14ac:dyDescent="0.25">
      <c r="A76">
        <f t="shared" si="32"/>
        <v>68</v>
      </c>
      <c r="B76" t="str">
        <f t="shared" si="29"/>
        <v>0x044</v>
      </c>
      <c r="C76">
        <f t="shared" ca="1" si="30"/>
        <v>3461</v>
      </c>
      <c r="D76" t="str">
        <f t="shared" ca="1" si="31"/>
        <v>00D85</v>
      </c>
      <c r="E76" t="s">
        <v>33</v>
      </c>
    </row>
    <row r="77" spans="1:6" x14ac:dyDescent="0.25">
      <c r="A77">
        <f t="shared" si="32"/>
        <v>69</v>
      </c>
      <c r="B77" t="str">
        <f t="shared" si="29"/>
        <v>0x045</v>
      </c>
      <c r="C77">
        <f t="shared" ca="1" si="30"/>
        <v>55198</v>
      </c>
      <c r="D77" t="str">
        <f t="shared" ca="1" si="31"/>
        <v>0D79E</v>
      </c>
      <c r="E77" t="s">
        <v>33</v>
      </c>
    </row>
    <row r="78" spans="1:6" x14ac:dyDescent="0.25">
      <c r="A78">
        <f t="shared" si="32"/>
        <v>70</v>
      </c>
      <c r="B78" t="str">
        <f t="shared" si="29"/>
        <v>0x046</v>
      </c>
      <c r="C78">
        <f t="shared" ca="1" si="30"/>
        <v>46641</v>
      </c>
      <c r="D78" t="str">
        <f t="shared" ca="1" si="31"/>
        <v>0B631</v>
      </c>
      <c r="E78" t="s">
        <v>33</v>
      </c>
    </row>
    <row r="79" spans="1:6" x14ac:dyDescent="0.25">
      <c r="A79">
        <f t="shared" si="32"/>
        <v>71</v>
      </c>
      <c r="B79" t="str">
        <f t="shared" si="29"/>
        <v>0x047</v>
      </c>
      <c r="C79">
        <f t="shared" ca="1" si="30"/>
        <v>17290</v>
      </c>
      <c r="D79" t="str">
        <f t="shared" ca="1" si="31"/>
        <v>0438A</v>
      </c>
      <c r="E79" t="s">
        <v>33</v>
      </c>
    </row>
    <row r="80" spans="1:6" x14ac:dyDescent="0.25">
      <c r="A80">
        <f t="shared" si="32"/>
        <v>72</v>
      </c>
      <c r="B80" t="str">
        <f t="shared" si="29"/>
        <v>0x048</v>
      </c>
      <c r="C80">
        <f t="shared" ca="1" si="30"/>
        <v>62635</v>
      </c>
      <c r="D80" t="str">
        <f t="shared" ca="1" si="31"/>
        <v>0F4AB</v>
      </c>
      <c r="E80" t="s">
        <v>33</v>
      </c>
    </row>
    <row r="81" spans="1:5" x14ac:dyDescent="0.25">
      <c r="A81">
        <f t="shared" si="32"/>
        <v>73</v>
      </c>
      <c r="B81" t="str">
        <f t="shared" si="29"/>
        <v>0x049</v>
      </c>
      <c r="C81">
        <f t="shared" ca="1" si="30"/>
        <v>50189</v>
      </c>
      <c r="D81" t="str">
        <f t="shared" ca="1" si="31"/>
        <v>0C40D</v>
      </c>
      <c r="E81" t="s">
        <v>33</v>
      </c>
    </row>
    <row r="82" spans="1:5" x14ac:dyDescent="0.25">
      <c r="A82">
        <f t="shared" si="32"/>
        <v>74</v>
      </c>
      <c r="B82" t="str">
        <f t="shared" si="29"/>
        <v>0x04A</v>
      </c>
      <c r="C82">
        <f t="shared" ca="1" si="30"/>
        <v>5084</v>
      </c>
      <c r="D82" t="str">
        <f t="shared" ca="1" si="31"/>
        <v>013DC</v>
      </c>
      <c r="E82" t="s">
        <v>33</v>
      </c>
    </row>
    <row r="83" spans="1:5" x14ac:dyDescent="0.25">
      <c r="A83">
        <f t="shared" si="32"/>
        <v>75</v>
      </c>
      <c r="B83" t="str">
        <f t="shared" si="29"/>
        <v>0x04B</v>
      </c>
      <c r="C83">
        <f t="shared" ca="1" si="30"/>
        <v>15161</v>
      </c>
      <c r="D83" t="str">
        <f t="shared" ca="1" si="31"/>
        <v>03B39</v>
      </c>
      <c r="E83" t="s">
        <v>33</v>
      </c>
    </row>
    <row r="84" spans="1:5" x14ac:dyDescent="0.25">
      <c r="A84">
        <f t="shared" si="32"/>
        <v>76</v>
      </c>
      <c r="B84" t="str">
        <f t="shared" si="29"/>
        <v>0x04C</v>
      </c>
      <c r="C84">
        <f t="shared" ca="1" si="30"/>
        <v>62934</v>
      </c>
      <c r="D84" t="str">
        <f t="shared" ca="1" si="31"/>
        <v>0F5D6</v>
      </c>
      <c r="E84" t="s">
        <v>33</v>
      </c>
    </row>
    <row r="85" spans="1:5" x14ac:dyDescent="0.25">
      <c r="A85">
        <f t="shared" si="32"/>
        <v>77</v>
      </c>
      <c r="B85" t="str">
        <f t="shared" si="29"/>
        <v>0x04D</v>
      </c>
      <c r="C85">
        <f t="shared" ca="1" si="30"/>
        <v>45315</v>
      </c>
      <c r="D85" t="str">
        <f t="shared" ca="1" si="31"/>
        <v>0B103</v>
      </c>
      <c r="E85" t="s">
        <v>33</v>
      </c>
    </row>
    <row r="86" spans="1:5" x14ac:dyDescent="0.25">
      <c r="A86">
        <f t="shared" si="32"/>
        <v>78</v>
      </c>
      <c r="B86" t="str">
        <f t="shared" si="29"/>
        <v>0x04E</v>
      </c>
      <c r="C86">
        <f t="shared" ca="1" si="30"/>
        <v>31597</v>
      </c>
      <c r="D86" t="str">
        <f t="shared" ca="1" si="31"/>
        <v>07B6D</v>
      </c>
      <c r="E86" t="s">
        <v>33</v>
      </c>
    </row>
    <row r="87" spans="1:5" x14ac:dyDescent="0.25">
      <c r="A87">
        <f t="shared" si="32"/>
        <v>79</v>
      </c>
      <c r="B87" t="str">
        <f t="shared" si="29"/>
        <v>0x04F</v>
      </c>
      <c r="C87">
        <f t="shared" ca="1" si="30"/>
        <v>59316</v>
      </c>
      <c r="D87" t="str">
        <f t="shared" ca="1" si="31"/>
        <v>0E7B4</v>
      </c>
      <c r="E87" t="s">
        <v>33</v>
      </c>
    </row>
    <row r="88" spans="1:5" x14ac:dyDescent="0.25">
      <c r="A88">
        <f t="shared" si="32"/>
        <v>80</v>
      </c>
      <c r="B88" t="str">
        <f t="shared" si="29"/>
        <v>0x050</v>
      </c>
      <c r="C88">
        <f t="shared" ca="1" si="30"/>
        <v>29324</v>
      </c>
      <c r="D88" t="str">
        <f t="shared" ca="1" si="31"/>
        <v>0728C</v>
      </c>
      <c r="E88" t="s">
        <v>33</v>
      </c>
    </row>
    <row r="89" spans="1:5" x14ac:dyDescent="0.25">
      <c r="A89">
        <f t="shared" si="32"/>
        <v>81</v>
      </c>
      <c r="B89" t="str">
        <f t="shared" si="29"/>
        <v>0x051</v>
      </c>
      <c r="C89">
        <f t="shared" ca="1" si="30"/>
        <v>56381</v>
      </c>
      <c r="D89" t="str">
        <f t="shared" ca="1" si="31"/>
        <v>0DC3D</v>
      </c>
      <c r="E89" t="s">
        <v>33</v>
      </c>
    </row>
    <row r="90" spans="1:5" x14ac:dyDescent="0.25">
      <c r="A90">
        <f t="shared" si="32"/>
        <v>82</v>
      </c>
      <c r="B90" t="str">
        <f t="shared" si="29"/>
        <v>0x052</v>
      </c>
      <c r="C90">
        <f t="shared" ca="1" si="30"/>
        <v>38473</v>
      </c>
      <c r="D90" t="str">
        <f t="shared" ca="1" si="31"/>
        <v>09649</v>
      </c>
      <c r="E90" t="s">
        <v>33</v>
      </c>
    </row>
    <row r="91" spans="1:5" x14ac:dyDescent="0.25">
      <c r="A91">
        <f t="shared" si="32"/>
        <v>83</v>
      </c>
      <c r="B91" t="str">
        <f t="shared" si="29"/>
        <v>0x053</v>
      </c>
      <c r="C91">
        <f t="shared" ca="1" si="30"/>
        <v>50018</v>
      </c>
      <c r="D91" t="str">
        <f t="shared" ca="1" si="31"/>
        <v>0C362</v>
      </c>
      <c r="E91" t="s">
        <v>33</v>
      </c>
    </row>
    <row r="92" spans="1:5" x14ac:dyDescent="0.25">
      <c r="A92">
        <f t="shared" si="32"/>
        <v>84</v>
      </c>
      <c r="B92" t="str">
        <f t="shared" si="29"/>
        <v>0x054</v>
      </c>
      <c r="C92">
        <f t="shared" ca="1" si="30"/>
        <v>10236</v>
      </c>
      <c r="D92" t="str">
        <f t="shared" ca="1" si="31"/>
        <v>027FC</v>
      </c>
      <c r="E92" t="s">
        <v>33</v>
      </c>
    </row>
    <row r="93" spans="1:5" x14ac:dyDescent="0.25">
      <c r="A93">
        <f t="shared" si="32"/>
        <v>85</v>
      </c>
      <c r="B93" t="str">
        <f t="shared" si="29"/>
        <v>0x055</v>
      </c>
      <c r="C93">
        <f t="shared" ca="1" si="30"/>
        <v>51284</v>
      </c>
      <c r="D93" t="str">
        <f t="shared" ca="1" si="31"/>
        <v>0C854</v>
      </c>
      <c r="E93" t="s">
        <v>33</v>
      </c>
    </row>
    <row r="94" spans="1:5" x14ac:dyDescent="0.25">
      <c r="A94">
        <f t="shared" si="32"/>
        <v>86</v>
      </c>
      <c r="B94" t="str">
        <f t="shared" si="29"/>
        <v>0x056</v>
      </c>
      <c r="C94">
        <f t="shared" ca="1" si="30"/>
        <v>13281</v>
      </c>
      <c r="D94" t="str">
        <f t="shared" ca="1" si="31"/>
        <v>033E1</v>
      </c>
      <c r="E94" t="s">
        <v>33</v>
      </c>
    </row>
    <row r="95" spans="1:5" x14ac:dyDescent="0.25">
      <c r="A95">
        <f t="shared" si="32"/>
        <v>87</v>
      </c>
      <c r="B95" t="str">
        <f t="shared" si="29"/>
        <v>0x057</v>
      </c>
      <c r="C95">
        <f t="shared" ca="1" si="30"/>
        <v>46552</v>
      </c>
      <c r="D95" t="str">
        <f t="shared" ca="1" si="31"/>
        <v>0B5D8</v>
      </c>
      <c r="E95" t="s">
        <v>33</v>
      </c>
    </row>
    <row r="96" spans="1:5" x14ac:dyDescent="0.25">
      <c r="A96">
        <f t="shared" si="32"/>
        <v>88</v>
      </c>
      <c r="B96" t="str">
        <f t="shared" si="29"/>
        <v>0x058</v>
      </c>
      <c r="C96">
        <f t="shared" ca="1" si="30"/>
        <v>41637</v>
      </c>
      <c r="D96" t="str">
        <f t="shared" ca="1" si="31"/>
        <v>0A2A5</v>
      </c>
      <c r="E96" t="s">
        <v>33</v>
      </c>
    </row>
    <row r="97" spans="1:6" x14ac:dyDescent="0.25">
      <c r="A97">
        <f t="shared" si="32"/>
        <v>89</v>
      </c>
      <c r="B97" t="str">
        <f t="shared" si="29"/>
        <v>0x059</v>
      </c>
      <c r="C97">
        <f t="shared" ca="1" si="30"/>
        <v>6660</v>
      </c>
      <c r="D97" t="str">
        <f t="shared" ca="1" si="31"/>
        <v>01A04</v>
      </c>
      <c r="E97" t="s">
        <v>33</v>
      </c>
    </row>
    <row r="98" spans="1:6" x14ac:dyDescent="0.25">
      <c r="A98">
        <f t="shared" si="32"/>
        <v>90</v>
      </c>
      <c r="B98" t="str">
        <f t="shared" si="29"/>
        <v>0x05A</v>
      </c>
      <c r="C98">
        <f t="shared" ca="1" si="30"/>
        <v>14080</v>
      </c>
      <c r="D98" t="str">
        <f t="shared" ca="1" si="31"/>
        <v>03700</v>
      </c>
      <c r="E98" t="s">
        <v>33</v>
      </c>
    </row>
    <row r="99" spans="1:6" x14ac:dyDescent="0.25">
      <c r="A99">
        <f t="shared" si="32"/>
        <v>91</v>
      </c>
      <c r="B99" t="str">
        <f t="shared" si="29"/>
        <v>0x05B</v>
      </c>
      <c r="C99">
        <f t="shared" ca="1" si="30"/>
        <v>46416</v>
      </c>
      <c r="D99" t="str">
        <f t="shared" ca="1" si="31"/>
        <v>0B550</v>
      </c>
      <c r="E99" t="s">
        <v>33</v>
      </c>
    </row>
    <row r="100" spans="1:6" x14ac:dyDescent="0.25">
      <c r="A100">
        <f t="shared" si="32"/>
        <v>92</v>
      </c>
      <c r="B100" t="str">
        <f t="shared" si="29"/>
        <v>0x05C</v>
      </c>
      <c r="C100">
        <f t="shared" ca="1" si="30"/>
        <v>19033</v>
      </c>
      <c r="D100" t="str">
        <f t="shared" ca="1" si="31"/>
        <v>04A59</v>
      </c>
      <c r="E100" t="s">
        <v>33</v>
      </c>
    </row>
    <row r="101" spans="1:6" x14ac:dyDescent="0.25">
      <c r="A101">
        <f t="shared" si="32"/>
        <v>93</v>
      </c>
      <c r="B101" t="str">
        <f t="shared" si="29"/>
        <v>0x05D</v>
      </c>
      <c r="C101">
        <f t="shared" ca="1" si="30"/>
        <v>55959</v>
      </c>
      <c r="D101" t="str">
        <f t="shared" ca="1" si="31"/>
        <v>0DA97</v>
      </c>
      <c r="E101" t="s">
        <v>33</v>
      </c>
    </row>
    <row r="102" spans="1:6" x14ac:dyDescent="0.25">
      <c r="A102">
        <f t="shared" si="32"/>
        <v>94</v>
      </c>
      <c r="B102" t="str">
        <f t="shared" si="29"/>
        <v>0x05E</v>
      </c>
      <c r="C102">
        <f t="shared" ca="1" si="30"/>
        <v>38268</v>
      </c>
      <c r="D102" t="str">
        <f t="shared" ca="1" si="31"/>
        <v>0957C</v>
      </c>
      <c r="E102" t="s">
        <v>33</v>
      </c>
    </row>
    <row r="103" spans="1:6" x14ac:dyDescent="0.25">
      <c r="A103">
        <f t="shared" si="32"/>
        <v>95</v>
      </c>
      <c r="B103" t="str">
        <f t="shared" si="29"/>
        <v>0x05F</v>
      </c>
      <c r="C103">
        <f t="shared" ca="1" si="30"/>
        <v>50061</v>
      </c>
      <c r="D103" t="str">
        <f t="shared" ca="1" si="31"/>
        <v>0C38D</v>
      </c>
      <c r="E103" t="s">
        <v>33</v>
      </c>
      <c r="F103" t="s">
        <v>36</v>
      </c>
    </row>
    <row r="104" spans="1:6" x14ac:dyDescent="0.25">
      <c r="A104">
        <f t="shared" si="32"/>
        <v>96</v>
      </c>
      <c r="B104" t="str">
        <f t="shared" si="29"/>
        <v>0x060</v>
      </c>
      <c r="C104">
        <v>65536</v>
      </c>
      <c r="D104" t="str">
        <f t="shared" si="31"/>
        <v>10000</v>
      </c>
      <c r="E104" t="s">
        <v>34</v>
      </c>
      <c r="F104" t="s">
        <v>35</v>
      </c>
    </row>
    <row r="105" spans="1:6" x14ac:dyDescent="0.25">
      <c r="A105">
        <f t="shared" si="32"/>
        <v>97</v>
      </c>
      <c r="B105" t="str">
        <f t="shared" si="29"/>
        <v>0x061</v>
      </c>
      <c r="C105">
        <f>C104+1</f>
        <v>65537</v>
      </c>
      <c r="D105" t="str">
        <f t="shared" si="31"/>
        <v>10001</v>
      </c>
      <c r="E105" t="s">
        <v>34</v>
      </c>
    </row>
    <row r="106" spans="1:6" x14ac:dyDescent="0.25">
      <c r="A106">
        <f t="shared" si="32"/>
        <v>98</v>
      </c>
      <c r="B106" t="str">
        <f t="shared" si="29"/>
        <v>0x062</v>
      </c>
      <c r="C106">
        <f t="shared" ref="C106:C135" si="33">C105+1</f>
        <v>65538</v>
      </c>
      <c r="D106" t="str">
        <f t="shared" si="31"/>
        <v>10002</v>
      </c>
      <c r="E106" t="s">
        <v>34</v>
      </c>
    </row>
    <row r="107" spans="1:6" x14ac:dyDescent="0.25">
      <c r="A107">
        <f t="shared" si="32"/>
        <v>99</v>
      </c>
      <c r="B107" t="str">
        <f t="shared" si="29"/>
        <v>0x063</v>
      </c>
      <c r="C107">
        <f t="shared" si="33"/>
        <v>65539</v>
      </c>
      <c r="D107" t="str">
        <f t="shared" si="31"/>
        <v>10003</v>
      </c>
      <c r="E107" t="s">
        <v>34</v>
      </c>
    </row>
    <row r="108" spans="1:6" x14ac:dyDescent="0.25">
      <c r="A108">
        <f t="shared" si="32"/>
        <v>100</v>
      </c>
      <c r="B108" t="str">
        <f t="shared" si="29"/>
        <v>0x064</v>
      </c>
      <c r="C108">
        <f t="shared" si="33"/>
        <v>65540</v>
      </c>
      <c r="D108" t="str">
        <f t="shared" si="31"/>
        <v>10004</v>
      </c>
      <c r="E108" t="s">
        <v>34</v>
      </c>
    </row>
    <row r="109" spans="1:6" x14ac:dyDescent="0.25">
      <c r="A109">
        <f t="shared" si="32"/>
        <v>101</v>
      </c>
      <c r="B109" t="str">
        <f t="shared" si="29"/>
        <v>0x065</v>
      </c>
      <c r="C109">
        <f t="shared" si="33"/>
        <v>65541</v>
      </c>
      <c r="D109" t="str">
        <f t="shared" si="31"/>
        <v>10005</v>
      </c>
      <c r="E109" t="s">
        <v>34</v>
      </c>
    </row>
    <row r="110" spans="1:6" x14ac:dyDescent="0.25">
      <c r="A110">
        <f t="shared" si="32"/>
        <v>102</v>
      </c>
      <c r="B110" t="str">
        <f t="shared" si="29"/>
        <v>0x066</v>
      </c>
      <c r="C110">
        <f t="shared" si="33"/>
        <v>65542</v>
      </c>
      <c r="D110" t="str">
        <f t="shared" si="31"/>
        <v>10006</v>
      </c>
      <c r="E110" t="s">
        <v>34</v>
      </c>
    </row>
    <row r="111" spans="1:6" x14ac:dyDescent="0.25">
      <c r="A111">
        <f t="shared" si="32"/>
        <v>103</v>
      </c>
      <c r="B111" t="str">
        <f t="shared" si="29"/>
        <v>0x067</v>
      </c>
      <c r="C111">
        <f t="shared" si="33"/>
        <v>65543</v>
      </c>
      <c r="D111" t="str">
        <f t="shared" si="31"/>
        <v>10007</v>
      </c>
      <c r="E111" t="s">
        <v>34</v>
      </c>
    </row>
    <row r="112" spans="1:6" x14ac:dyDescent="0.25">
      <c r="A112">
        <f t="shared" si="32"/>
        <v>104</v>
      </c>
      <c r="B112" t="str">
        <f t="shared" si="29"/>
        <v>0x068</v>
      </c>
      <c r="C112">
        <f t="shared" si="33"/>
        <v>65544</v>
      </c>
      <c r="D112" t="str">
        <f t="shared" si="31"/>
        <v>10008</v>
      </c>
      <c r="E112" t="s">
        <v>34</v>
      </c>
    </row>
    <row r="113" spans="1:5" x14ac:dyDescent="0.25">
      <c r="A113">
        <f t="shared" si="32"/>
        <v>105</v>
      </c>
      <c r="B113" t="str">
        <f t="shared" si="29"/>
        <v>0x069</v>
      </c>
      <c r="C113">
        <f t="shared" si="33"/>
        <v>65545</v>
      </c>
      <c r="D113" t="str">
        <f t="shared" si="31"/>
        <v>10009</v>
      </c>
      <c r="E113" t="s">
        <v>34</v>
      </c>
    </row>
    <row r="114" spans="1:5" x14ac:dyDescent="0.25">
      <c r="A114">
        <f t="shared" si="32"/>
        <v>106</v>
      </c>
      <c r="B114" t="str">
        <f t="shared" si="29"/>
        <v>0x06A</v>
      </c>
      <c r="C114">
        <f t="shared" si="33"/>
        <v>65546</v>
      </c>
      <c r="D114" t="str">
        <f t="shared" si="31"/>
        <v>1000A</v>
      </c>
      <c r="E114" t="s">
        <v>34</v>
      </c>
    </row>
    <row r="115" spans="1:5" x14ac:dyDescent="0.25">
      <c r="A115">
        <f t="shared" si="32"/>
        <v>107</v>
      </c>
      <c r="B115" t="str">
        <f t="shared" si="29"/>
        <v>0x06B</v>
      </c>
      <c r="C115">
        <f t="shared" si="33"/>
        <v>65547</v>
      </c>
      <c r="D115" t="str">
        <f t="shared" si="31"/>
        <v>1000B</v>
      </c>
      <c r="E115" t="s">
        <v>34</v>
      </c>
    </row>
    <row r="116" spans="1:5" x14ac:dyDescent="0.25">
      <c r="A116">
        <f t="shared" si="32"/>
        <v>108</v>
      </c>
      <c r="B116" t="str">
        <f t="shared" si="29"/>
        <v>0x06C</v>
      </c>
      <c r="C116">
        <f t="shared" si="33"/>
        <v>65548</v>
      </c>
      <c r="D116" t="str">
        <f t="shared" si="31"/>
        <v>1000C</v>
      </c>
      <c r="E116" t="s">
        <v>34</v>
      </c>
    </row>
    <row r="117" spans="1:5" x14ac:dyDescent="0.25">
      <c r="A117">
        <f t="shared" si="32"/>
        <v>109</v>
      </c>
      <c r="B117" t="str">
        <f t="shared" si="29"/>
        <v>0x06D</v>
      </c>
      <c r="C117">
        <f t="shared" si="33"/>
        <v>65549</v>
      </c>
      <c r="D117" t="str">
        <f t="shared" si="31"/>
        <v>1000D</v>
      </c>
      <c r="E117" t="s">
        <v>34</v>
      </c>
    </row>
    <row r="118" spans="1:5" x14ac:dyDescent="0.25">
      <c r="A118">
        <f t="shared" si="32"/>
        <v>110</v>
      </c>
      <c r="B118" t="str">
        <f t="shared" si="29"/>
        <v>0x06E</v>
      </c>
      <c r="C118">
        <f t="shared" si="33"/>
        <v>65550</v>
      </c>
      <c r="D118" t="str">
        <f t="shared" si="31"/>
        <v>1000E</v>
      </c>
      <c r="E118" t="s">
        <v>34</v>
      </c>
    </row>
    <row r="119" spans="1:5" x14ac:dyDescent="0.25">
      <c r="A119">
        <f t="shared" si="32"/>
        <v>111</v>
      </c>
      <c r="B119" t="str">
        <f t="shared" si="29"/>
        <v>0x06F</v>
      </c>
      <c r="C119">
        <f t="shared" si="33"/>
        <v>65551</v>
      </c>
      <c r="D119" t="str">
        <f t="shared" si="31"/>
        <v>1000F</v>
      </c>
      <c r="E119" t="s">
        <v>34</v>
      </c>
    </row>
    <row r="120" spans="1:5" x14ac:dyDescent="0.25">
      <c r="A120">
        <f t="shared" si="32"/>
        <v>112</v>
      </c>
      <c r="B120" t="str">
        <f t="shared" si="29"/>
        <v>0x070</v>
      </c>
      <c r="C120">
        <f t="shared" si="33"/>
        <v>65552</v>
      </c>
      <c r="D120" t="str">
        <f t="shared" si="31"/>
        <v>10010</v>
      </c>
      <c r="E120" t="s">
        <v>34</v>
      </c>
    </row>
    <row r="121" spans="1:5" x14ac:dyDescent="0.25">
      <c r="A121">
        <f t="shared" si="32"/>
        <v>113</v>
      </c>
      <c r="B121" t="str">
        <f t="shared" si="29"/>
        <v>0x071</v>
      </c>
      <c r="C121">
        <f t="shared" si="33"/>
        <v>65553</v>
      </c>
      <c r="D121" t="str">
        <f t="shared" si="31"/>
        <v>10011</v>
      </c>
      <c r="E121" t="s">
        <v>34</v>
      </c>
    </row>
    <row r="122" spans="1:5" x14ac:dyDescent="0.25">
      <c r="A122">
        <f t="shared" si="32"/>
        <v>114</v>
      </c>
      <c r="B122" t="str">
        <f t="shared" si="29"/>
        <v>0x072</v>
      </c>
      <c r="C122">
        <f t="shared" si="33"/>
        <v>65554</v>
      </c>
      <c r="D122" t="str">
        <f t="shared" si="31"/>
        <v>10012</v>
      </c>
      <c r="E122" t="s">
        <v>34</v>
      </c>
    </row>
    <row r="123" spans="1:5" x14ac:dyDescent="0.25">
      <c r="A123">
        <f t="shared" si="32"/>
        <v>115</v>
      </c>
      <c r="B123" t="str">
        <f t="shared" si="29"/>
        <v>0x073</v>
      </c>
      <c r="C123">
        <f t="shared" si="33"/>
        <v>65555</v>
      </c>
      <c r="D123" t="str">
        <f t="shared" si="31"/>
        <v>10013</v>
      </c>
      <c r="E123" t="s">
        <v>34</v>
      </c>
    </row>
    <row r="124" spans="1:5" x14ac:dyDescent="0.25">
      <c r="A124">
        <f t="shared" si="32"/>
        <v>116</v>
      </c>
      <c r="B124" t="str">
        <f t="shared" si="29"/>
        <v>0x074</v>
      </c>
      <c r="C124">
        <f t="shared" si="33"/>
        <v>65556</v>
      </c>
      <c r="D124" t="str">
        <f t="shared" si="31"/>
        <v>10014</v>
      </c>
      <c r="E124" t="s">
        <v>34</v>
      </c>
    </row>
    <row r="125" spans="1:5" x14ac:dyDescent="0.25">
      <c r="A125">
        <f t="shared" si="32"/>
        <v>117</v>
      </c>
      <c r="B125" t="str">
        <f t="shared" si="29"/>
        <v>0x075</v>
      </c>
      <c r="C125">
        <f t="shared" si="33"/>
        <v>65557</v>
      </c>
      <c r="D125" t="str">
        <f t="shared" si="31"/>
        <v>10015</v>
      </c>
      <c r="E125" t="s">
        <v>34</v>
      </c>
    </row>
    <row r="126" spans="1:5" x14ac:dyDescent="0.25">
      <c r="A126">
        <f t="shared" si="32"/>
        <v>118</v>
      </c>
      <c r="B126" t="str">
        <f t="shared" si="29"/>
        <v>0x076</v>
      </c>
      <c r="C126">
        <f t="shared" si="33"/>
        <v>65558</v>
      </c>
      <c r="D126" t="str">
        <f t="shared" si="31"/>
        <v>10016</v>
      </c>
      <c r="E126" t="s">
        <v>34</v>
      </c>
    </row>
    <row r="127" spans="1:5" x14ac:dyDescent="0.25">
      <c r="A127">
        <f t="shared" si="32"/>
        <v>119</v>
      </c>
      <c r="B127" t="str">
        <f t="shared" si="29"/>
        <v>0x077</v>
      </c>
      <c r="C127">
        <f t="shared" si="33"/>
        <v>65559</v>
      </c>
      <c r="D127" t="str">
        <f t="shared" si="31"/>
        <v>10017</v>
      </c>
      <c r="E127" t="s">
        <v>34</v>
      </c>
    </row>
    <row r="128" spans="1:5" x14ac:dyDescent="0.25">
      <c r="A128">
        <f t="shared" si="32"/>
        <v>120</v>
      </c>
      <c r="B128" t="str">
        <f t="shared" si="29"/>
        <v>0x078</v>
      </c>
      <c r="C128">
        <f t="shared" si="33"/>
        <v>65560</v>
      </c>
      <c r="D128" t="str">
        <f t="shared" si="31"/>
        <v>10018</v>
      </c>
      <c r="E128" t="s">
        <v>34</v>
      </c>
    </row>
    <row r="129" spans="1:6" x14ac:dyDescent="0.25">
      <c r="A129">
        <f t="shared" si="32"/>
        <v>121</v>
      </c>
      <c r="B129" t="str">
        <f t="shared" si="29"/>
        <v>0x079</v>
      </c>
      <c r="C129">
        <f t="shared" si="33"/>
        <v>65561</v>
      </c>
      <c r="D129" t="str">
        <f t="shared" si="31"/>
        <v>10019</v>
      </c>
      <c r="E129" t="s">
        <v>34</v>
      </c>
    </row>
    <row r="130" spans="1:6" x14ac:dyDescent="0.25">
      <c r="A130">
        <f t="shared" si="32"/>
        <v>122</v>
      </c>
      <c r="B130" t="str">
        <f t="shared" si="29"/>
        <v>0x07A</v>
      </c>
      <c r="C130">
        <f t="shared" si="33"/>
        <v>65562</v>
      </c>
      <c r="D130" t="str">
        <f t="shared" si="31"/>
        <v>1001A</v>
      </c>
      <c r="E130" t="s">
        <v>34</v>
      </c>
    </row>
    <row r="131" spans="1:6" x14ac:dyDescent="0.25">
      <c r="A131">
        <f t="shared" si="32"/>
        <v>123</v>
      </c>
      <c r="B131" t="str">
        <f t="shared" si="29"/>
        <v>0x07B</v>
      </c>
      <c r="C131">
        <f t="shared" si="33"/>
        <v>65563</v>
      </c>
      <c r="D131" t="str">
        <f t="shared" si="31"/>
        <v>1001B</v>
      </c>
      <c r="E131" t="s">
        <v>34</v>
      </c>
    </row>
    <row r="132" spans="1:6" x14ac:dyDescent="0.25">
      <c r="A132">
        <f t="shared" si="32"/>
        <v>124</v>
      </c>
      <c r="B132" t="str">
        <f t="shared" si="29"/>
        <v>0x07C</v>
      </c>
      <c r="C132">
        <f t="shared" si="33"/>
        <v>65564</v>
      </c>
      <c r="D132" t="str">
        <f t="shared" si="31"/>
        <v>1001C</v>
      </c>
      <c r="E132" t="s">
        <v>34</v>
      </c>
    </row>
    <row r="133" spans="1:6" x14ac:dyDescent="0.25">
      <c r="A133">
        <f t="shared" si="32"/>
        <v>125</v>
      </c>
      <c r="B133" t="str">
        <f t="shared" si="29"/>
        <v>0x07D</v>
      </c>
      <c r="C133">
        <f t="shared" si="33"/>
        <v>65565</v>
      </c>
      <c r="D133" t="str">
        <f t="shared" si="31"/>
        <v>1001D</v>
      </c>
      <c r="E133" t="s">
        <v>34</v>
      </c>
    </row>
    <row r="134" spans="1:6" x14ac:dyDescent="0.25">
      <c r="A134">
        <f t="shared" si="32"/>
        <v>126</v>
      </c>
      <c r="B134" t="str">
        <f t="shared" si="29"/>
        <v>0x07E</v>
      </c>
      <c r="C134">
        <f t="shared" si="33"/>
        <v>65566</v>
      </c>
      <c r="D134" t="str">
        <f t="shared" si="31"/>
        <v>1001E</v>
      </c>
      <c r="E134" t="s">
        <v>34</v>
      </c>
    </row>
    <row r="135" spans="1:6" x14ac:dyDescent="0.25">
      <c r="A135">
        <f t="shared" si="32"/>
        <v>127</v>
      </c>
      <c r="B135" t="str">
        <f t="shared" si="29"/>
        <v>0x07F</v>
      </c>
      <c r="C135">
        <f t="shared" si="33"/>
        <v>65567</v>
      </c>
      <c r="D135" t="str">
        <f t="shared" si="31"/>
        <v>1001F</v>
      </c>
      <c r="E135" t="s">
        <v>34</v>
      </c>
      <c r="F135" t="s">
        <v>36</v>
      </c>
    </row>
    <row r="136" spans="1:6" x14ac:dyDescent="0.25">
      <c r="A136">
        <f t="shared" si="32"/>
        <v>128</v>
      </c>
      <c r="B136" t="str">
        <f t="shared" si="29"/>
        <v>0x080</v>
      </c>
      <c r="C136">
        <v>0</v>
      </c>
      <c r="D136" t="str">
        <f t="shared" si="31"/>
        <v>00000</v>
      </c>
    </row>
    <row r="137" spans="1:6" x14ac:dyDescent="0.25">
      <c r="A137">
        <f t="shared" si="32"/>
        <v>129</v>
      </c>
      <c r="B137" t="str">
        <f t="shared" ref="B137:B200" si="34">CONCATENATE("0x",DEC2HEX(A137,3))</f>
        <v>0x081</v>
      </c>
      <c r="C137">
        <f>C136+1</f>
        <v>1</v>
      </c>
      <c r="D137" t="str">
        <f t="shared" ref="D137:D200" si="35">DEC2HEX(C137,5)</f>
        <v>00001</v>
      </c>
    </row>
    <row r="138" spans="1:6" x14ac:dyDescent="0.25">
      <c r="A138">
        <f t="shared" ref="A138:A201" si="36">A137+1</f>
        <v>130</v>
      </c>
      <c r="B138" t="str">
        <f t="shared" si="34"/>
        <v>0x082</v>
      </c>
      <c r="C138">
        <f t="shared" ref="C138:C167" si="37">C137+1</f>
        <v>2</v>
      </c>
      <c r="D138" t="str">
        <f t="shared" si="35"/>
        <v>00002</v>
      </c>
    </row>
    <row r="139" spans="1:6" x14ac:dyDescent="0.25">
      <c r="A139">
        <f t="shared" si="36"/>
        <v>131</v>
      </c>
      <c r="B139" t="str">
        <f t="shared" si="34"/>
        <v>0x083</v>
      </c>
      <c r="C139">
        <f t="shared" si="37"/>
        <v>3</v>
      </c>
      <c r="D139" t="str">
        <f t="shared" si="35"/>
        <v>00003</v>
      </c>
    </row>
    <row r="140" spans="1:6" x14ac:dyDescent="0.25">
      <c r="A140">
        <f t="shared" si="36"/>
        <v>132</v>
      </c>
      <c r="B140" t="str">
        <f t="shared" si="34"/>
        <v>0x084</v>
      </c>
      <c r="C140">
        <f t="shared" si="37"/>
        <v>4</v>
      </c>
      <c r="D140" t="str">
        <f t="shared" si="35"/>
        <v>00004</v>
      </c>
    </row>
    <row r="141" spans="1:6" x14ac:dyDescent="0.25">
      <c r="A141">
        <f t="shared" si="36"/>
        <v>133</v>
      </c>
      <c r="B141" t="str">
        <f t="shared" si="34"/>
        <v>0x085</v>
      </c>
      <c r="C141">
        <f t="shared" si="37"/>
        <v>5</v>
      </c>
      <c r="D141" t="str">
        <f t="shared" si="35"/>
        <v>00005</v>
      </c>
    </row>
    <row r="142" spans="1:6" x14ac:dyDescent="0.25">
      <c r="A142">
        <f t="shared" si="36"/>
        <v>134</v>
      </c>
      <c r="B142" t="str">
        <f t="shared" si="34"/>
        <v>0x086</v>
      </c>
      <c r="C142">
        <f t="shared" si="37"/>
        <v>6</v>
      </c>
      <c r="D142" t="str">
        <f t="shared" si="35"/>
        <v>00006</v>
      </c>
    </row>
    <row r="143" spans="1:6" x14ac:dyDescent="0.25">
      <c r="A143">
        <f t="shared" si="36"/>
        <v>135</v>
      </c>
      <c r="B143" t="str">
        <f t="shared" si="34"/>
        <v>0x087</v>
      </c>
      <c r="C143">
        <f t="shared" si="37"/>
        <v>7</v>
      </c>
      <c r="D143" t="str">
        <f t="shared" si="35"/>
        <v>00007</v>
      </c>
    </row>
    <row r="144" spans="1:6" x14ac:dyDescent="0.25">
      <c r="A144">
        <f t="shared" si="36"/>
        <v>136</v>
      </c>
      <c r="B144" t="str">
        <f t="shared" si="34"/>
        <v>0x088</v>
      </c>
      <c r="C144">
        <f t="shared" si="37"/>
        <v>8</v>
      </c>
      <c r="D144" t="str">
        <f t="shared" si="35"/>
        <v>00008</v>
      </c>
    </row>
    <row r="145" spans="1:4" x14ac:dyDescent="0.25">
      <c r="A145">
        <f t="shared" si="36"/>
        <v>137</v>
      </c>
      <c r="B145" t="str">
        <f t="shared" si="34"/>
        <v>0x089</v>
      </c>
      <c r="C145">
        <f t="shared" si="37"/>
        <v>9</v>
      </c>
      <c r="D145" t="str">
        <f t="shared" si="35"/>
        <v>00009</v>
      </c>
    </row>
    <row r="146" spans="1:4" x14ac:dyDescent="0.25">
      <c r="A146">
        <f t="shared" si="36"/>
        <v>138</v>
      </c>
      <c r="B146" t="str">
        <f t="shared" si="34"/>
        <v>0x08A</v>
      </c>
      <c r="C146">
        <f t="shared" si="37"/>
        <v>10</v>
      </c>
      <c r="D146" t="str">
        <f t="shared" si="35"/>
        <v>0000A</v>
      </c>
    </row>
    <row r="147" spans="1:4" x14ac:dyDescent="0.25">
      <c r="A147">
        <f t="shared" si="36"/>
        <v>139</v>
      </c>
      <c r="B147" t="str">
        <f t="shared" si="34"/>
        <v>0x08B</v>
      </c>
      <c r="C147">
        <f t="shared" si="37"/>
        <v>11</v>
      </c>
      <c r="D147" t="str">
        <f t="shared" si="35"/>
        <v>0000B</v>
      </c>
    </row>
    <row r="148" spans="1:4" x14ac:dyDescent="0.25">
      <c r="A148">
        <f t="shared" si="36"/>
        <v>140</v>
      </c>
      <c r="B148" t="str">
        <f t="shared" si="34"/>
        <v>0x08C</v>
      </c>
      <c r="C148">
        <f t="shared" si="37"/>
        <v>12</v>
      </c>
      <c r="D148" t="str">
        <f t="shared" si="35"/>
        <v>0000C</v>
      </c>
    </row>
    <row r="149" spans="1:4" x14ac:dyDescent="0.25">
      <c r="A149">
        <f t="shared" si="36"/>
        <v>141</v>
      </c>
      <c r="B149" t="str">
        <f t="shared" si="34"/>
        <v>0x08D</v>
      </c>
      <c r="C149">
        <f t="shared" si="37"/>
        <v>13</v>
      </c>
      <c r="D149" t="str">
        <f t="shared" si="35"/>
        <v>0000D</v>
      </c>
    </row>
    <row r="150" spans="1:4" x14ac:dyDescent="0.25">
      <c r="A150">
        <f t="shared" si="36"/>
        <v>142</v>
      </c>
      <c r="B150" t="str">
        <f t="shared" si="34"/>
        <v>0x08E</v>
      </c>
      <c r="C150">
        <f t="shared" si="37"/>
        <v>14</v>
      </c>
      <c r="D150" t="str">
        <f t="shared" si="35"/>
        <v>0000E</v>
      </c>
    </row>
    <row r="151" spans="1:4" x14ac:dyDescent="0.25">
      <c r="A151">
        <f t="shared" si="36"/>
        <v>143</v>
      </c>
      <c r="B151" t="str">
        <f t="shared" si="34"/>
        <v>0x08F</v>
      </c>
      <c r="C151">
        <f t="shared" si="37"/>
        <v>15</v>
      </c>
      <c r="D151" t="str">
        <f t="shared" si="35"/>
        <v>0000F</v>
      </c>
    </row>
    <row r="152" spans="1:4" x14ac:dyDescent="0.25">
      <c r="A152">
        <f t="shared" si="36"/>
        <v>144</v>
      </c>
      <c r="B152" t="str">
        <f t="shared" si="34"/>
        <v>0x090</v>
      </c>
      <c r="C152">
        <f t="shared" si="37"/>
        <v>16</v>
      </c>
      <c r="D152" t="str">
        <f t="shared" si="35"/>
        <v>00010</v>
      </c>
    </row>
    <row r="153" spans="1:4" x14ac:dyDescent="0.25">
      <c r="A153">
        <f t="shared" si="36"/>
        <v>145</v>
      </c>
      <c r="B153" t="str">
        <f t="shared" si="34"/>
        <v>0x091</v>
      </c>
      <c r="C153">
        <f t="shared" si="37"/>
        <v>17</v>
      </c>
      <c r="D153" t="str">
        <f t="shared" si="35"/>
        <v>00011</v>
      </c>
    </row>
    <row r="154" spans="1:4" x14ac:dyDescent="0.25">
      <c r="A154">
        <f t="shared" si="36"/>
        <v>146</v>
      </c>
      <c r="B154" t="str">
        <f t="shared" si="34"/>
        <v>0x092</v>
      </c>
      <c r="C154">
        <f t="shared" si="37"/>
        <v>18</v>
      </c>
      <c r="D154" t="str">
        <f t="shared" si="35"/>
        <v>00012</v>
      </c>
    </row>
    <row r="155" spans="1:4" x14ac:dyDescent="0.25">
      <c r="A155">
        <f t="shared" si="36"/>
        <v>147</v>
      </c>
      <c r="B155" t="str">
        <f t="shared" si="34"/>
        <v>0x093</v>
      </c>
      <c r="C155">
        <f t="shared" si="37"/>
        <v>19</v>
      </c>
      <c r="D155" t="str">
        <f t="shared" si="35"/>
        <v>00013</v>
      </c>
    </row>
    <row r="156" spans="1:4" x14ac:dyDescent="0.25">
      <c r="A156">
        <f t="shared" si="36"/>
        <v>148</v>
      </c>
      <c r="B156" t="str">
        <f t="shared" si="34"/>
        <v>0x094</v>
      </c>
      <c r="C156">
        <f t="shared" si="37"/>
        <v>20</v>
      </c>
      <c r="D156" t="str">
        <f t="shared" si="35"/>
        <v>00014</v>
      </c>
    </row>
    <row r="157" spans="1:4" x14ac:dyDescent="0.25">
      <c r="A157">
        <f t="shared" si="36"/>
        <v>149</v>
      </c>
      <c r="B157" t="str">
        <f t="shared" si="34"/>
        <v>0x095</v>
      </c>
      <c r="C157">
        <f t="shared" si="37"/>
        <v>21</v>
      </c>
      <c r="D157" t="str">
        <f t="shared" si="35"/>
        <v>00015</v>
      </c>
    </row>
    <row r="158" spans="1:4" x14ac:dyDescent="0.25">
      <c r="A158">
        <f t="shared" si="36"/>
        <v>150</v>
      </c>
      <c r="B158" t="str">
        <f t="shared" si="34"/>
        <v>0x096</v>
      </c>
      <c r="C158">
        <f t="shared" si="37"/>
        <v>22</v>
      </c>
      <c r="D158" t="str">
        <f t="shared" si="35"/>
        <v>00016</v>
      </c>
    </row>
    <row r="159" spans="1:4" x14ac:dyDescent="0.25">
      <c r="A159">
        <f t="shared" si="36"/>
        <v>151</v>
      </c>
      <c r="B159" t="str">
        <f t="shared" si="34"/>
        <v>0x097</v>
      </c>
      <c r="C159">
        <f t="shared" si="37"/>
        <v>23</v>
      </c>
      <c r="D159" t="str">
        <f t="shared" si="35"/>
        <v>00017</v>
      </c>
    </row>
    <row r="160" spans="1:4" x14ac:dyDescent="0.25">
      <c r="A160">
        <f t="shared" si="36"/>
        <v>152</v>
      </c>
      <c r="B160" t="str">
        <f t="shared" si="34"/>
        <v>0x098</v>
      </c>
      <c r="C160">
        <f t="shared" si="37"/>
        <v>24</v>
      </c>
      <c r="D160" t="str">
        <f t="shared" si="35"/>
        <v>00018</v>
      </c>
    </row>
    <row r="161" spans="1:4" x14ac:dyDescent="0.25">
      <c r="A161">
        <f t="shared" si="36"/>
        <v>153</v>
      </c>
      <c r="B161" t="str">
        <f t="shared" si="34"/>
        <v>0x099</v>
      </c>
      <c r="C161">
        <f t="shared" si="37"/>
        <v>25</v>
      </c>
      <c r="D161" t="str">
        <f t="shared" si="35"/>
        <v>00019</v>
      </c>
    </row>
    <row r="162" spans="1:4" x14ac:dyDescent="0.25">
      <c r="A162">
        <f t="shared" si="36"/>
        <v>154</v>
      </c>
      <c r="B162" t="str">
        <f t="shared" si="34"/>
        <v>0x09A</v>
      </c>
      <c r="C162">
        <f t="shared" si="37"/>
        <v>26</v>
      </c>
      <c r="D162" t="str">
        <f t="shared" si="35"/>
        <v>0001A</v>
      </c>
    </row>
    <row r="163" spans="1:4" x14ac:dyDescent="0.25">
      <c r="A163">
        <f t="shared" si="36"/>
        <v>155</v>
      </c>
      <c r="B163" t="str">
        <f t="shared" si="34"/>
        <v>0x09B</v>
      </c>
      <c r="C163">
        <f t="shared" si="37"/>
        <v>27</v>
      </c>
      <c r="D163" t="str">
        <f t="shared" si="35"/>
        <v>0001B</v>
      </c>
    </row>
    <row r="164" spans="1:4" x14ac:dyDescent="0.25">
      <c r="A164">
        <f t="shared" si="36"/>
        <v>156</v>
      </c>
      <c r="B164" t="str">
        <f t="shared" si="34"/>
        <v>0x09C</v>
      </c>
      <c r="C164">
        <f t="shared" si="37"/>
        <v>28</v>
      </c>
      <c r="D164" t="str">
        <f t="shared" si="35"/>
        <v>0001C</v>
      </c>
    </row>
    <row r="165" spans="1:4" x14ac:dyDescent="0.25">
      <c r="A165">
        <f t="shared" si="36"/>
        <v>157</v>
      </c>
      <c r="B165" t="str">
        <f t="shared" si="34"/>
        <v>0x09D</v>
      </c>
      <c r="C165">
        <f t="shared" si="37"/>
        <v>29</v>
      </c>
      <c r="D165" t="str">
        <f t="shared" si="35"/>
        <v>0001D</v>
      </c>
    </row>
    <row r="166" spans="1:4" x14ac:dyDescent="0.25">
      <c r="A166">
        <f t="shared" si="36"/>
        <v>158</v>
      </c>
      <c r="B166" t="str">
        <f t="shared" si="34"/>
        <v>0x09E</v>
      </c>
      <c r="C166">
        <f t="shared" si="37"/>
        <v>30</v>
      </c>
      <c r="D166" t="str">
        <f t="shared" si="35"/>
        <v>0001E</v>
      </c>
    </row>
    <row r="167" spans="1:4" x14ac:dyDescent="0.25">
      <c r="A167">
        <f t="shared" si="36"/>
        <v>159</v>
      </c>
      <c r="B167" t="str">
        <f t="shared" si="34"/>
        <v>0x09F</v>
      </c>
      <c r="C167">
        <f t="shared" si="37"/>
        <v>31</v>
      </c>
      <c r="D167" t="str">
        <f t="shared" si="35"/>
        <v>0001F</v>
      </c>
    </row>
    <row r="168" spans="1:4" x14ac:dyDescent="0.25">
      <c r="A168">
        <f t="shared" si="36"/>
        <v>160</v>
      </c>
      <c r="B168" t="str">
        <f t="shared" si="34"/>
        <v>0x0A0</v>
      </c>
      <c r="C168">
        <v>0</v>
      </c>
      <c r="D168" t="str">
        <f t="shared" si="35"/>
        <v>00000</v>
      </c>
    </row>
    <row r="169" spans="1:4" x14ac:dyDescent="0.25">
      <c r="A169">
        <f t="shared" si="36"/>
        <v>161</v>
      </c>
      <c r="B169" t="str">
        <f t="shared" si="34"/>
        <v>0x0A1</v>
      </c>
      <c r="C169">
        <f>C168+1</f>
        <v>1</v>
      </c>
      <c r="D169" t="str">
        <f t="shared" si="35"/>
        <v>00001</v>
      </c>
    </row>
    <row r="170" spans="1:4" x14ac:dyDescent="0.25">
      <c r="A170">
        <f t="shared" si="36"/>
        <v>162</v>
      </c>
      <c r="B170" t="str">
        <f t="shared" si="34"/>
        <v>0x0A2</v>
      </c>
      <c r="C170">
        <f t="shared" ref="C170:C199" si="38">C169+1</f>
        <v>2</v>
      </c>
      <c r="D170" t="str">
        <f t="shared" si="35"/>
        <v>00002</v>
      </c>
    </row>
    <row r="171" spans="1:4" x14ac:dyDescent="0.25">
      <c r="A171">
        <f t="shared" si="36"/>
        <v>163</v>
      </c>
      <c r="B171" t="str">
        <f t="shared" si="34"/>
        <v>0x0A3</v>
      </c>
      <c r="C171">
        <f t="shared" si="38"/>
        <v>3</v>
      </c>
      <c r="D171" t="str">
        <f t="shared" si="35"/>
        <v>00003</v>
      </c>
    </row>
    <row r="172" spans="1:4" x14ac:dyDescent="0.25">
      <c r="A172">
        <f t="shared" si="36"/>
        <v>164</v>
      </c>
      <c r="B172" t="str">
        <f t="shared" si="34"/>
        <v>0x0A4</v>
      </c>
      <c r="C172">
        <f t="shared" si="38"/>
        <v>4</v>
      </c>
      <c r="D172" t="str">
        <f t="shared" si="35"/>
        <v>00004</v>
      </c>
    </row>
    <row r="173" spans="1:4" x14ac:dyDescent="0.25">
      <c r="A173">
        <f t="shared" si="36"/>
        <v>165</v>
      </c>
      <c r="B173" t="str">
        <f t="shared" si="34"/>
        <v>0x0A5</v>
      </c>
      <c r="C173">
        <f t="shared" si="38"/>
        <v>5</v>
      </c>
      <c r="D173" t="str">
        <f t="shared" si="35"/>
        <v>00005</v>
      </c>
    </row>
    <row r="174" spans="1:4" x14ac:dyDescent="0.25">
      <c r="A174">
        <f t="shared" si="36"/>
        <v>166</v>
      </c>
      <c r="B174" t="str">
        <f t="shared" si="34"/>
        <v>0x0A6</v>
      </c>
      <c r="C174">
        <f t="shared" si="38"/>
        <v>6</v>
      </c>
      <c r="D174" t="str">
        <f t="shared" si="35"/>
        <v>00006</v>
      </c>
    </row>
    <row r="175" spans="1:4" x14ac:dyDescent="0.25">
      <c r="A175">
        <f t="shared" si="36"/>
        <v>167</v>
      </c>
      <c r="B175" t="str">
        <f t="shared" si="34"/>
        <v>0x0A7</v>
      </c>
      <c r="C175">
        <f t="shared" si="38"/>
        <v>7</v>
      </c>
      <c r="D175" t="str">
        <f t="shared" si="35"/>
        <v>00007</v>
      </c>
    </row>
    <row r="176" spans="1:4" x14ac:dyDescent="0.25">
      <c r="A176">
        <f t="shared" si="36"/>
        <v>168</v>
      </c>
      <c r="B176" t="str">
        <f t="shared" si="34"/>
        <v>0x0A8</v>
      </c>
      <c r="C176">
        <f t="shared" si="38"/>
        <v>8</v>
      </c>
      <c r="D176" t="str">
        <f t="shared" si="35"/>
        <v>00008</v>
      </c>
    </row>
    <row r="177" spans="1:4" x14ac:dyDescent="0.25">
      <c r="A177">
        <f t="shared" si="36"/>
        <v>169</v>
      </c>
      <c r="B177" t="str">
        <f t="shared" si="34"/>
        <v>0x0A9</v>
      </c>
      <c r="C177">
        <f t="shared" si="38"/>
        <v>9</v>
      </c>
      <c r="D177" t="str">
        <f t="shared" si="35"/>
        <v>00009</v>
      </c>
    </row>
    <row r="178" spans="1:4" x14ac:dyDescent="0.25">
      <c r="A178">
        <f t="shared" si="36"/>
        <v>170</v>
      </c>
      <c r="B178" t="str">
        <f t="shared" si="34"/>
        <v>0x0AA</v>
      </c>
      <c r="C178">
        <f t="shared" si="38"/>
        <v>10</v>
      </c>
      <c r="D178" t="str">
        <f t="shared" si="35"/>
        <v>0000A</v>
      </c>
    </row>
    <row r="179" spans="1:4" x14ac:dyDescent="0.25">
      <c r="A179">
        <f t="shared" si="36"/>
        <v>171</v>
      </c>
      <c r="B179" t="str">
        <f t="shared" si="34"/>
        <v>0x0AB</v>
      </c>
      <c r="C179">
        <f t="shared" si="38"/>
        <v>11</v>
      </c>
      <c r="D179" t="str">
        <f t="shared" si="35"/>
        <v>0000B</v>
      </c>
    </row>
    <row r="180" spans="1:4" x14ac:dyDescent="0.25">
      <c r="A180">
        <f t="shared" si="36"/>
        <v>172</v>
      </c>
      <c r="B180" t="str">
        <f t="shared" si="34"/>
        <v>0x0AC</v>
      </c>
      <c r="C180">
        <f t="shared" si="38"/>
        <v>12</v>
      </c>
      <c r="D180" t="str">
        <f t="shared" si="35"/>
        <v>0000C</v>
      </c>
    </row>
    <row r="181" spans="1:4" x14ac:dyDescent="0.25">
      <c r="A181">
        <f t="shared" si="36"/>
        <v>173</v>
      </c>
      <c r="B181" t="str">
        <f t="shared" si="34"/>
        <v>0x0AD</v>
      </c>
      <c r="C181">
        <f t="shared" si="38"/>
        <v>13</v>
      </c>
      <c r="D181" t="str">
        <f t="shared" si="35"/>
        <v>0000D</v>
      </c>
    </row>
    <row r="182" spans="1:4" x14ac:dyDescent="0.25">
      <c r="A182">
        <f t="shared" si="36"/>
        <v>174</v>
      </c>
      <c r="B182" t="str">
        <f t="shared" si="34"/>
        <v>0x0AE</v>
      </c>
      <c r="C182">
        <f t="shared" si="38"/>
        <v>14</v>
      </c>
      <c r="D182" t="str">
        <f t="shared" si="35"/>
        <v>0000E</v>
      </c>
    </row>
    <row r="183" spans="1:4" x14ac:dyDescent="0.25">
      <c r="A183">
        <f t="shared" si="36"/>
        <v>175</v>
      </c>
      <c r="B183" t="str">
        <f t="shared" si="34"/>
        <v>0x0AF</v>
      </c>
      <c r="C183">
        <f t="shared" si="38"/>
        <v>15</v>
      </c>
      <c r="D183" t="str">
        <f t="shared" si="35"/>
        <v>0000F</v>
      </c>
    </row>
    <row r="184" spans="1:4" x14ac:dyDescent="0.25">
      <c r="A184">
        <f t="shared" si="36"/>
        <v>176</v>
      </c>
      <c r="B184" t="str">
        <f t="shared" si="34"/>
        <v>0x0B0</v>
      </c>
      <c r="C184">
        <f t="shared" si="38"/>
        <v>16</v>
      </c>
      <c r="D184" t="str">
        <f t="shared" si="35"/>
        <v>00010</v>
      </c>
    </row>
    <row r="185" spans="1:4" x14ac:dyDescent="0.25">
      <c r="A185">
        <f t="shared" si="36"/>
        <v>177</v>
      </c>
      <c r="B185" t="str">
        <f t="shared" si="34"/>
        <v>0x0B1</v>
      </c>
      <c r="C185">
        <f t="shared" si="38"/>
        <v>17</v>
      </c>
      <c r="D185" t="str">
        <f t="shared" si="35"/>
        <v>00011</v>
      </c>
    </row>
    <row r="186" spans="1:4" x14ac:dyDescent="0.25">
      <c r="A186">
        <f t="shared" si="36"/>
        <v>178</v>
      </c>
      <c r="B186" t="str">
        <f t="shared" si="34"/>
        <v>0x0B2</v>
      </c>
      <c r="C186">
        <f t="shared" si="38"/>
        <v>18</v>
      </c>
      <c r="D186" t="str">
        <f t="shared" si="35"/>
        <v>00012</v>
      </c>
    </row>
    <row r="187" spans="1:4" x14ac:dyDescent="0.25">
      <c r="A187">
        <f t="shared" si="36"/>
        <v>179</v>
      </c>
      <c r="B187" t="str">
        <f t="shared" si="34"/>
        <v>0x0B3</v>
      </c>
      <c r="C187">
        <f t="shared" si="38"/>
        <v>19</v>
      </c>
      <c r="D187" t="str">
        <f t="shared" si="35"/>
        <v>00013</v>
      </c>
    </row>
    <row r="188" spans="1:4" x14ac:dyDescent="0.25">
      <c r="A188">
        <f t="shared" si="36"/>
        <v>180</v>
      </c>
      <c r="B188" t="str">
        <f t="shared" si="34"/>
        <v>0x0B4</v>
      </c>
      <c r="C188">
        <f t="shared" si="38"/>
        <v>20</v>
      </c>
      <c r="D188" t="str">
        <f t="shared" si="35"/>
        <v>00014</v>
      </c>
    </row>
    <row r="189" spans="1:4" x14ac:dyDescent="0.25">
      <c r="A189">
        <f t="shared" si="36"/>
        <v>181</v>
      </c>
      <c r="B189" t="str">
        <f t="shared" si="34"/>
        <v>0x0B5</v>
      </c>
      <c r="C189">
        <f t="shared" si="38"/>
        <v>21</v>
      </c>
      <c r="D189" t="str">
        <f t="shared" si="35"/>
        <v>00015</v>
      </c>
    </row>
    <row r="190" spans="1:4" x14ac:dyDescent="0.25">
      <c r="A190">
        <f t="shared" si="36"/>
        <v>182</v>
      </c>
      <c r="B190" t="str">
        <f t="shared" si="34"/>
        <v>0x0B6</v>
      </c>
      <c r="C190">
        <f t="shared" si="38"/>
        <v>22</v>
      </c>
      <c r="D190" t="str">
        <f t="shared" si="35"/>
        <v>00016</v>
      </c>
    </row>
    <row r="191" spans="1:4" x14ac:dyDescent="0.25">
      <c r="A191">
        <f t="shared" si="36"/>
        <v>183</v>
      </c>
      <c r="B191" t="str">
        <f t="shared" si="34"/>
        <v>0x0B7</v>
      </c>
      <c r="C191">
        <f t="shared" si="38"/>
        <v>23</v>
      </c>
      <c r="D191" t="str">
        <f t="shared" si="35"/>
        <v>00017</v>
      </c>
    </row>
    <row r="192" spans="1:4" x14ac:dyDescent="0.25">
      <c r="A192">
        <f t="shared" si="36"/>
        <v>184</v>
      </c>
      <c r="B192" t="str">
        <f t="shared" si="34"/>
        <v>0x0B8</v>
      </c>
      <c r="C192">
        <f t="shared" si="38"/>
        <v>24</v>
      </c>
      <c r="D192" t="str">
        <f t="shared" si="35"/>
        <v>00018</v>
      </c>
    </row>
    <row r="193" spans="1:4" x14ac:dyDescent="0.25">
      <c r="A193">
        <f t="shared" si="36"/>
        <v>185</v>
      </c>
      <c r="B193" t="str">
        <f t="shared" si="34"/>
        <v>0x0B9</v>
      </c>
      <c r="C193">
        <f t="shared" si="38"/>
        <v>25</v>
      </c>
      <c r="D193" t="str">
        <f t="shared" si="35"/>
        <v>00019</v>
      </c>
    </row>
    <row r="194" spans="1:4" x14ac:dyDescent="0.25">
      <c r="A194">
        <f t="shared" si="36"/>
        <v>186</v>
      </c>
      <c r="B194" t="str">
        <f t="shared" si="34"/>
        <v>0x0BA</v>
      </c>
      <c r="C194">
        <f t="shared" si="38"/>
        <v>26</v>
      </c>
      <c r="D194" t="str">
        <f t="shared" si="35"/>
        <v>0001A</v>
      </c>
    </row>
    <row r="195" spans="1:4" x14ac:dyDescent="0.25">
      <c r="A195">
        <f t="shared" si="36"/>
        <v>187</v>
      </c>
      <c r="B195" t="str">
        <f t="shared" si="34"/>
        <v>0x0BB</v>
      </c>
      <c r="C195">
        <f t="shared" si="38"/>
        <v>27</v>
      </c>
      <c r="D195" t="str">
        <f t="shared" si="35"/>
        <v>0001B</v>
      </c>
    </row>
    <row r="196" spans="1:4" x14ac:dyDescent="0.25">
      <c r="A196">
        <f t="shared" si="36"/>
        <v>188</v>
      </c>
      <c r="B196" t="str">
        <f t="shared" si="34"/>
        <v>0x0BC</v>
      </c>
      <c r="C196">
        <f t="shared" si="38"/>
        <v>28</v>
      </c>
      <c r="D196" t="str">
        <f t="shared" si="35"/>
        <v>0001C</v>
      </c>
    </row>
    <row r="197" spans="1:4" x14ac:dyDescent="0.25">
      <c r="A197">
        <f t="shared" si="36"/>
        <v>189</v>
      </c>
      <c r="B197" t="str">
        <f t="shared" si="34"/>
        <v>0x0BD</v>
      </c>
      <c r="C197">
        <f t="shared" si="38"/>
        <v>29</v>
      </c>
      <c r="D197" t="str">
        <f t="shared" si="35"/>
        <v>0001D</v>
      </c>
    </row>
    <row r="198" spans="1:4" x14ac:dyDescent="0.25">
      <c r="A198">
        <f t="shared" si="36"/>
        <v>190</v>
      </c>
      <c r="B198" t="str">
        <f t="shared" si="34"/>
        <v>0x0BE</v>
      </c>
      <c r="C198">
        <f t="shared" si="38"/>
        <v>30</v>
      </c>
      <c r="D198" t="str">
        <f t="shared" si="35"/>
        <v>0001E</v>
      </c>
    </row>
    <row r="199" spans="1:4" x14ac:dyDescent="0.25">
      <c r="A199">
        <f t="shared" si="36"/>
        <v>191</v>
      </c>
      <c r="B199" t="str">
        <f t="shared" si="34"/>
        <v>0x0BF</v>
      </c>
      <c r="C199">
        <f t="shared" si="38"/>
        <v>31</v>
      </c>
      <c r="D199" t="str">
        <f t="shared" si="35"/>
        <v>0001F</v>
      </c>
    </row>
    <row r="200" spans="1:4" x14ac:dyDescent="0.25">
      <c r="A200">
        <f t="shared" si="36"/>
        <v>192</v>
      </c>
      <c r="B200" t="str">
        <f t="shared" si="34"/>
        <v>0x0C0</v>
      </c>
      <c r="C200">
        <v>0</v>
      </c>
      <c r="D200" t="str">
        <f t="shared" si="35"/>
        <v>00000</v>
      </c>
    </row>
    <row r="201" spans="1:4" x14ac:dyDescent="0.25">
      <c r="A201">
        <f t="shared" si="36"/>
        <v>193</v>
      </c>
      <c r="B201" t="str">
        <f t="shared" ref="B201:B264" si="39">CONCATENATE("0x",DEC2HEX(A201,3))</f>
        <v>0x0C1</v>
      </c>
      <c r="C201">
        <f>C200+1</f>
        <v>1</v>
      </c>
      <c r="D201" t="str">
        <f t="shared" ref="D201:D264" si="40">DEC2HEX(C201,5)</f>
        <v>00001</v>
      </c>
    </row>
    <row r="202" spans="1:4" x14ac:dyDescent="0.25">
      <c r="A202">
        <f t="shared" ref="A202:A265" si="41">A201+1</f>
        <v>194</v>
      </c>
      <c r="B202" t="str">
        <f t="shared" si="39"/>
        <v>0x0C2</v>
      </c>
      <c r="C202">
        <f t="shared" ref="C202:C231" si="42">C201+1</f>
        <v>2</v>
      </c>
      <c r="D202" t="str">
        <f t="shared" si="40"/>
        <v>00002</v>
      </c>
    </row>
    <row r="203" spans="1:4" x14ac:dyDescent="0.25">
      <c r="A203">
        <f t="shared" si="41"/>
        <v>195</v>
      </c>
      <c r="B203" t="str">
        <f t="shared" si="39"/>
        <v>0x0C3</v>
      </c>
      <c r="C203">
        <f t="shared" si="42"/>
        <v>3</v>
      </c>
      <c r="D203" t="str">
        <f t="shared" si="40"/>
        <v>00003</v>
      </c>
    </row>
    <row r="204" spans="1:4" x14ac:dyDescent="0.25">
      <c r="A204">
        <f t="shared" si="41"/>
        <v>196</v>
      </c>
      <c r="B204" t="str">
        <f t="shared" si="39"/>
        <v>0x0C4</v>
      </c>
      <c r="C204">
        <f t="shared" si="42"/>
        <v>4</v>
      </c>
      <c r="D204" t="str">
        <f t="shared" si="40"/>
        <v>00004</v>
      </c>
    </row>
    <row r="205" spans="1:4" x14ac:dyDescent="0.25">
      <c r="A205">
        <f t="shared" si="41"/>
        <v>197</v>
      </c>
      <c r="B205" t="str">
        <f t="shared" si="39"/>
        <v>0x0C5</v>
      </c>
      <c r="C205">
        <f t="shared" si="42"/>
        <v>5</v>
      </c>
      <c r="D205" t="str">
        <f t="shared" si="40"/>
        <v>00005</v>
      </c>
    </row>
    <row r="206" spans="1:4" x14ac:dyDescent="0.25">
      <c r="A206">
        <f t="shared" si="41"/>
        <v>198</v>
      </c>
      <c r="B206" t="str">
        <f t="shared" si="39"/>
        <v>0x0C6</v>
      </c>
      <c r="C206">
        <f t="shared" si="42"/>
        <v>6</v>
      </c>
      <c r="D206" t="str">
        <f t="shared" si="40"/>
        <v>00006</v>
      </c>
    </row>
    <row r="207" spans="1:4" x14ac:dyDescent="0.25">
      <c r="A207">
        <f t="shared" si="41"/>
        <v>199</v>
      </c>
      <c r="B207" t="str">
        <f t="shared" si="39"/>
        <v>0x0C7</v>
      </c>
      <c r="C207">
        <f t="shared" si="42"/>
        <v>7</v>
      </c>
      <c r="D207" t="str">
        <f t="shared" si="40"/>
        <v>00007</v>
      </c>
    </row>
    <row r="208" spans="1:4" x14ac:dyDescent="0.25">
      <c r="A208">
        <f t="shared" si="41"/>
        <v>200</v>
      </c>
      <c r="B208" t="str">
        <f t="shared" si="39"/>
        <v>0x0C8</v>
      </c>
      <c r="C208">
        <f t="shared" si="42"/>
        <v>8</v>
      </c>
      <c r="D208" t="str">
        <f t="shared" si="40"/>
        <v>00008</v>
      </c>
    </row>
    <row r="209" spans="1:4" x14ac:dyDescent="0.25">
      <c r="A209">
        <f t="shared" si="41"/>
        <v>201</v>
      </c>
      <c r="B209" t="str">
        <f t="shared" si="39"/>
        <v>0x0C9</v>
      </c>
      <c r="C209">
        <f t="shared" si="42"/>
        <v>9</v>
      </c>
      <c r="D209" t="str">
        <f t="shared" si="40"/>
        <v>00009</v>
      </c>
    </row>
    <row r="210" spans="1:4" x14ac:dyDescent="0.25">
      <c r="A210">
        <f t="shared" si="41"/>
        <v>202</v>
      </c>
      <c r="B210" t="str">
        <f t="shared" si="39"/>
        <v>0x0CA</v>
      </c>
      <c r="C210">
        <f t="shared" si="42"/>
        <v>10</v>
      </c>
      <c r="D210" t="str">
        <f t="shared" si="40"/>
        <v>0000A</v>
      </c>
    </row>
    <row r="211" spans="1:4" x14ac:dyDescent="0.25">
      <c r="A211">
        <f t="shared" si="41"/>
        <v>203</v>
      </c>
      <c r="B211" t="str">
        <f t="shared" si="39"/>
        <v>0x0CB</v>
      </c>
      <c r="C211">
        <f t="shared" si="42"/>
        <v>11</v>
      </c>
      <c r="D211" t="str">
        <f t="shared" si="40"/>
        <v>0000B</v>
      </c>
    </row>
    <row r="212" spans="1:4" x14ac:dyDescent="0.25">
      <c r="A212">
        <f t="shared" si="41"/>
        <v>204</v>
      </c>
      <c r="B212" t="str">
        <f t="shared" si="39"/>
        <v>0x0CC</v>
      </c>
      <c r="C212">
        <f t="shared" si="42"/>
        <v>12</v>
      </c>
      <c r="D212" t="str">
        <f t="shared" si="40"/>
        <v>0000C</v>
      </c>
    </row>
    <row r="213" spans="1:4" x14ac:dyDescent="0.25">
      <c r="A213">
        <f t="shared" si="41"/>
        <v>205</v>
      </c>
      <c r="B213" t="str">
        <f t="shared" si="39"/>
        <v>0x0CD</v>
      </c>
      <c r="C213">
        <f t="shared" si="42"/>
        <v>13</v>
      </c>
      <c r="D213" t="str">
        <f t="shared" si="40"/>
        <v>0000D</v>
      </c>
    </row>
    <row r="214" spans="1:4" x14ac:dyDescent="0.25">
      <c r="A214">
        <f t="shared" si="41"/>
        <v>206</v>
      </c>
      <c r="B214" t="str">
        <f t="shared" si="39"/>
        <v>0x0CE</v>
      </c>
      <c r="C214">
        <f t="shared" si="42"/>
        <v>14</v>
      </c>
      <c r="D214" t="str">
        <f t="shared" si="40"/>
        <v>0000E</v>
      </c>
    </row>
    <row r="215" spans="1:4" x14ac:dyDescent="0.25">
      <c r="A215">
        <f t="shared" si="41"/>
        <v>207</v>
      </c>
      <c r="B215" t="str">
        <f t="shared" si="39"/>
        <v>0x0CF</v>
      </c>
      <c r="C215">
        <f t="shared" si="42"/>
        <v>15</v>
      </c>
      <c r="D215" t="str">
        <f t="shared" si="40"/>
        <v>0000F</v>
      </c>
    </row>
    <row r="216" spans="1:4" x14ac:dyDescent="0.25">
      <c r="A216">
        <f t="shared" si="41"/>
        <v>208</v>
      </c>
      <c r="B216" t="str">
        <f t="shared" si="39"/>
        <v>0x0D0</v>
      </c>
      <c r="C216">
        <f t="shared" si="42"/>
        <v>16</v>
      </c>
      <c r="D216" t="str">
        <f t="shared" si="40"/>
        <v>00010</v>
      </c>
    </row>
    <row r="217" spans="1:4" x14ac:dyDescent="0.25">
      <c r="A217">
        <f t="shared" si="41"/>
        <v>209</v>
      </c>
      <c r="B217" t="str">
        <f t="shared" si="39"/>
        <v>0x0D1</v>
      </c>
      <c r="C217">
        <f t="shared" si="42"/>
        <v>17</v>
      </c>
      <c r="D217" t="str">
        <f t="shared" si="40"/>
        <v>00011</v>
      </c>
    </row>
    <row r="218" spans="1:4" x14ac:dyDescent="0.25">
      <c r="A218">
        <f t="shared" si="41"/>
        <v>210</v>
      </c>
      <c r="B218" t="str">
        <f t="shared" si="39"/>
        <v>0x0D2</v>
      </c>
      <c r="C218">
        <f t="shared" si="42"/>
        <v>18</v>
      </c>
      <c r="D218" t="str">
        <f t="shared" si="40"/>
        <v>00012</v>
      </c>
    </row>
    <row r="219" spans="1:4" x14ac:dyDescent="0.25">
      <c r="A219">
        <f t="shared" si="41"/>
        <v>211</v>
      </c>
      <c r="B219" t="str">
        <f t="shared" si="39"/>
        <v>0x0D3</v>
      </c>
      <c r="C219">
        <f t="shared" si="42"/>
        <v>19</v>
      </c>
      <c r="D219" t="str">
        <f t="shared" si="40"/>
        <v>00013</v>
      </c>
    </row>
    <row r="220" spans="1:4" x14ac:dyDescent="0.25">
      <c r="A220">
        <f t="shared" si="41"/>
        <v>212</v>
      </c>
      <c r="B220" t="str">
        <f t="shared" si="39"/>
        <v>0x0D4</v>
      </c>
      <c r="C220">
        <f t="shared" si="42"/>
        <v>20</v>
      </c>
      <c r="D220" t="str">
        <f t="shared" si="40"/>
        <v>00014</v>
      </c>
    </row>
    <row r="221" spans="1:4" x14ac:dyDescent="0.25">
      <c r="A221">
        <f t="shared" si="41"/>
        <v>213</v>
      </c>
      <c r="B221" t="str">
        <f t="shared" si="39"/>
        <v>0x0D5</v>
      </c>
      <c r="C221">
        <f t="shared" si="42"/>
        <v>21</v>
      </c>
      <c r="D221" t="str">
        <f t="shared" si="40"/>
        <v>00015</v>
      </c>
    </row>
    <row r="222" spans="1:4" x14ac:dyDescent="0.25">
      <c r="A222">
        <f t="shared" si="41"/>
        <v>214</v>
      </c>
      <c r="B222" t="str">
        <f t="shared" si="39"/>
        <v>0x0D6</v>
      </c>
      <c r="C222">
        <f t="shared" si="42"/>
        <v>22</v>
      </c>
      <c r="D222" t="str">
        <f t="shared" si="40"/>
        <v>00016</v>
      </c>
    </row>
    <row r="223" spans="1:4" x14ac:dyDescent="0.25">
      <c r="A223">
        <f t="shared" si="41"/>
        <v>215</v>
      </c>
      <c r="B223" t="str">
        <f t="shared" si="39"/>
        <v>0x0D7</v>
      </c>
      <c r="C223">
        <f t="shared" si="42"/>
        <v>23</v>
      </c>
      <c r="D223" t="str">
        <f t="shared" si="40"/>
        <v>00017</v>
      </c>
    </row>
    <row r="224" spans="1:4" x14ac:dyDescent="0.25">
      <c r="A224">
        <f t="shared" si="41"/>
        <v>216</v>
      </c>
      <c r="B224" t="str">
        <f t="shared" si="39"/>
        <v>0x0D8</v>
      </c>
      <c r="C224">
        <f t="shared" si="42"/>
        <v>24</v>
      </c>
      <c r="D224" t="str">
        <f t="shared" si="40"/>
        <v>00018</v>
      </c>
    </row>
    <row r="225" spans="1:4" x14ac:dyDescent="0.25">
      <c r="A225">
        <f t="shared" si="41"/>
        <v>217</v>
      </c>
      <c r="B225" t="str">
        <f t="shared" si="39"/>
        <v>0x0D9</v>
      </c>
      <c r="C225">
        <f t="shared" si="42"/>
        <v>25</v>
      </c>
      <c r="D225" t="str">
        <f t="shared" si="40"/>
        <v>00019</v>
      </c>
    </row>
    <row r="226" spans="1:4" x14ac:dyDescent="0.25">
      <c r="A226">
        <f t="shared" si="41"/>
        <v>218</v>
      </c>
      <c r="B226" t="str">
        <f t="shared" si="39"/>
        <v>0x0DA</v>
      </c>
      <c r="C226">
        <f t="shared" si="42"/>
        <v>26</v>
      </c>
      <c r="D226" t="str">
        <f t="shared" si="40"/>
        <v>0001A</v>
      </c>
    </row>
    <row r="227" spans="1:4" x14ac:dyDescent="0.25">
      <c r="A227">
        <f t="shared" si="41"/>
        <v>219</v>
      </c>
      <c r="B227" t="str">
        <f t="shared" si="39"/>
        <v>0x0DB</v>
      </c>
      <c r="C227">
        <f t="shared" si="42"/>
        <v>27</v>
      </c>
      <c r="D227" t="str">
        <f t="shared" si="40"/>
        <v>0001B</v>
      </c>
    </row>
    <row r="228" spans="1:4" x14ac:dyDescent="0.25">
      <c r="A228">
        <f t="shared" si="41"/>
        <v>220</v>
      </c>
      <c r="B228" t="str">
        <f t="shared" si="39"/>
        <v>0x0DC</v>
      </c>
      <c r="C228">
        <f t="shared" si="42"/>
        <v>28</v>
      </c>
      <c r="D228" t="str">
        <f t="shared" si="40"/>
        <v>0001C</v>
      </c>
    </row>
    <row r="229" spans="1:4" x14ac:dyDescent="0.25">
      <c r="A229">
        <f t="shared" si="41"/>
        <v>221</v>
      </c>
      <c r="B229" t="str">
        <f t="shared" si="39"/>
        <v>0x0DD</v>
      </c>
      <c r="C229">
        <f t="shared" si="42"/>
        <v>29</v>
      </c>
      <c r="D229" t="str">
        <f t="shared" si="40"/>
        <v>0001D</v>
      </c>
    </row>
    <row r="230" spans="1:4" x14ac:dyDescent="0.25">
      <c r="A230">
        <f t="shared" si="41"/>
        <v>222</v>
      </c>
      <c r="B230" t="str">
        <f t="shared" si="39"/>
        <v>0x0DE</v>
      </c>
      <c r="C230">
        <f t="shared" si="42"/>
        <v>30</v>
      </c>
      <c r="D230" t="str">
        <f t="shared" si="40"/>
        <v>0001E</v>
      </c>
    </row>
    <row r="231" spans="1:4" x14ac:dyDescent="0.25">
      <c r="A231">
        <f t="shared" si="41"/>
        <v>223</v>
      </c>
      <c r="B231" t="str">
        <f t="shared" si="39"/>
        <v>0x0DF</v>
      </c>
      <c r="C231">
        <f t="shared" si="42"/>
        <v>31</v>
      </c>
      <c r="D231" t="str">
        <f t="shared" si="40"/>
        <v>0001F</v>
      </c>
    </row>
    <row r="232" spans="1:4" x14ac:dyDescent="0.25">
      <c r="A232">
        <f t="shared" si="41"/>
        <v>224</v>
      </c>
      <c r="B232" t="str">
        <f t="shared" si="39"/>
        <v>0x0E0</v>
      </c>
      <c r="C232">
        <v>0</v>
      </c>
      <c r="D232" t="str">
        <f t="shared" si="40"/>
        <v>00000</v>
      </c>
    </row>
    <row r="233" spans="1:4" x14ac:dyDescent="0.25">
      <c r="A233">
        <f t="shared" si="41"/>
        <v>225</v>
      </c>
      <c r="B233" t="str">
        <f t="shared" si="39"/>
        <v>0x0E1</v>
      </c>
      <c r="C233">
        <f>C232+1</f>
        <v>1</v>
      </c>
      <c r="D233" t="str">
        <f t="shared" si="40"/>
        <v>00001</v>
      </c>
    </row>
    <row r="234" spans="1:4" x14ac:dyDescent="0.25">
      <c r="A234">
        <f t="shared" si="41"/>
        <v>226</v>
      </c>
      <c r="B234" t="str">
        <f t="shared" si="39"/>
        <v>0x0E2</v>
      </c>
      <c r="C234">
        <f t="shared" ref="C234:C263" si="43">C233+1</f>
        <v>2</v>
      </c>
      <c r="D234" t="str">
        <f t="shared" si="40"/>
        <v>00002</v>
      </c>
    </row>
    <row r="235" spans="1:4" x14ac:dyDescent="0.25">
      <c r="A235">
        <f t="shared" si="41"/>
        <v>227</v>
      </c>
      <c r="B235" t="str">
        <f t="shared" si="39"/>
        <v>0x0E3</v>
      </c>
      <c r="C235">
        <f t="shared" si="43"/>
        <v>3</v>
      </c>
      <c r="D235" t="str">
        <f t="shared" si="40"/>
        <v>00003</v>
      </c>
    </row>
    <row r="236" spans="1:4" x14ac:dyDescent="0.25">
      <c r="A236">
        <f t="shared" si="41"/>
        <v>228</v>
      </c>
      <c r="B236" t="str">
        <f t="shared" si="39"/>
        <v>0x0E4</v>
      </c>
      <c r="C236">
        <f t="shared" si="43"/>
        <v>4</v>
      </c>
      <c r="D236" t="str">
        <f t="shared" si="40"/>
        <v>00004</v>
      </c>
    </row>
    <row r="237" spans="1:4" x14ac:dyDescent="0.25">
      <c r="A237">
        <f t="shared" si="41"/>
        <v>229</v>
      </c>
      <c r="B237" t="str">
        <f t="shared" si="39"/>
        <v>0x0E5</v>
      </c>
      <c r="C237">
        <f t="shared" si="43"/>
        <v>5</v>
      </c>
      <c r="D237" t="str">
        <f t="shared" si="40"/>
        <v>00005</v>
      </c>
    </row>
    <row r="238" spans="1:4" x14ac:dyDescent="0.25">
      <c r="A238">
        <f t="shared" si="41"/>
        <v>230</v>
      </c>
      <c r="B238" t="str">
        <f t="shared" si="39"/>
        <v>0x0E6</v>
      </c>
      <c r="C238">
        <f t="shared" si="43"/>
        <v>6</v>
      </c>
      <c r="D238" t="str">
        <f t="shared" si="40"/>
        <v>00006</v>
      </c>
    </row>
    <row r="239" spans="1:4" x14ac:dyDescent="0.25">
      <c r="A239">
        <f t="shared" si="41"/>
        <v>231</v>
      </c>
      <c r="B239" t="str">
        <f t="shared" si="39"/>
        <v>0x0E7</v>
      </c>
      <c r="C239">
        <f t="shared" si="43"/>
        <v>7</v>
      </c>
      <c r="D239" t="str">
        <f t="shared" si="40"/>
        <v>00007</v>
      </c>
    </row>
    <row r="240" spans="1:4" x14ac:dyDescent="0.25">
      <c r="A240">
        <f t="shared" si="41"/>
        <v>232</v>
      </c>
      <c r="B240" t="str">
        <f t="shared" si="39"/>
        <v>0x0E8</v>
      </c>
      <c r="C240">
        <f t="shared" si="43"/>
        <v>8</v>
      </c>
      <c r="D240" t="str">
        <f t="shared" si="40"/>
        <v>00008</v>
      </c>
    </row>
    <row r="241" spans="1:4" x14ac:dyDescent="0.25">
      <c r="A241">
        <f t="shared" si="41"/>
        <v>233</v>
      </c>
      <c r="B241" t="str">
        <f t="shared" si="39"/>
        <v>0x0E9</v>
      </c>
      <c r="C241">
        <f t="shared" si="43"/>
        <v>9</v>
      </c>
      <c r="D241" t="str">
        <f t="shared" si="40"/>
        <v>00009</v>
      </c>
    </row>
    <row r="242" spans="1:4" x14ac:dyDescent="0.25">
      <c r="A242">
        <f t="shared" si="41"/>
        <v>234</v>
      </c>
      <c r="B242" t="str">
        <f t="shared" si="39"/>
        <v>0x0EA</v>
      </c>
      <c r="C242">
        <f t="shared" si="43"/>
        <v>10</v>
      </c>
      <c r="D242" t="str">
        <f t="shared" si="40"/>
        <v>0000A</v>
      </c>
    </row>
    <row r="243" spans="1:4" x14ac:dyDescent="0.25">
      <c r="A243">
        <f t="shared" si="41"/>
        <v>235</v>
      </c>
      <c r="B243" t="str">
        <f t="shared" si="39"/>
        <v>0x0EB</v>
      </c>
      <c r="C243">
        <f t="shared" si="43"/>
        <v>11</v>
      </c>
      <c r="D243" t="str">
        <f t="shared" si="40"/>
        <v>0000B</v>
      </c>
    </row>
    <row r="244" spans="1:4" x14ac:dyDescent="0.25">
      <c r="A244">
        <f t="shared" si="41"/>
        <v>236</v>
      </c>
      <c r="B244" t="str">
        <f t="shared" si="39"/>
        <v>0x0EC</v>
      </c>
      <c r="C244">
        <f t="shared" si="43"/>
        <v>12</v>
      </c>
      <c r="D244" t="str">
        <f t="shared" si="40"/>
        <v>0000C</v>
      </c>
    </row>
    <row r="245" spans="1:4" x14ac:dyDescent="0.25">
      <c r="A245">
        <f t="shared" si="41"/>
        <v>237</v>
      </c>
      <c r="B245" t="str">
        <f t="shared" si="39"/>
        <v>0x0ED</v>
      </c>
      <c r="C245">
        <f t="shared" si="43"/>
        <v>13</v>
      </c>
      <c r="D245" t="str">
        <f t="shared" si="40"/>
        <v>0000D</v>
      </c>
    </row>
    <row r="246" spans="1:4" x14ac:dyDescent="0.25">
      <c r="A246">
        <f t="shared" si="41"/>
        <v>238</v>
      </c>
      <c r="B246" t="str">
        <f t="shared" si="39"/>
        <v>0x0EE</v>
      </c>
      <c r="C246">
        <f t="shared" si="43"/>
        <v>14</v>
      </c>
      <c r="D246" t="str">
        <f t="shared" si="40"/>
        <v>0000E</v>
      </c>
    </row>
    <row r="247" spans="1:4" x14ac:dyDescent="0.25">
      <c r="A247">
        <f t="shared" si="41"/>
        <v>239</v>
      </c>
      <c r="B247" t="str">
        <f t="shared" si="39"/>
        <v>0x0EF</v>
      </c>
      <c r="C247">
        <f t="shared" si="43"/>
        <v>15</v>
      </c>
      <c r="D247" t="str">
        <f t="shared" si="40"/>
        <v>0000F</v>
      </c>
    </row>
    <row r="248" spans="1:4" x14ac:dyDescent="0.25">
      <c r="A248">
        <f t="shared" si="41"/>
        <v>240</v>
      </c>
      <c r="B248" t="str">
        <f t="shared" si="39"/>
        <v>0x0F0</v>
      </c>
      <c r="C248">
        <f t="shared" si="43"/>
        <v>16</v>
      </c>
      <c r="D248" t="str">
        <f t="shared" si="40"/>
        <v>00010</v>
      </c>
    </row>
    <row r="249" spans="1:4" x14ac:dyDescent="0.25">
      <c r="A249">
        <f t="shared" si="41"/>
        <v>241</v>
      </c>
      <c r="B249" t="str">
        <f t="shared" si="39"/>
        <v>0x0F1</v>
      </c>
      <c r="C249">
        <f t="shared" si="43"/>
        <v>17</v>
      </c>
      <c r="D249" t="str">
        <f t="shared" si="40"/>
        <v>00011</v>
      </c>
    </row>
    <row r="250" spans="1:4" x14ac:dyDescent="0.25">
      <c r="A250">
        <f t="shared" si="41"/>
        <v>242</v>
      </c>
      <c r="B250" t="str">
        <f t="shared" si="39"/>
        <v>0x0F2</v>
      </c>
      <c r="C250">
        <f t="shared" si="43"/>
        <v>18</v>
      </c>
      <c r="D250" t="str">
        <f t="shared" si="40"/>
        <v>00012</v>
      </c>
    </row>
    <row r="251" spans="1:4" x14ac:dyDescent="0.25">
      <c r="A251">
        <f t="shared" si="41"/>
        <v>243</v>
      </c>
      <c r="B251" t="str">
        <f t="shared" si="39"/>
        <v>0x0F3</v>
      </c>
      <c r="C251">
        <f t="shared" si="43"/>
        <v>19</v>
      </c>
      <c r="D251" t="str">
        <f t="shared" si="40"/>
        <v>00013</v>
      </c>
    </row>
    <row r="252" spans="1:4" x14ac:dyDescent="0.25">
      <c r="A252">
        <f t="shared" si="41"/>
        <v>244</v>
      </c>
      <c r="B252" t="str">
        <f t="shared" si="39"/>
        <v>0x0F4</v>
      </c>
      <c r="C252">
        <f t="shared" si="43"/>
        <v>20</v>
      </c>
      <c r="D252" t="str">
        <f t="shared" si="40"/>
        <v>00014</v>
      </c>
    </row>
    <row r="253" spans="1:4" x14ac:dyDescent="0.25">
      <c r="A253">
        <f t="shared" si="41"/>
        <v>245</v>
      </c>
      <c r="B253" t="str">
        <f t="shared" si="39"/>
        <v>0x0F5</v>
      </c>
      <c r="C253">
        <f t="shared" si="43"/>
        <v>21</v>
      </c>
      <c r="D253" t="str">
        <f t="shared" si="40"/>
        <v>00015</v>
      </c>
    </row>
    <row r="254" spans="1:4" x14ac:dyDescent="0.25">
      <c r="A254">
        <f t="shared" si="41"/>
        <v>246</v>
      </c>
      <c r="B254" t="str">
        <f t="shared" si="39"/>
        <v>0x0F6</v>
      </c>
      <c r="C254">
        <f t="shared" si="43"/>
        <v>22</v>
      </c>
      <c r="D254" t="str">
        <f t="shared" si="40"/>
        <v>00016</v>
      </c>
    </row>
    <row r="255" spans="1:4" x14ac:dyDescent="0.25">
      <c r="A255">
        <f t="shared" si="41"/>
        <v>247</v>
      </c>
      <c r="B255" t="str">
        <f t="shared" si="39"/>
        <v>0x0F7</v>
      </c>
      <c r="C255">
        <f t="shared" si="43"/>
        <v>23</v>
      </c>
      <c r="D255" t="str">
        <f t="shared" si="40"/>
        <v>00017</v>
      </c>
    </row>
    <row r="256" spans="1:4" x14ac:dyDescent="0.25">
      <c r="A256">
        <f t="shared" si="41"/>
        <v>248</v>
      </c>
      <c r="B256" t="str">
        <f t="shared" si="39"/>
        <v>0x0F8</v>
      </c>
      <c r="C256">
        <f t="shared" si="43"/>
        <v>24</v>
      </c>
      <c r="D256" t="str">
        <f t="shared" si="40"/>
        <v>00018</v>
      </c>
    </row>
    <row r="257" spans="1:4" x14ac:dyDescent="0.25">
      <c r="A257">
        <f t="shared" si="41"/>
        <v>249</v>
      </c>
      <c r="B257" t="str">
        <f t="shared" si="39"/>
        <v>0x0F9</v>
      </c>
      <c r="C257">
        <f t="shared" si="43"/>
        <v>25</v>
      </c>
      <c r="D257" t="str">
        <f t="shared" si="40"/>
        <v>00019</v>
      </c>
    </row>
    <row r="258" spans="1:4" x14ac:dyDescent="0.25">
      <c r="A258">
        <f t="shared" si="41"/>
        <v>250</v>
      </c>
      <c r="B258" t="str">
        <f t="shared" si="39"/>
        <v>0x0FA</v>
      </c>
      <c r="C258">
        <f t="shared" si="43"/>
        <v>26</v>
      </c>
      <c r="D258" t="str">
        <f t="shared" si="40"/>
        <v>0001A</v>
      </c>
    </row>
    <row r="259" spans="1:4" x14ac:dyDescent="0.25">
      <c r="A259">
        <f t="shared" si="41"/>
        <v>251</v>
      </c>
      <c r="B259" t="str">
        <f t="shared" si="39"/>
        <v>0x0FB</v>
      </c>
      <c r="C259">
        <f t="shared" si="43"/>
        <v>27</v>
      </c>
      <c r="D259" t="str">
        <f t="shared" si="40"/>
        <v>0001B</v>
      </c>
    </row>
    <row r="260" spans="1:4" x14ac:dyDescent="0.25">
      <c r="A260">
        <f t="shared" si="41"/>
        <v>252</v>
      </c>
      <c r="B260" t="str">
        <f t="shared" si="39"/>
        <v>0x0FC</v>
      </c>
      <c r="C260">
        <f t="shared" si="43"/>
        <v>28</v>
      </c>
      <c r="D260" t="str">
        <f t="shared" si="40"/>
        <v>0001C</v>
      </c>
    </row>
    <row r="261" spans="1:4" x14ac:dyDescent="0.25">
      <c r="A261">
        <f t="shared" si="41"/>
        <v>253</v>
      </c>
      <c r="B261" t="str">
        <f t="shared" si="39"/>
        <v>0x0FD</v>
      </c>
      <c r="C261">
        <f t="shared" si="43"/>
        <v>29</v>
      </c>
      <c r="D261" t="str">
        <f t="shared" si="40"/>
        <v>0001D</v>
      </c>
    </row>
    <row r="262" spans="1:4" x14ac:dyDescent="0.25">
      <c r="A262">
        <f t="shared" si="41"/>
        <v>254</v>
      </c>
      <c r="B262" t="str">
        <f t="shared" si="39"/>
        <v>0x0FE</v>
      </c>
      <c r="C262">
        <f t="shared" si="43"/>
        <v>30</v>
      </c>
      <c r="D262" t="str">
        <f t="shared" si="40"/>
        <v>0001E</v>
      </c>
    </row>
    <row r="263" spans="1:4" x14ac:dyDescent="0.25">
      <c r="A263">
        <f t="shared" si="41"/>
        <v>255</v>
      </c>
      <c r="B263" t="str">
        <f t="shared" si="39"/>
        <v>0x0FF</v>
      </c>
      <c r="C263">
        <f t="shared" si="43"/>
        <v>31</v>
      </c>
      <c r="D263" t="str">
        <f t="shared" si="40"/>
        <v>0001F</v>
      </c>
    </row>
    <row r="264" spans="1:4" x14ac:dyDescent="0.25">
      <c r="A264">
        <f t="shared" si="41"/>
        <v>256</v>
      </c>
      <c r="B264" t="str">
        <f t="shared" si="39"/>
        <v>0x100</v>
      </c>
      <c r="C264">
        <v>0</v>
      </c>
      <c r="D264" t="str">
        <f t="shared" si="40"/>
        <v>00000</v>
      </c>
    </row>
    <row r="265" spans="1:4" x14ac:dyDescent="0.25">
      <c r="A265">
        <f t="shared" si="41"/>
        <v>257</v>
      </c>
      <c r="B265" t="str">
        <f t="shared" ref="B265:B328" si="44">CONCATENATE("0x",DEC2HEX(A265,3))</f>
        <v>0x101</v>
      </c>
      <c r="C265">
        <f>C264+1</f>
        <v>1</v>
      </c>
      <c r="D265" t="str">
        <f t="shared" ref="D265:D328" si="45">DEC2HEX(C265,5)</f>
        <v>00001</v>
      </c>
    </row>
    <row r="266" spans="1:4" x14ac:dyDescent="0.25">
      <c r="A266">
        <f t="shared" ref="A266:A329" si="46">A265+1</f>
        <v>258</v>
      </c>
      <c r="B266" t="str">
        <f t="shared" si="44"/>
        <v>0x102</v>
      </c>
      <c r="C266">
        <f t="shared" ref="C266:C295" si="47">C265+1</f>
        <v>2</v>
      </c>
      <c r="D266" t="str">
        <f t="shared" si="45"/>
        <v>00002</v>
      </c>
    </row>
    <row r="267" spans="1:4" x14ac:dyDescent="0.25">
      <c r="A267">
        <f t="shared" si="46"/>
        <v>259</v>
      </c>
      <c r="B267" t="str">
        <f t="shared" si="44"/>
        <v>0x103</v>
      </c>
      <c r="C267">
        <f t="shared" si="47"/>
        <v>3</v>
      </c>
      <c r="D267" t="str">
        <f t="shared" si="45"/>
        <v>00003</v>
      </c>
    </row>
    <row r="268" spans="1:4" x14ac:dyDescent="0.25">
      <c r="A268">
        <f t="shared" si="46"/>
        <v>260</v>
      </c>
      <c r="B268" t="str">
        <f t="shared" si="44"/>
        <v>0x104</v>
      </c>
      <c r="C268">
        <f t="shared" si="47"/>
        <v>4</v>
      </c>
      <c r="D268" t="str">
        <f t="shared" si="45"/>
        <v>00004</v>
      </c>
    </row>
    <row r="269" spans="1:4" x14ac:dyDescent="0.25">
      <c r="A269">
        <f t="shared" si="46"/>
        <v>261</v>
      </c>
      <c r="B269" t="str">
        <f t="shared" si="44"/>
        <v>0x105</v>
      </c>
      <c r="C269">
        <f t="shared" si="47"/>
        <v>5</v>
      </c>
      <c r="D269" t="str">
        <f t="shared" si="45"/>
        <v>00005</v>
      </c>
    </row>
    <row r="270" spans="1:4" x14ac:dyDescent="0.25">
      <c r="A270">
        <f t="shared" si="46"/>
        <v>262</v>
      </c>
      <c r="B270" t="str">
        <f t="shared" si="44"/>
        <v>0x106</v>
      </c>
      <c r="C270">
        <f t="shared" si="47"/>
        <v>6</v>
      </c>
      <c r="D270" t="str">
        <f t="shared" si="45"/>
        <v>00006</v>
      </c>
    </row>
    <row r="271" spans="1:4" x14ac:dyDescent="0.25">
      <c r="A271">
        <f t="shared" si="46"/>
        <v>263</v>
      </c>
      <c r="B271" t="str">
        <f t="shared" si="44"/>
        <v>0x107</v>
      </c>
      <c r="C271">
        <f t="shared" si="47"/>
        <v>7</v>
      </c>
      <c r="D271" t="str">
        <f t="shared" si="45"/>
        <v>00007</v>
      </c>
    </row>
    <row r="272" spans="1:4" x14ac:dyDescent="0.25">
      <c r="A272">
        <f t="shared" si="46"/>
        <v>264</v>
      </c>
      <c r="B272" t="str">
        <f t="shared" si="44"/>
        <v>0x108</v>
      </c>
      <c r="C272">
        <f t="shared" si="47"/>
        <v>8</v>
      </c>
      <c r="D272" t="str">
        <f t="shared" si="45"/>
        <v>00008</v>
      </c>
    </row>
    <row r="273" spans="1:4" x14ac:dyDescent="0.25">
      <c r="A273">
        <f t="shared" si="46"/>
        <v>265</v>
      </c>
      <c r="B273" t="str">
        <f t="shared" si="44"/>
        <v>0x109</v>
      </c>
      <c r="C273">
        <f t="shared" si="47"/>
        <v>9</v>
      </c>
      <c r="D273" t="str">
        <f t="shared" si="45"/>
        <v>00009</v>
      </c>
    </row>
    <row r="274" spans="1:4" x14ac:dyDescent="0.25">
      <c r="A274">
        <f t="shared" si="46"/>
        <v>266</v>
      </c>
      <c r="B274" t="str">
        <f t="shared" si="44"/>
        <v>0x10A</v>
      </c>
      <c r="C274">
        <f t="shared" si="47"/>
        <v>10</v>
      </c>
      <c r="D274" t="str">
        <f t="shared" si="45"/>
        <v>0000A</v>
      </c>
    </row>
    <row r="275" spans="1:4" x14ac:dyDescent="0.25">
      <c r="A275">
        <f t="shared" si="46"/>
        <v>267</v>
      </c>
      <c r="B275" t="str">
        <f t="shared" si="44"/>
        <v>0x10B</v>
      </c>
      <c r="C275">
        <f t="shared" si="47"/>
        <v>11</v>
      </c>
      <c r="D275" t="str">
        <f t="shared" si="45"/>
        <v>0000B</v>
      </c>
    </row>
    <row r="276" spans="1:4" x14ac:dyDescent="0.25">
      <c r="A276">
        <f t="shared" si="46"/>
        <v>268</v>
      </c>
      <c r="B276" t="str">
        <f t="shared" si="44"/>
        <v>0x10C</v>
      </c>
      <c r="C276">
        <f t="shared" si="47"/>
        <v>12</v>
      </c>
      <c r="D276" t="str">
        <f t="shared" si="45"/>
        <v>0000C</v>
      </c>
    </row>
    <row r="277" spans="1:4" x14ac:dyDescent="0.25">
      <c r="A277">
        <f t="shared" si="46"/>
        <v>269</v>
      </c>
      <c r="B277" t="str">
        <f t="shared" si="44"/>
        <v>0x10D</v>
      </c>
      <c r="C277">
        <f t="shared" si="47"/>
        <v>13</v>
      </c>
      <c r="D277" t="str">
        <f t="shared" si="45"/>
        <v>0000D</v>
      </c>
    </row>
    <row r="278" spans="1:4" x14ac:dyDescent="0.25">
      <c r="A278">
        <f t="shared" si="46"/>
        <v>270</v>
      </c>
      <c r="B278" t="str">
        <f t="shared" si="44"/>
        <v>0x10E</v>
      </c>
      <c r="C278">
        <f t="shared" si="47"/>
        <v>14</v>
      </c>
      <c r="D278" t="str">
        <f t="shared" si="45"/>
        <v>0000E</v>
      </c>
    </row>
    <row r="279" spans="1:4" x14ac:dyDescent="0.25">
      <c r="A279">
        <f t="shared" si="46"/>
        <v>271</v>
      </c>
      <c r="B279" t="str">
        <f t="shared" si="44"/>
        <v>0x10F</v>
      </c>
      <c r="C279">
        <f t="shared" si="47"/>
        <v>15</v>
      </c>
      <c r="D279" t="str">
        <f t="shared" si="45"/>
        <v>0000F</v>
      </c>
    </row>
    <row r="280" spans="1:4" x14ac:dyDescent="0.25">
      <c r="A280">
        <f t="shared" si="46"/>
        <v>272</v>
      </c>
      <c r="B280" t="str">
        <f t="shared" si="44"/>
        <v>0x110</v>
      </c>
      <c r="C280">
        <f t="shared" si="47"/>
        <v>16</v>
      </c>
      <c r="D280" t="str">
        <f t="shared" si="45"/>
        <v>00010</v>
      </c>
    </row>
    <row r="281" spans="1:4" x14ac:dyDescent="0.25">
      <c r="A281">
        <f t="shared" si="46"/>
        <v>273</v>
      </c>
      <c r="B281" t="str">
        <f t="shared" si="44"/>
        <v>0x111</v>
      </c>
      <c r="C281">
        <f t="shared" si="47"/>
        <v>17</v>
      </c>
      <c r="D281" t="str">
        <f t="shared" si="45"/>
        <v>00011</v>
      </c>
    </row>
    <row r="282" spans="1:4" x14ac:dyDescent="0.25">
      <c r="A282">
        <f t="shared" si="46"/>
        <v>274</v>
      </c>
      <c r="B282" t="str">
        <f t="shared" si="44"/>
        <v>0x112</v>
      </c>
      <c r="C282">
        <f t="shared" si="47"/>
        <v>18</v>
      </c>
      <c r="D282" t="str">
        <f t="shared" si="45"/>
        <v>00012</v>
      </c>
    </row>
    <row r="283" spans="1:4" x14ac:dyDescent="0.25">
      <c r="A283">
        <f t="shared" si="46"/>
        <v>275</v>
      </c>
      <c r="B283" t="str">
        <f t="shared" si="44"/>
        <v>0x113</v>
      </c>
      <c r="C283">
        <f t="shared" si="47"/>
        <v>19</v>
      </c>
      <c r="D283" t="str">
        <f t="shared" si="45"/>
        <v>00013</v>
      </c>
    </row>
    <row r="284" spans="1:4" x14ac:dyDescent="0.25">
      <c r="A284">
        <f t="shared" si="46"/>
        <v>276</v>
      </c>
      <c r="B284" t="str">
        <f t="shared" si="44"/>
        <v>0x114</v>
      </c>
      <c r="C284">
        <f t="shared" si="47"/>
        <v>20</v>
      </c>
      <c r="D284" t="str">
        <f t="shared" si="45"/>
        <v>00014</v>
      </c>
    </row>
    <row r="285" spans="1:4" x14ac:dyDescent="0.25">
      <c r="A285">
        <f t="shared" si="46"/>
        <v>277</v>
      </c>
      <c r="B285" t="str">
        <f t="shared" si="44"/>
        <v>0x115</v>
      </c>
      <c r="C285">
        <f t="shared" si="47"/>
        <v>21</v>
      </c>
      <c r="D285" t="str">
        <f t="shared" si="45"/>
        <v>00015</v>
      </c>
    </row>
    <row r="286" spans="1:4" x14ac:dyDescent="0.25">
      <c r="A286">
        <f t="shared" si="46"/>
        <v>278</v>
      </c>
      <c r="B286" t="str">
        <f t="shared" si="44"/>
        <v>0x116</v>
      </c>
      <c r="C286">
        <f t="shared" si="47"/>
        <v>22</v>
      </c>
      <c r="D286" t="str">
        <f t="shared" si="45"/>
        <v>00016</v>
      </c>
    </row>
    <row r="287" spans="1:4" x14ac:dyDescent="0.25">
      <c r="A287">
        <f t="shared" si="46"/>
        <v>279</v>
      </c>
      <c r="B287" t="str">
        <f t="shared" si="44"/>
        <v>0x117</v>
      </c>
      <c r="C287">
        <f t="shared" si="47"/>
        <v>23</v>
      </c>
      <c r="D287" t="str">
        <f t="shared" si="45"/>
        <v>00017</v>
      </c>
    </row>
    <row r="288" spans="1:4" x14ac:dyDescent="0.25">
      <c r="A288">
        <f t="shared" si="46"/>
        <v>280</v>
      </c>
      <c r="B288" t="str">
        <f t="shared" si="44"/>
        <v>0x118</v>
      </c>
      <c r="C288">
        <f t="shared" si="47"/>
        <v>24</v>
      </c>
      <c r="D288" t="str">
        <f t="shared" si="45"/>
        <v>00018</v>
      </c>
    </row>
    <row r="289" spans="1:4" x14ac:dyDescent="0.25">
      <c r="A289">
        <f t="shared" si="46"/>
        <v>281</v>
      </c>
      <c r="B289" t="str">
        <f t="shared" si="44"/>
        <v>0x119</v>
      </c>
      <c r="C289">
        <f t="shared" si="47"/>
        <v>25</v>
      </c>
      <c r="D289" t="str">
        <f t="shared" si="45"/>
        <v>00019</v>
      </c>
    </row>
    <row r="290" spans="1:4" x14ac:dyDescent="0.25">
      <c r="A290">
        <f t="shared" si="46"/>
        <v>282</v>
      </c>
      <c r="B290" t="str">
        <f t="shared" si="44"/>
        <v>0x11A</v>
      </c>
      <c r="C290">
        <f t="shared" si="47"/>
        <v>26</v>
      </c>
      <c r="D290" t="str">
        <f t="shared" si="45"/>
        <v>0001A</v>
      </c>
    </row>
    <row r="291" spans="1:4" x14ac:dyDescent="0.25">
      <c r="A291">
        <f t="shared" si="46"/>
        <v>283</v>
      </c>
      <c r="B291" t="str">
        <f t="shared" si="44"/>
        <v>0x11B</v>
      </c>
      <c r="C291">
        <f t="shared" si="47"/>
        <v>27</v>
      </c>
      <c r="D291" t="str">
        <f t="shared" si="45"/>
        <v>0001B</v>
      </c>
    </row>
    <row r="292" spans="1:4" x14ac:dyDescent="0.25">
      <c r="A292">
        <f t="shared" si="46"/>
        <v>284</v>
      </c>
      <c r="B292" t="str">
        <f t="shared" si="44"/>
        <v>0x11C</v>
      </c>
      <c r="C292">
        <f t="shared" si="47"/>
        <v>28</v>
      </c>
      <c r="D292" t="str">
        <f t="shared" si="45"/>
        <v>0001C</v>
      </c>
    </row>
    <row r="293" spans="1:4" x14ac:dyDescent="0.25">
      <c r="A293">
        <f t="shared" si="46"/>
        <v>285</v>
      </c>
      <c r="B293" t="str">
        <f t="shared" si="44"/>
        <v>0x11D</v>
      </c>
      <c r="C293">
        <f t="shared" si="47"/>
        <v>29</v>
      </c>
      <c r="D293" t="str">
        <f t="shared" si="45"/>
        <v>0001D</v>
      </c>
    </row>
    <row r="294" spans="1:4" x14ac:dyDescent="0.25">
      <c r="A294">
        <f t="shared" si="46"/>
        <v>286</v>
      </c>
      <c r="B294" t="str">
        <f t="shared" si="44"/>
        <v>0x11E</v>
      </c>
      <c r="C294">
        <f t="shared" si="47"/>
        <v>30</v>
      </c>
      <c r="D294" t="str">
        <f t="shared" si="45"/>
        <v>0001E</v>
      </c>
    </row>
    <row r="295" spans="1:4" x14ac:dyDescent="0.25">
      <c r="A295">
        <f t="shared" si="46"/>
        <v>287</v>
      </c>
      <c r="B295" t="str">
        <f t="shared" si="44"/>
        <v>0x11F</v>
      </c>
      <c r="C295">
        <f t="shared" si="47"/>
        <v>31</v>
      </c>
      <c r="D295" t="str">
        <f t="shared" si="45"/>
        <v>0001F</v>
      </c>
    </row>
    <row r="296" spans="1:4" x14ac:dyDescent="0.25">
      <c r="A296">
        <f t="shared" si="46"/>
        <v>288</v>
      </c>
      <c r="B296" t="str">
        <f t="shared" si="44"/>
        <v>0x120</v>
      </c>
      <c r="C296">
        <v>0</v>
      </c>
      <c r="D296" t="str">
        <f t="shared" si="45"/>
        <v>00000</v>
      </c>
    </row>
    <row r="297" spans="1:4" x14ac:dyDescent="0.25">
      <c r="A297">
        <f t="shared" si="46"/>
        <v>289</v>
      </c>
      <c r="B297" t="str">
        <f t="shared" si="44"/>
        <v>0x121</v>
      </c>
      <c r="C297">
        <f>C296+1</f>
        <v>1</v>
      </c>
      <c r="D297" t="str">
        <f t="shared" si="45"/>
        <v>00001</v>
      </c>
    </row>
    <row r="298" spans="1:4" x14ac:dyDescent="0.25">
      <c r="A298">
        <f t="shared" si="46"/>
        <v>290</v>
      </c>
      <c r="B298" t="str">
        <f t="shared" si="44"/>
        <v>0x122</v>
      </c>
      <c r="C298">
        <f t="shared" ref="C298:C327" si="48">C297+1</f>
        <v>2</v>
      </c>
      <c r="D298" t="str">
        <f t="shared" si="45"/>
        <v>00002</v>
      </c>
    </row>
    <row r="299" spans="1:4" x14ac:dyDescent="0.25">
      <c r="A299">
        <f t="shared" si="46"/>
        <v>291</v>
      </c>
      <c r="B299" t="str">
        <f t="shared" si="44"/>
        <v>0x123</v>
      </c>
      <c r="C299">
        <f t="shared" si="48"/>
        <v>3</v>
      </c>
      <c r="D299" t="str">
        <f t="shared" si="45"/>
        <v>00003</v>
      </c>
    </row>
    <row r="300" spans="1:4" x14ac:dyDescent="0.25">
      <c r="A300">
        <f t="shared" si="46"/>
        <v>292</v>
      </c>
      <c r="B300" t="str">
        <f t="shared" si="44"/>
        <v>0x124</v>
      </c>
      <c r="C300">
        <f t="shared" si="48"/>
        <v>4</v>
      </c>
      <c r="D300" t="str">
        <f t="shared" si="45"/>
        <v>00004</v>
      </c>
    </row>
    <row r="301" spans="1:4" x14ac:dyDescent="0.25">
      <c r="A301">
        <f t="shared" si="46"/>
        <v>293</v>
      </c>
      <c r="B301" t="str">
        <f t="shared" si="44"/>
        <v>0x125</v>
      </c>
      <c r="C301">
        <f t="shared" si="48"/>
        <v>5</v>
      </c>
      <c r="D301" t="str">
        <f t="shared" si="45"/>
        <v>00005</v>
      </c>
    </row>
    <row r="302" spans="1:4" x14ac:dyDescent="0.25">
      <c r="A302">
        <f t="shared" si="46"/>
        <v>294</v>
      </c>
      <c r="B302" t="str">
        <f t="shared" si="44"/>
        <v>0x126</v>
      </c>
      <c r="C302">
        <f t="shared" si="48"/>
        <v>6</v>
      </c>
      <c r="D302" t="str">
        <f t="shared" si="45"/>
        <v>00006</v>
      </c>
    </row>
    <row r="303" spans="1:4" x14ac:dyDescent="0.25">
      <c r="A303">
        <f t="shared" si="46"/>
        <v>295</v>
      </c>
      <c r="B303" t="str">
        <f t="shared" si="44"/>
        <v>0x127</v>
      </c>
      <c r="C303">
        <f t="shared" si="48"/>
        <v>7</v>
      </c>
      <c r="D303" t="str">
        <f t="shared" si="45"/>
        <v>00007</v>
      </c>
    </row>
    <row r="304" spans="1:4" x14ac:dyDescent="0.25">
      <c r="A304">
        <f t="shared" si="46"/>
        <v>296</v>
      </c>
      <c r="B304" t="str">
        <f t="shared" si="44"/>
        <v>0x128</v>
      </c>
      <c r="C304">
        <f t="shared" si="48"/>
        <v>8</v>
      </c>
      <c r="D304" t="str">
        <f t="shared" si="45"/>
        <v>00008</v>
      </c>
    </row>
    <row r="305" spans="1:4" x14ac:dyDescent="0.25">
      <c r="A305">
        <f t="shared" si="46"/>
        <v>297</v>
      </c>
      <c r="B305" t="str">
        <f t="shared" si="44"/>
        <v>0x129</v>
      </c>
      <c r="C305">
        <f t="shared" si="48"/>
        <v>9</v>
      </c>
      <c r="D305" t="str">
        <f t="shared" si="45"/>
        <v>00009</v>
      </c>
    </row>
    <row r="306" spans="1:4" x14ac:dyDescent="0.25">
      <c r="A306">
        <f t="shared" si="46"/>
        <v>298</v>
      </c>
      <c r="B306" t="str">
        <f t="shared" si="44"/>
        <v>0x12A</v>
      </c>
      <c r="C306">
        <f t="shared" si="48"/>
        <v>10</v>
      </c>
      <c r="D306" t="str">
        <f t="shared" si="45"/>
        <v>0000A</v>
      </c>
    </row>
    <row r="307" spans="1:4" x14ac:dyDescent="0.25">
      <c r="A307">
        <f t="shared" si="46"/>
        <v>299</v>
      </c>
      <c r="B307" t="str">
        <f t="shared" si="44"/>
        <v>0x12B</v>
      </c>
      <c r="C307">
        <f t="shared" si="48"/>
        <v>11</v>
      </c>
      <c r="D307" t="str">
        <f t="shared" si="45"/>
        <v>0000B</v>
      </c>
    </row>
    <row r="308" spans="1:4" x14ac:dyDescent="0.25">
      <c r="A308">
        <f t="shared" si="46"/>
        <v>300</v>
      </c>
      <c r="B308" t="str">
        <f t="shared" si="44"/>
        <v>0x12C</v>
      </c>
      <c r="C308">
        <f t="shared" si="48"/>
        <v>12</v>
      </c>
      <c r="D308" t="str">
        <f t="shared" si="45"/>
        <v>0000C</v>
      </c>
    </row>
    <row r="309" spans="1:4" x14ac:dyDescent="0.25">
      <c r="A309">
        <f t="shared" si="46"/>
        <v>301</v>
      </c>
      <c r="B309" t="str">
        <f t="shared" si="44"/>
        <v>0x12D</v>
      </c>
      <c r="C309">
        <f t="shared" si="48"/>
        <v>13</v>
      </c>
      <c r="D309" t="str">
        <f t="shared" si="45"/>
        <v>0000D</v>
      </c>
    </row>
    <row r="310" spans="1:4" x14ac:dyDescent="0.25">
      <c r="A310">
        <f t="shared" si="46"/>
        <v>302</v>
      </c>
      <c r="B310" t="str">
        <f t="shared" si="44"/>
        <v>0x12E</v>
      </c>
      <c r="C310">
        <f t="shared" si="48"/>
        <v>14</v>
      </c>
      <c r="D310" t="str">
        <f t="shared" si="45"/>
        <v>0000E</v>
      </c>
    </row>
    <row r="311" spans="1:4" x14ac:dyDescent="0.25">
      <c r="A311">
        <f t="shared" si="46"/>
        <v>303</v>
      </c>
      <c r="B311" t="str">
        <f t="shared" si="44"/>
        <v>0x12F</v>
      </c>
      <c r="C311">
        <f t="shared" si="48"/>
        <v>15</v>
      </c>
      <c r="D311" t="str">
        <f t="shared" si="45"/>
        <v>0000F</v>
      </c>
    </row>
    <row r="312" spans="1:4" x14ac:dyDescent="0.25">
      <c r="A312">
        <f t="shared" si="46"/>
        <v>304</v>
      </c>
      <c r="B312" t="str">
        <f t="shared" si="44"/>
        <v>0x130</v>
      </c>
      <c r="C312">
        <f t="shared" si="48"/>
        <v>16</v>
      </c>
      <c r="D312" t="str">
        <f t="shared" si="45"/>
        <v>00010</v>
      </c>
    </row>
    <row r="313" spans="1:4" x14ac:dyDescent="0.25">
      <c r="A313">
        <f t="shared" si="46"/>
        <v>305</v>
      </c>
      <c r="B313" t="str">
        <f t="shared" si="44"/>
        <v>0x131</v>
      </c>
      <c r="C313">
        <f t="shared" si="48"/>
        <v>17</v>
      </c>
      <c r="D313" t="str">
        <f t="shared" si="45"/>
        <v>00011</v>
      </c>
    </row>
    <row r="314" spans="1:4" x14ac:dyDescent="0.25">
      <c r="A314">
        <f t="shared" si="46"/>
        <v>306</v>
      </c>
      <c r="B314" t="str">
        <f t="shared" si="44"/>
        <v>0x132</v>
      </c>
      <c r="C314">
        <f t="shared" si="48"/>
        <v>18</v>
      </c>
      <c r="D314" t="str">
        <f t="shared" si="45"/>
        <v>00012</v>
      </c>
    </row>
    <row r="315" spans="1:4" x14ac:dyDescent="0.25">
      <c r="A315">
        <f t="shared" si="46"/>
        <v>307</v>
      </c>
      <c r="B315" t="str">
        <f t="shared" si="44"/>
        <v>0x133</v>
      </c>
      <c r="C315">
        <f t="shared" si="48"/>
        <v>19</v>
      </c>
      <c r="D315" t="str">
        <f t="shared" si="45"/>
        <v>00013</v>
      </c>
    </row>
    <row r="316" spans="1:4" x14ac:dyDescent="0.25">
      <c r="A316">
        <f t="shared" si="46"/>
        <v>308</v>
      </c>
      <c r="B316" t="str">
        <f t="shared" si="44"/>
        <v>0x134</v>
      </c>
      <c r="C316">
        <f t="shared" si="48"/>
        <v>20</v>
      </c>
      <c r="D316" t="str">
        <f t="shared" si="45"/>
        <v>00014</v>
      </c>
    </row>
    <row r="317" spans="1:4" x14ac:dyDescent="0.25">
      <c r="A317">
        <f t="shared" si="46"/>
        <v>309</v>
      </c>
      <c r="B317" t="str">
        <f t="shared" si="44"/>
        <v>0x135</v>
      </c>
      <c r="C317">
        <f t="shared" si="48"/>
        <v>21</v>
      </c>
      <c r="D317" t="str">
        <f t="shared" si="45"/>
        <v>00015</v>
      </c>
    </row>
    <row r="318" spans="1:4" x14ac:dyDescent="0.25">
      <c r="A318">
        <f t="shared" si="46"/>
        <v>310</v>
      </c>
      <c r="B318" t="str">
        <f t="shared" si="44"/>
        <v>0x136</v>
      </c>
      <c r="C318">
        <f t="shared" si="48"/>
        <v>22</v>
      </c>
      <c r="D318" t="str">
        <f t="shared" si="45"/>
        <v>00016</v>
      </c>
    </row>
    <row r="319" spans="1:4" x14ac:dyDescent="0.25">
      <c r="A319">
        <f t="shared" si="46"/>
        <v>311</v>
      </c>
      <c r="B319" t="str">
        <f t="shared" si="44"/>
        <v>0x137</v>
      </c>
      <c r="C319">
        <f t="shared" si="48"/>
        <v>23</v>
      </c>
      <c r="D319" t="str">
        <f t="shared" si="45"/>
        <v>00017</v>
      </c>
    </row>
    <row r="320" spans="1:4" x14ac:dyDescent="0.25">
      <c r="A320">
        <f t="shared" si="46"/>
        <v>312</v>
      </c>
      <c r="B320" t="str">
        <f t="shared" si="44"/>
        <v>0x138</v>
      </c>
      <c r="C320">
        <f t="shared" si="48"/>
        <v>24</v>
      </c>
      <c r="D320" t="str">
        <f t="shared" si="45"/>
        <v>00018</v>
      </c>
    </row>
    <row r="321" spans="1:4" x14ac:dyDescent="0.25">
      <c r="A321">
        <f t="shared" si="46"/>
        <v>313</v>
      </c>
      <c r="B321" t="str">
        <f t="shared" si="44"/>
        <v>0x139</v>
      </c>
      <c r="C321">
        <f t="shared" si="48"/>
        <v>25</v>
      </c>
      <c r="D321" t="str">
        <f t="shared" si="45"/>
        <v>00019</v>
      </c>
    </row>
    <row r="322" spans="1:4" x14ac:dyDescent="0.25">
      <c r="A322">
        <f t="shared" si="46"/>
        <v>314</v>
      </c>
      <c r="B322" t="str">
        <f t="shared" si="44"/>
        <v>0x13A</v>
      </c>
      <c r="C322">
        <f t="shared" si="48"/>
        <v>26</v>
      </c>
      <c r="D322" t="str">
        <f t="shared" si="45"/>
        <v>0001A</v>
      </c>
    </row>
    <row r="323" spans="1:4" x14ac:dyDescent="0.25">
      <c r="A323">
        <f t="shared" si="46"/>
        <v>315</v>
      </c>
      <c r="B323" t="str">
        <f t="shared" si="44"/>
        <v>0x13B</v>
      </c>
      <c r="C323">
        <f t="shared" si="48"/>
        <v>27</v>
      </c>
      <c r="D323" t="str">
        <f t="shared" si="45"/>
        <v>0001B</v>
      </c>
    </row>
    <row r="324" spans="1:4" x14ac:dyDescent="0.25">
      <c r="A324">
        <f t="shared" si="46"/>
        <v>316</v>
      </c>
      <c r="B324" t="str">
        <f t="shared" si="44"/>
        <v>0x13C</v>
      </c>
      <c r="C324">
        <f t="shared" si="48"/>
        <v>28</v>
      </c>
      <c r="D324" t="str">
        <f t="shared" si="45"/>
        <v>0001C</v>
      </c>
    </row>
    <row r="325" spans="1:4" x14ac:dyDescent="0.25">
      <c r="A325">
        <f t="shared" si="46"/>
        <v>317</v>
      </c>
      <c r="B325" t="str">
        <f t="shared" si="44"/>
        <v>0x13D</v>
      </c>
      <c r="C325">
        <f t="shared" si="48"/>
        <v>29</v>
      </c>
      <c r="D325" t="str">
        <f t="shared" si="45"/>
        <v>0001D</v>
      </c>
    </row>
    <row r="326" spans="1:4" x14ac:dyDescent="0.25">
      <c r="A326">
        <f t="shared" si="46"/>
        <v>318</v>
      </c>
      <c r="B326" t="str">
        <f t="shared" si="44"/>
        <v>0x13E</v>
      </c>
      <c r="C326">
        <f t="shared" si="48"/>
        <v>30</v>
      </c>
      <c r="D326" t="str">
        <f t="shared" si="45"/>
        <v>0001E</v>
      </c>
    </row>
    <row r="327" spans="1:4" x14ac:dyDescent="0.25">
      <c r="A327">
        <f t="shared" si="46"/>
        <v>319</v>
      </c>
      <c r="B327" t="str">
        <f t="shared" si="44"/>
        <v>0x13F</v>
      </c>
      <c r="C327">
        <f t="shared" si="48"/>
        <v>31</v>
      </c>
      <c r="D327" t="str">
        <f t="shared" si="45"/>
        <v>0001F</v>
      </c>
    </row>
    <row r="328" spans="1:4" x14ac:dyDescent="0.25">
      <c r="A328">
        <f t="shared" si="46"/>
        <v>320</v>
      </c>
      <c r="B328" t="str">
        <f t="shared" si="44"/>
        <v>0x140</v>
      </c>
      <c r="C328">
        <v>0</v>
      </c>
      <c r="D328" t="str">
        <f t="shared" si="45"/>
        <v>00000</v>
      </c>
    </row>
    <row r="329" spans="1:4" x14ac:dyDescent="0.25">
      <c r="A329">
        <f t="shared" si="46"/>
        <v>321</v>
      </c>
      <c r="B329" t="str">
        <f t="shared" ref="B329:B392" si="49">CONCATENATE("0x",DEC2HEX(A329,3))</f>
        <v>0x141</v>
      </c>
      <c r="C329">
        <f>C328+1</f>
        <v>1</v>
      </c>
      <c r="D329" t="str">
        <f t="shared" ref="D329:D392" si="50">DEC2HEX(C329,5)</f>
        <v>00001</v>
      </c>
    </row>
    <row r="330" spans="1:4" x14ac:dyDescent="0.25">
      <c r="A330">
        <f t="shared" ref="A330:A393" si="51">A329+1</f>
        <v>322</v>
      </c>
      <c r="B330" t="str">
        <f t="shared" si="49"/>
        <v>0x142</v>
      </c>
      <c r="C330">
        <f t="shared" ref="C330:C359" si="52">C329+1</f>
        <v>2</v>
      </c>
      <c r="D330" t="str">
        <f t="shared" si="50"/>
        <v>00002</v>
      </c>
    </row>
    <row r="331" spans="1:4" x14ac:dyDescent="0.25">
      <c r="A331">
        <f t="shared" si="51"/>
        <v>323</v>
      </c>
      <c r="B331" t="str">
        <f t="shared" si="49"/>
        <v>0x143</v>
      </c>
      <c r="C331">
        <f t="shared" si="52"/>
        <v>3</v>
      </c>
      <c r="D331" t="str">
        <f t="shared" si="50"/>
        <v>00003</v>
      </c>
    </row>
    <row r="332" spans="1:4" x14ac:dyDescent="0.25">
      <c r="A332">
        <f t="shared" si="51"/>
        <v>324</v>
      </c>
      <c r="B332" t="str">
        <f t="shared" si="49"/>
        <v>0x144</v>
      </c>
      <c r="C332">
        <f t="shared" si="52"/>
        <v>4</v>
      </c>
      <c r="D332" t="str">
        <f t="shared" si="50"/>
        <v>00004</v>
      </c>
    </row>
    <row r="333" spans="1:4" x14ac:dyDescent="0.25">
      <c r="A333">
        <f t="shared" si="51"/>
        <v>325</v>
      </c>
      <c r="B333" t="str">
        <f t="shared" si="49"/>
        <v>0x145</v>
      </c>
      <c r="C333">
        <f t="shared" si="52"/>
        <v>5</v>
      </c>
      <c r="D333" t="str">
        <f t="shared" si="50"/>
        <v>00005</v>
      </c>
    </row>
    <row r="334" spans="1:4" x14ac:dyDescent="0.25">
      <c r="A334">
        <f t="shared" si="51"/>
        <v>326</v>
      </c>
      <c r="B334" t="str">
        <f t="shared" si="49"/>
        <v>0x146</v>
      </c>
      <c r="C334">
        <f t="shared" si="52"/>
        <v>6</v>
      </c>
      <c r="D334" t="str">
        <f t="shared" si="50"/>
        <v>00006</v>
      </c>
    </row>
    <row r="335" spans="1:4" x14ac:dyDescent="0.25">
      <c r="A335">
        <f t="shared" si="51"/>
        <v>327</v>
      </c>
      <c r="B335" t="str">
        <f t="shared" si="49"/>
        <v>0x147</v>
      </c>
      <c r="C335">
        <f t="shared" si="52"/>
        <v>7</v>
      </c>
      <c r="D335" t="str">
        <f t="shared" si="50"/>
        <v>00007</v>
      </c>
    </row>
    <row r="336" spans="1:4" x14ac:dyDescent="0.25">
      <c r="A336">
        <f t="shared" si="51"/>
        <v>328</v>
      </c>
      <c r="B336" t="str">
        <f t="shared" si="49"/>
        <v>0x148</v>
      </c>
      <c r="C336">
        <f t="shared" si="52"/>
        <v>8</v>
      </c>
      <c r="D336" t="str">
        <f t="shared" si="50"/>
        <v>00008</v>
      </c>
    </row>
    <row r="337" spans="1:4" x14ac:dyDescent="0.25">
      <c r="A337">
        <f t="shared" si="51"/>
        <v>329</v>
      </c>
      <c r="B337" t="str">
        <f t="shared" si="49"/>
        <v>0x149</v>
      </c>
      <c r="C337">
        <f t="shared" si="52"/>
        <v>9</v>
      </c>
      <c r="D337" t="str">
        <f t="shared" si="50"/>
        <v>00009</v>
      </c>
    </row>
    <row r="338" spans="1:4" x14ac:dyDescent="0.25">
      <c r="A338">
        <f t="shared" si="51"/>
        <v>330</v>
      </c>
      <c r="B338" t="str">
        <f t="shared" si="49"/>
        <v>0x14A</v>
      </c>
      <c r="C338">
        <f t="shared" si="52"/>
        <v>10</v>
      </c>
      <c r="D338" t="str">
        <f t="shared" si="50"/>
        <v>0000A</v>
      </c>
    </row>
    <row r="339" spans="1:4" x14ac:dyDescent="0.25">
      <c r="A339">
        <f t="shared" si="51"/>
        <v>331</v>
      </c>
      <c r="B339" t="str">
        <f t="shared" si="49"/>
        <v>0x14B</v>
      </c>
      <c r="C339">
        <f t="shared" si="52"/>
        <v>11</v>
      </c>
      <c r="D339" t="str">
        <f t="shared" si="50"/>
        <v>0000B</v>
      </c>
    </row>
    <row r="340" spans="1:4" x14ac:dyDescent="0.25">
      <c r="A340">
        <f t="shared" si="51"/>
        <v>332</v>
      </c>
      <c r="B340" t="str">
        <f t="shared" si="49"/>
        <v>0x14C</v>
      </c>
      <c r="C340">
        <f t="shared" si="52"/>
        <v>12</v>
      </c>
      <c r="D340" t="str">
        <f t="shared" si="50"/>
        <v>0000C</v>
      </c>
    </row>
    <row r="341" spans="1:4" x14ac:dyDescent="0.25">
      <c r="A341">
        <f t="shared" si="51"/>
        <v>333</v>
      </c>
      <c r="B341" t="str">
        <f t="shared" si="49"/>
        <v>0x14D</v>
      </c>
      <c r="C341">
        <f t="shared" si="52"/>
        <v>13</v>
      </c>
      <c r="D341" t="str">
        <f t="shared" si="50"/>
        <v>0000D</v>
      </c>
    </row>
    <row r="342" spans="1:4" x14ac:dyDescent="0.25">
      <c r="A342">
        <f t="shared" si="51"/>
        <v>334</v>
      </c>
      <c r="B342" t="str">
        <f t="shared" si="49"/>
        <v>0x14E</v>
      </c>
      <c r="C342">
        <f t="shared" si="52"/>
        <v>14</v>
      </c>
      <c r="D342" t="str">
        <f t="shared" si="50"/>
        <v>0000E</v>
      </c>
    </row>
    <row r="343" spans="1:4" x14ac:dyDescent="0.25">
      <c r="A343">
        <f t="shared" si="51"/>
        <v>335</v>
      </c>
      <c r="B343" t="str">
        <f t="shared" si="49"/>
        <v>0x14F</v>
      </c>
      <c r="C343">
        <f t="shared" si="52"/>
        <v>15</v>
      </c>
      <c r="D343" t="str">
        <f t="shared" si="50"/>
        <v>0000F</v>
      </c>
    </row>
    <row r="344" spans="1:4" x14ac:dyDescent="0.25">
      <c r="A344">
        <f t="shared" si="51"/>
        <v>336</v>
      </c>
      <c r="B344" t="str">
        <f t="shared" si="49"/>
        <v>0x150</v>
      </c>
      <c r="C344">
        <f t="shared" si="52"/>
        <v>16</v>
      </c>
      <c r="D344" t="str">
        <f t="shared" si="50"/>
        <v>00010</v>
      </c>
    </row>
    <row r="345" spans="1:4" x14ac:dyDescent="0.25">
      <c r="A345">
        <f t="shared" si="51"/>
        <v>337</v>
      </c>
      <c r="B345" t="str">
        <f t="shared" si="49"/>
        <v>0x151</v>
      </c>
      <c r="C345">
        <f t="shared" si="52"/>
        <v>17</v>
      </c>
      <c r="D345" t="str">
        <f t="shared" si="50"/>
        <v>00011</v>
      </c>
    </row>
    <row r="346" spans="1:4" x14ac:dyDescent="0.25">
      <c r="A346">
        <f t="shared" si="51"/>
        <v>338</v>
      </c>
      <c r="B346" t="str">
        <f t="shared" si="49"/>
        <v>0x152</v>
      </c>
      <c r="C346">
        <f t="shared" si="52"/>
        <v>18</v>
      </c>
      <c r="D346" t="str">
        <f t="shared" si="50"/>
        <v>00012</v>
      </c>
    </row>
    <row r="347" spans="1:4" x14ac:dyDescent="0.25">
      <c r="A347">
        <f t="shared" si="51"/>
        <v>339</v>
      </c>
      <c r="B347" t="str">
        <f t="shared" si="49"/>
        <v>0x153</v>
      </c>
      <c r="C347">
        <f t="shared" si="52"/>
        <v>19</v>
      </c>
      <c r="D347" t="str">
        <f t="shared" si="50"/>
        <v>00013</v>
      </c>
    </row>
    <row r="348" spans="1:4" x14ac:dyDescent="0.25">
      <c r="A348">
        <f t="shared" si="51"/>
        <v>340</v>
      </c>
      <c r="B348" t="str">
        <f t="shared" si="49"/>
        <v>0x154</v>
      </c>
      <c r="C348">
        <f t="shared" si="52"/>
        <v>20</v>
      </c>
      <c r="D348" t="str">
        <f t="shared" si="50"/>
        <v>00014</v>
      </c>
    </row>
    <row r="349" spans="1:4" x14ac:dyDescent="0.25">
      <c r="A349">
        <f t="shared" si="51"/>
        <v>341</v>
      </c>
      <c r="B349" t="str">
        <f t="shared" si="49"/>
        <v>0x155</v>
      </c>
      <c r="C349">
        <f t="shared" si="52"/>
        <v>21</v>
      </c>
      <c r="D349" t="str">
        <f t="shared" si="50"/>
        <v>00015</v>
      </c>
    </row>
    <row r="350" spans="1:4" x14ac:dyDescent="0.25">
      <c r="A350">
        <f t="shared" si="51"/>
        <v>342</v>
      </c>
      <c r="B350" t="str">
        <f t="shared" si="49"/>
        <v>0x156</v>
      </c>
      <c r="C350">
        <f t="shared" si="52"/>
        <v>22</v>
      </c>
      <c r="D350" t="str">
        <f t="shared" si="50"/>
        <v>00016</v>
      </c>
    </row>
    <row r="351" spans="1:4" x14ac:dyDescent="0.25">
      <c r="A351">
        <f t="shared" si="51"/>
        <v>343</v>
      </c>
      <c r="B351" t="str">
        <f t="shared" si="49"/>
        <v>0x157</v>
      </c>
      <c r="C351">
        <f t="shared" si="52"/>
        <v>23</v>
      </c>
      <c r="D351" t="str">
        <f t="shared" si="50"/>
        <v>00017</v>
      </c>
    </row>
    <row r="352" spans="1:4" x14ac:dyDescent="0.25">
      <c r="A352">
        <f t="shared" si="51"/>
        <v>344</v>
      </c>
      <c r="B352" t="str">
        <f t="shared" si="49"/>
        <v>0x158</v>
      </c>
      <c r="C352">
        <f t="shared" si="52"/>
        <v>24</v>
      </c>
      <c r="D352" t="str">
        <f t="shared" si="50"/>
        <v>00018</v>
      </c>
    </row>
    <row r="353" spans="1:4" x14ac:dyDescent="0.25">
      <c r="A353">
        <f t="shared" si="51"/>
        <v>345</v>
      </c>
      <c r="B353" t="str">
        <f t="shared" si="49"/>
        <v>0x159</v>
      </c>
      <c r="C353">
        <f t="shared" si="52"/>
        <v>25</v>
      </c>
      <c r="D353" t="str">
        <f t="shared" si="50"/>
        <v>00019</v>
      </c>
    </row>
    <row r="354" spans="1:4" x14ac:dyDescent="0.25">
      <c r="A354">
        <f t="shared" si="51"/>
        <v>346</v>
      </c>
      <c r="B354" t="str">
        <f t="shared" si="49"/>
        <v>0x15A</v>
      </c>
      <c r="C354">
        <f t="shared" si="52"/>
        <v>26</v>
      </c>
      <c r="D354" t="str">
        <f t="shared" si="50"/>
        <v>0001A</v>
      </c>
    </row>
    <row r="355" spans="1:4" x14ac:dyDescent="0.25">
      <c r="A355">
        <f t="shared" si="51"/>
        <v>347</v>
      </c>
      <c r="B355" t="str">
        <f t="shared" si="49"/>
        <v>0x15B</v>
      </c>
      <c r="C355">
        <f t="shared" si="52"/>
        <v>27</v>
      </c>
      <c r="D355" t="str">
        <f t="shared" si="50"/>
        <v>0001B</v>
      </c>
    </row>
    <row r="356" spans="1:4" x14ac:dyDescent="0.25">
      <c r="A356">
        <f t="shared" si="51"/>
        <v>348</v>
      </c>
      <c r="B356" t="str">
        <f t="shared" si="49"/>
        <v>0x15C</v>
      </c>
      <c r="C356">
        <f t="shared" si="52"/>
        <v>28</v>
      </c>
      <c r="D356" t="str">
        <f t="shared" si="50"/>
        <v>0001C</v>
      </c>
    </row>
    <row r="357" spans="1:4" x14ac:dyDescent="0.25">
      <c r="A357">
        <f t="shared" si="51"/>
        <v>349</v>
      </c>
      <c r="B357" t="str">
        <f t="shared" si="49"/>
        <v>0x15D</v>
      </c>
      <c r="C357">
        <f t="shared" si="52"/>
        <v>29</v>
      </c>
      <c r="D357" t="str">
        <f t="shared" si="50"/>
        <v>0001D</v>
      </c>
    </row>
    <row r="358" spans="1:4" x14ac:dyDescent="0.25">
      <c r="A358">
        <f t="shared" si="51"/>
        <v>350</v>
      </c>
      <c r="B358" t="str">
        <f t="shared" si="49"/>
        <v>0x15E</v>
      </c>
      <c r="C358">
        <f t="shared" si="52"/>
        <v>30</v>
      </c>
      <c r="D358" t="str">
        <f t="shared" si="50"/>
        <v>0001E</v>
      </c>
    </row>
    <row r="359" spans="1:4" x14ac:dyDescent="0.25">
      <c r="A359">
        <f t="shared" si="51"/>
        <v>351</v>
      </c>
      <c r="B359" t="str">
        <f t="shared" si="49"/>
        <v>0x15F</v>
      </c>
      <c r="C359">
        <f t="shared" si="52"/>
        <v>31</v>
      </c>
      <c r="D359" t="str">
        <f t="shared" si="50"/>
        <v>0001F</v>
      </c>
    </row>
    <row r="360" spans="1:4" x14ac:dyDescent="0.25">
      <c r="A360">
        <f t="shared" si="51"/>
        <v>352</v>
      </c>
      <c r="B360" t="str">
        <f t="shared" si="49"/>
        <v>0x160</v>
      </c>
      <c r="C360">
        <v>0</v>
      </c>
      <c r="D360" t="str">
        <f t="shared" si="50"/>
        <v>00000</v>
      </c>
    </row>
    <row r="361" spans="1:4" x14ac:dyDescent="0.25">
      <c r="A361">
        <f t="shared" si="51"/>
        <v>353</v>
      </c>
      <c r="B361" t="str">
        <f t="shared" si="49"/>
        <v>0x161</v>
      </c>
      <c r="C361">
        <f>C360+1</f>
        <v>1</v>
      </c>
      <c r="D361" t="str">
        <f t="shared" si="50"/>
        <v>00001</v>
      </c>
    </row>
    <row r="362" spans="1:4" x14ac:dyDescent="0.25">
      <c r="A362">
        <f t="shared" si="51"/>
        <v>354</v>
      </c>
      <c r="B362" t="str">
        <f t="shared" si="49"/>
        <v>0x162</v>
      </c>
      <c r="C362">
        <f t="shared" ref="C362:C391" si="53">C361+1</f>
        <v>2</v>
      </c>
      <c r="D362" t="str">
        <f t="shared" si="50"/>
        <v>00002</v>
      </c>
    </row>
    <row r="363" spans="1:4" x14ac:dyDescent="0.25">
      <c r="A363">
        <f t="shared" si="51"/>
        <v>355</v>
      </c>
      <c r="B363" t="str">
        <f t="shared" si="49"/>
        <v>0x163</v>
      </c>
      <c r="C363">
        <f t="shared" si="53"/>
        <v>3</v>
      </c>
      <c r="D363" t="str">
        <f t="shared" si="50"/>
        <v>00003</v>
      </c>
    </row>
    <row r="364" spans="1:4" x14ac:dyDescent="0.25">
      <c r="A364">
        <f t="shared" si="51"/>
        <v>356</v>
      </c>
      <c r="B364" t="str">
        <f t="shared" si="49"/>
        <v>0x164</v>
      </c>
      <c r="C364">
        <f t="shared" si="53"/>
        <v>4</v>
      </c>
      <c r="D364" t="str">
        <f t="shared" si="50"/>
        <v>00004</v>
      </c>
    </row>
    <row r="365" spans="1:4" x14ac:dyDescent="0.25">
      <c r="A365">
        <f t="shared" si="51"/>
        <v>357</v>
      </c>
      <c r="B365" t="str">
        <f t="shared" si="49"/>
        <v>0x165</v>
      </c>
      <c r="C365">
        <f t="shared" si="53"/>
        <v>5</v>
      </c>
      <c r="D365" t="str">
        <f t="shared" si="50"/>
        <v>00005</v>
      </c>
    </row>
    <row r="366" spans="1:4" x14ac:dyDescent="0.25">
      <c r="A366">
        <f t="shared" si="51"/>
        <v>358</v>
      </c>
      <c r="B366" t="str">
        <f t="shared" si="49"/>
        <v>0x166</v>
      </c>
      <c r="C366">
        <f t="shared" si="53"/>
        <v>6</v>
      </c>
      <c r="D366" t="str">
        <f t="shared" si="50"/>
        <v>00006</v>
      </c>
    </row>
    <row r="367" spans="1:4" x14ac:dyDescent="0.25">
      <c r="A367">
        <f t="shared" si="51"/>
        <v>359</v>
      </c>
      <c r="B367" t="str">
        <f t="shared" si="49"/>
        <v>0x167</v>
      </c>
      <c r="C367">
        <f t="shared" si="53"/>
        <v>7</v>
      </c>
      <c r="D367" t="str">
        <f t="shared" si="50"/>
        <v>00007</v>
      </c>
    </row>
    <row r="368" spans="1:4" x14ac:dyDescent="0.25">
      <c r="A368">
        <f t="shared" si="51"/>
        <v>360</v>
      </c>
      <c r="B368" t="str">
        <f t="shared" si="49"/>
        <v>0x168</v>
      </c>
      <c r="C368">
        <f t="shared" si="53"/>
        <v>8</v>
      </c>
      <c r="D368" t="str">
        <f t="shared" si="50"/>
        <v>00008</v>
      </c>
    </row>
    <row r="369" spans="1:4" x14ac:dyDescent="0.25">
      <c r="A369">
        <f t="shared" si="51"/>
        <v>361</v>
      </c>
      <c r="B369" t="str">
        <f t="shared" si="49"/>
        <v>0x169</v>
      </c>
      <c r="C369">
        <f t="shared" si="53"/>
        <v>9</v>
      </c>
      <c r="D369" t="str">
        <f t="shared" si="50"/>
        <v>00009</v>
      </c>
    </row>
    <row r="370" spans="1:4" x14ac:dyDescent="0.25">
      <c r="A370">
        <f t="shared" si="51"/>
        <v>362</v>
      </c>
      <c r="B370" t="str">
        <f t="shared" si="49"/>
        <v>0x16A</v>
      </c>
      <c r="C370">
        <f t="shared" si="53"/>
        <v>10</v>
      </c>
      <c r="D370" t="str">
        <f t="shared" si="50"/>
        <v>0000A</v>
      </c>
    </row>
    <row r="371" spans="1:4" x14ac:dyDescent="0.25">
      <c r="A371">
        <f t="shared" si="51"/>
        <v>363</v>
      </c>
      <c r="B371" t="str">
        <f t="shared" si="49"/>
        <v>0x16B</v>
      </c>
      <c r="C371">
        <f t="shared" si="53"/>
        <v>11</v>
      </c>
      <c r="D371" t="str">
        <f t="shared" si="50"/>
        <v>0000B</v>
      </c>
    </row>
    <row r="372" spans="1:4" x14ac:dyDescent="0.25">
      <c r="A372">
        <f t="shared" si="51"/>
        <v>364</v>
      </c>
      <c r="B372" t="str">
        <f t="shared" si="49"/>
        <v>0x16C</v>
      </c>
      <c r="C372">
        <f t="shared" si="53"/>
        <v>12</v>
      </c>
      <c r="D372" t="str">
        <f t="shared" si="50"/>
        <v>0000C</v>
      </c>
    </row>
    <row r="373" spans="1:4" x14ac:dyDescent="0.25">
      <c r="A373">
        <f t="shared" si="51"/>
        <v>365</v>
      </c>
      <c r="B373" t="str">
        <f t="shared" si="49"/>
        <v>0x16D</v>
      </c>
      <c r="C373">
        <f t="shared" si="53"/>
        <v>13</v>
      </c>
      <c r="D373" t="str">
        <f t="shared" si="50"/>
        <v>0000D</v>
      </c>
    </row>
    <row r="374" spans="1:4" x14ac:dyDescent="0.25">
      <c r="A374">
        <f t="shared" si="51"/>
        <v>366</v>
      </c>
      <c r="B374" t="str">
        <f t="shared" si="49"/>
        <v>0x16E</v>
      </c>
      <c r="C374">
        <f t="shared" si="53"/>
        <v>14</v>
      </c>
      <c r="D374" t="str">
        <f t="shared" si="50"/>
        <v>0000E</v>
      </c>
    </row>
    <row r="375" spans="1:4" x14ac:dyDescent="0.25">
      <c r="A375">
        <f t="shared" si="51"/>
        <v>367</v>
      </c>
      <c r="B375" t="str">
        <f t="shared" si="49"/>
        <v>0x16F</v>
      </c>
      <c r="C375">
        <f t="shared" si="53"/>
        <v>15</v>
      </c>
      <c r="D375" t="str">
        <f t="shared" si="50"/>
        <v>0000F</v>
      </c>
    </row>
    <row r="376" spans="1:4" x14ac:dyDescent="0.25">
      <c r="A376">
        <f t="shared" si="51"/>
        <v>368</v>
      </c>
      <c r="B376" t="str">
        <f t="shared" si="49"/>
        <v>0x170</v>
      </c>
      <c r="C376">
        <f t="shared" si="53"/>
        <v>16</v>
      </c>
      <c r="D376" t="str">
        <f t="shared" si="50"/>
        <v>00010</v>
      </c>
    </row>
    <row r="377" spans="1:4" x14ac:dyDescent="0.25">
      <c r="A377">
        <f t="shared" si="51"/>
        <v>369</v>
      </c>
      <c r="B377" t="str">
        <f t="shared" si="49"/>
        <v>0x171</v>
      </c>
      <c r="C377">
        <f t="shared" si="53"/>
        <v>17</v>
      </c>
      <c r="D377" t="str">
        <f t="shared" si="50"/>
        <v>00011</v>
      </c>
    </row>
    <row r="378" spans="1:4" x14ac:dyDescent="0.25">
      <c r="A378">
        <f t="shared" si="51"/>
        <v>370</v>
      </c>
      <c r="B378" t="str">
        <f t="shared" si="49"/>
        <v>0x172</v>
      </c>
      <c r="C378">
        <f t="shared" si="53"/>
        <v>18</v>
      </c>
      <c r="D378" t="str">
        <f t="shared" si="50"/>
        <v>00012</v>
      </c>
    </row>
    <row r="379" spans="1:4" x14ac:dyDescent="0.25">
      <c r="A379">
        <f t="shared" si="51"/>
        <v>371</v>
      </c>
      <c r="B379" t="str">
        <f t="shared" si="49"/>
        <v>0x173</v>
      </c>
      <c r="C379">
        <f t="shared" si="53"/>
        <v>19</v>
      </c>
      <c r="D379" t="str">
        <f t="shared" si="50"/>
        <v>00013</v>
      </c>
    </row>
    <row r="380" spans="1:4" x14ac:dyDescent="0.25">
      <c r="A380">
        <f t="shared" si="51"/>
        <v>372</v>
      </c>
      <c r="B380" t="str">
        <f t="shared" si="49"/>
        <v>0x174</v>
      </c>
      <c r="C380">
        <f t="shared" si="53"/>
        <v>20</v>
      </c>
      <c r="D380" t="str">
        <f t="shared" si="50"/>
        <v>00014</v>
      </c>
    </row>
    <row r="381" spans="1:4" x14ac:dyDescent="0.25">
      <c r="A381">
        <f t="shared" si="51"/>
        <v>373</v>
      </c>
      <c r="B381" t="str">
        <f t="shared" si="49"/>
        <v>0x175</v>
      </c>
      <c r="C381">
        <f t="shared" si="53"/>
        <v>21</v>
      </c>
      <c r="D381" t="str">
        <f t="shared" si="50"/>
        <v>00015</v>
      </c>
    </row>
    <row r="382" spans="1:4" x14ac:dyDescent="0.25">
      <c r="A382">
        <f t="shared" si="51"/>
        <v>374</v>
      </c>
      <c r="B382" t="str">
        <f t="shared" si="49"/>
        <v>0x176</v>
      </c>
      <c r="C382">
        <f t="shared" si="53"/>
        <v>22</v>
      </c>
      <c r="D382" t="str">
        <f t="shared" si="50"/>
        <v>00016</v>
      </c>
    </row>
    <row r="383" spans="1:4" x14ac:dyDescent="0.25">
      <c r="A383">
        <f t="shared" si="51"/>
        <v>375</v>
      </c>
      <c r="B383" t="str">
        <f t="shared" si="49"/>
        <v>0x177</v>
      </c>
      <c r="C383">
        <f t="shared" si="53"/>
        <v>23</v>
      </c>
      <c r="D383" t="str">
        <f t="shared" si="50"/>
        <v>00017</v>
      </c>
    </row>
    <row r="384" spans="1:4" x14ac:dyDescent="0.25">
      <c r="A384">
        <f t="shared" si="51"/>
        <v>376</v>
      </c>
      <c r="B384" t="str">
        <f t="shared" si="49"/>
        <v>0x178</v>
      </c>
      <c r="C384">
        <f t="shared" si="53"/>
        <v>24</v>
      </c>
      <c r="D384" t="str">
        <f t="shared" si="50"/>
        <v>00018</v>
      </c>
    </row>
    <row r="385" spans="1:4" x14ac:dyDescent="0.25">
      <c r="A385">
        <f t="shared" si="51"/>
        <v>377</v>
      </c>
      <c r="B385" t="str">
        <f t="shared" si="49"/>
        <v>0x179</v>
      </c>
      <c r="C385">
        <f t="shared" si="53"/>
        <v>25</v>
      </c>
      <c r="D385" t="str">
        <f t="shared" si="50"/>
        <v>00019</v>
      </c>
    </row>
    <row r="386" spans="1:4" x14ac:dyDescent="0.25">
      <c r="A386">
        <f t="shared" si="51"/>
        <v>378</v>
      </c>
      <c r="B386" t="str">
        <f t="shared" si="49"/>
        <v>0x17A</v>
      </c>
      <c r="C386">
        <f t="shared" si="53"/>
        <v>26</v>
      </c>
      <c r="D386" t="str">
        <f t="shared" si="50"/>
        <v>0001A</v>
      </c>
    </row>
    <row r="387" spans="1:4" x14ac:dyDescent="0.25">
      <c r="A387">
        <f t="shared" si="51"/>
        <v>379</v>
      </c>
      <c r="B387" t="str">
        <f t="shared" si="49"/>
        <v>0x17B</v>
      </c>
      <c r="C387">
        <f t="shared" si="53"/>
        <v>27</v>
      </c>
      <c r="D387" t="str">
        <f t="shared" si="50"/>
        <v>0001B</v>
      </c>
    </row>
    <row r="388" spans="1:4" x14ac:dyDescent="0.25">
      <c r="A388">
        <f t="shared" si="51"/>
        <v>380</v>
      </c>
      <c r="B388" t="str">
        <f t="shared" si="49"/>
        <v>0x17C</v>
      </c>
      <c r="C388">
        <f t="shared" si="53"/>
        <v>28</v>
      </c>
      <c r="D388" t="str">
        <f t="shared" si="50"/>
        <v>0001C</v>
      </c>
    </row>
    <row r="389" spans="1:4" x14ac:dyDescent="0.25">
      <c r="A389">
        <f t="shared" si="51"/>
        <v>381</v>
      </c>
      <c r="B389" t="str">
        <f t="shared" si="49"/>
        <v>0x17D</v>
      </c>
      <c r="C389">
        <f t="shared" si="53"/>
        <v>29</v>
      </c>
      <c r="D389" t="str">
        <f t="shared" si="50"/>
        <v>0001D</v>
      </c>
    </row>
    <row r="390" spans="1:4" x14ac:dyDescent="0.25">
      <c r="A390">
        <f t="shared" si="51"/>
        <v>382</v>
      </c>
      <c r="B390" t="str">
        <f t="shared" si="49"/>
        <v>0x17E</v>
      </c>
      <c r="C390">
        <f t="shared" si="53"/>
        <v>30</v>
      </c>
      <c r="D390" t="str">
        <f t="shared" si="50"/>
        <v>0001E</v>
      </c>
    </row>
    <row r="391" spans="1:4" x14ac:dyDescent="0.25">
      <c r="A391">
        <f t="shared" si="51"/>
        <v>383</v>
      </c>
      <c r="B391" t="str">
        <f t="shared" si="49"/>
        <v>0x17F</v>
      </c>
      <c r="C391">
        <f t="shared" si="53"/>
        <v>31</v>
      </c>
      <c r="D391" t="str">
        <f t="shared" si="50"/>
        <v>0001F</v>
      </c>
    </row>
    <row r="392" spans="1:4" x14ac:dyDescent="0.25">
      <c r="A392">
        <f t="shared" si="51"/>
        <v>384</v>
      </c>
      <c r="B392" t="str">
        <f t="shared" si="49"/>
        <v>0x180</v>
      </c>
      <c r="C392">
        <v>0</v>
      </c>
      <c r="D392" t="str">
        <f t="shared" si="50"/>
        <v>00000</v>
      </c>
    </row>
    <row r="393" spans="1:4" x14ac:dyDescent="0.25">
      <c r="A393">
        <f t="shared" si="51"/>
        <v>385</v>
      </c>
      <c r="B393" t="str">
        <f t="shared" ref="B393:B456" si="54">CONCATENATE("0x",DEC2HEX(A393,3))</f>
        <v>0x181</v>
      </c>
      <c r="C393">
        <f>C392+1</f>
        <v>1</v>
      </c>
      <c r="D393" t="str">
        <f t="shared" ref="D393:D456" si="55">DEC2HEX(C393,5)</f>
        <v>00001</v>
      </c>
    </row>
    <row r="394" spans="1:4" x14ac:dyDescent="0.25">
      <c r="A394">
        <f t="shared" ref="A394:A457" si="56">A393+1</f>
        <v>386</v>
      </c>
      <c r="B394" t="str">
        <f t="shared" si="54"/>
        <v>0x182</v>
      </c>
      <c r="C394">
        <f t="shared" ref="C394:C423" si="57">C393+1</f>
        <v>2</v>
      </c>
      <c r="D394" t="str">
        <f t="shared" si="55"/>
        <v>00002</v>
      </c>
    </row>
    <row r="395" spans="1:4" x14ac:dyDescent="0.25">
      <c r="A395">
        <f t="shared" si="56"/>
        <v>387</v>
      </c>
      <c r="B395" t="str">
        <f t="shared" si="54"/>
        <v>0x183</v>
      </c>
      <c r="C395">
        <f t="shared" si="57"/>
        <v>3</v>
      </c>
      <c r="D395" t="str">
        <f t="shared" si="55"/>
        <v>00003</v>
      </c>
    </row>
    <row r="396" spans="1:4" x14ac:dyDescent="0.25">
      <c r="A396">
        <f t="shared" si="56"/>
        <v>388</v>
      </c>
      <c r="B396" t="str">
        <f t="shared" si="54"/>
        <v>0x184</v>
      </c>
      <c r="C396">
        <f t="shared" si="57"/>
        <v>4</v>
      </c>
      <c r="D396" t="str">
        <f t="shared" si="55"/>
        <v>00004</v>
      </c>
    </row>
    <row r="397" spans="1:4" x14ac:dyDescent="0.25">
      <c r="A397">
        <f t="shared" si="56"/>
        <v>389</v>
      </c>
      <c r="B397" t="str">
        <f t="shared" si="54"/>
        <v>0x185</v>
      </c>
      <c r="C397">
        <f t="shared" si="57"/>
        <v>5</v>
      </c>
      <c r="D397" t="str">
        <f t="shared" si="55"/>
        <v>00005</v>
      </c>
    </row>
    <row r="398" spans="1:4" x14ac:dyDescent="0.25">
      <c r="A398">
        <f t="shared" si="56"/>
        <v>390</v>
      </c>
      <c r="B398" t="str">
        <f t="shared" si="54"/>
        <v>0x186</v>
      </c>
      <c r="C398">
        <f t="shared" si="57"/>
        <v>6</v>
      </c>
      <c r="D398" t="str">
        <f t="shared" si="55"/>
        <v>00006</v>
      </c>
    </row>
    <row r="399" spans="1:4" x14ac:dyDescent="0.25">
      <c r="A399">
        <f t="shared" si="56"/>
        <v>391</v>
      </c>
      <c r="B399" t="str">
        <f t="shared" si="54"/>
        <v>0x187</v>
      </c>
      <c r="C399">
        <f t="shared" si="57"/>
        <v>7</v>
      </c>
      <c r="D399" t="str">
        <f t="shared" si="55"/>
        <v>00007</v>
      </c>
    </row>
    <row r="400" spans="1:4" x14ac:dyDescent="0.25">
      <c r="A400">
        <f t="shared" si="56"/>
        <v>392</v>
      </c>
      <c r="B400" t="str">
        <f t="shared" si="54"/>
        <v>0x188</v>
      </c>
      <c r="C400">
        <f t="shared" si="57"/>
        <v>8</v>
      </c>
      <c r="D400" t="str">
        <f t="shared" si="55"/>
        <v>00008</v>
      </c>
    </row>
    <row r="401" spans="1:4" x14ac:dyDescent="0.25">
      <c r="A401">
        <f t="shared" si="56"/>
        <v>393</v>
      </c>
      <c r="B401" t="str">
        <f t="shared" si="54"/>
        <v>0x189</v>
      </c>
      <c r="C401">
        <f t="shared" si="57"/>
        <v>9</v>
      </c>
      <c r="D401" t="str">
        <f t="shared" si="55"/>
        <v>00009</v>
      </c>
    </row>
    <row r="402" spans="1:4" x14ac:dyDescent="0.25">
      <c r="A402">
        <f t="shared" si="56"/>
        <v>394</v>
      </c>
      <c r="B402" t="str">
        <f t="shared" si="54"/>
        <v>0x18A</v>
      </c>
      <c r="C402">
        <f t="shared" si="57"/>
        <v>10</v>
      </c>
      <c r="D402" t="str">
        <f t="shared" si="55"/>
        <v>0000A</v>
      </c>
    </row>
    <row r="403" spans="1:4" x14ac:dyDescent="0.25">
      <c r="A403">
        <f t="shared" si="56"/>
        <v>395</v>
      </c>
      <c r="B403" t="str">
        <f t="shared" si="54"/>
        <v>0x18B</v>
      </c>
      <c r="C403">
        <f t="shared" si="57"/>
        <v>11</v>
      </c>
      <c r="D403" t="str">
        <f t="shared" si="55"/>
        <v>0000B</v>
      </c>
    </row>
    <row r="404" spans="1:4" x14ac:dyDescent="0.25">
      <c r="A404">
        <f t="shared" si="56"/>
        <v>396</v>
      </c>
      <c r="B404" t="str">
        <f t="shared" si="54"/>
        <v>0x18C</v>
      </c>
      <c r="C404">
        <f t="shared" si="57"/>
        <v>12</v>
      </c>
      <c r="D404" t="str">
        <f t="shared" si="55"/>
        <v>0000C</v>
      </c>
    </row>
    <row r="405" spans="1:4" x14ac:dyDescent="0.25">
      <c r="A405">
        <f t="shared" si="56"/>
        <v>397</v>
      </c>
      <c r="B405" t="str">
        <f t="shared" si="54"/>
        <v>0x18D</v>
      </c>
      <c r="C405">
        <f t="shared" si="57"/>
        <v>13</v>
      </c>
      <c r="D405" t="str">
        <f t="shared" si="55"/>
        <v>0000D</v>
      </c>
    </row>
    <row r="406" spans="1:4" x14ac:dyDescent="0.25">
      <c r="A406">
        <f t="shared" si="56"/>
        <v>398</v>
      </c>
      <c r="B406" t="str">
        <f t="shared" si="54"/>
        <v>0x18E</v>
      </c>
      <c r="C406">
        <f t="shared" si="57"/>
        <v>14</v>
      </c>
      <c r="D406" t="str">
        <f t="shared" si="55"/>
        <v>0000E</v>
      </c>
    </row>
    <row r="407" spans="1:4" x14ac:dyDescent="0.25">
      <c r="A407">
        <f t="shared" si="56"/>
        <v>399</v>
      </c>
      <c r="B407" t="str">
        <f t="shared" si="54"/>
        <v>0x18F</v>
      </c>
      <c r="C407">
        <f t="shared" si="57"/>
        <v>15</v>
      </c>
      <c r="D407" t="str">
        <f t="shared" si="55"/>
        <v>0000F</v>
      </c>
    </row>
    <row r="408" spans="1:4" x14ac:dyDescent="0.25">
      <c r="A408">
        <f t="shared" si="56"/>
        <v>400</v>
      </c>
      <c r="B408" t="str">
        <f t="shared" si="54"/>
        <v>0x190</v>
      </c>
      <c r="C408">
        <f t="shared" si="57"/>
        <v>16</v>
      </c>
      <c r="D408" t="str">
        <f t="shared" si="55"/>
        <v>00010</v>
      </c>
    </row>
    <row r="409" spans="1:4" x14ac:dyDescent="0.25">
      <c r="A409">
        <f t="shared" si="56"/>
        <v>401</v>
      </c>
      <c r="B409" t="str">
        <f t="shared" si="54"/>
        <v>0x191</v>
      </c>
      <c r="C409">
        <f t="shared" si="57"/>
        <v>17</v>
      </c>
      <c r="D409" t="str">
        <f t="shared" si="55"/>
        <v>00011</v>
      </c>
    </row>
    <row r="410" spans="1:4" x14ac:dyDescent="0.25">
      <c r="A410">
        <f t="shared" si="56"/>
        <v>402</v>
      </c>
      <c r="B410" t="str">
        <f t="shared" si="54"/>
        <v>0x192</v>
      </c>
      <c r="C410">
        <f t="shared" si="57"/>
        <v>18</v>
      </c>
      <c r="D410" t="str">
        <f t="shared" si="55"/>
        <v>00012</v>
      </c>
    </row>
    <row r="411" spans="1:4" x14ac:dyDescent="0.25">
      <c r="A411">
        <f t="shared" si="56"/>
        <v>403</v>
      </c>
      <c r="B411" t="str">
        <f t="shared" si="54"/>
        <v>0x193</v>
      </c>
      <c r="C411">
        <f t="shared" si="57"/>
        <v>19</v>
      </c>
      <c r="D411" t="str">
        <f t="shared" si="55"/>
        <v>00013</v>
      </c>
    </row>
    <row r="412" spans="1:4" x14ac:dyDescent="0.25">
      <c r="A412">
        <f t="shared" si="56"/>
        <v>404</v>
      </c>
      <c r="B412" t="str">
        <f t="shared" si="54"/>
        <v>0x194</v>
      </c>
      <c r="C412">
        <f t="shared" si="57"/>
        <v>20</v>
      </c>
      <c r="D412" t="str">
        <f t="shared" si="55"/>
        <v>00014</v>
      </c>
    </row>
    <row r="413" spans="1:4" x14ac:dyDescent="0.25">
      <c r="A413">
        <f t="shared" si="56"/>
        <v>405</v>
      </c>
      <c r="B413" t="str">
        <f t="shared" si="54"/>
        <v>0x195</v>
      </c>
      <c r="C413">
        <f t="shared" si="57"/>
        <v>21</v>
      </c>
      <c r="D413" t="str">
        <f t="shared" si="55"/>
        <v>00015</v>
      </c>
    </row>
    <row r="414" spans="1:4" x14ac:dyDescent="0.25">
      <c r="A414">
        <f t="shared" si="56"/>
        <v>406</v>
      </c>
      <c r="B414" t="str">
        <f t="shared" si="54"/>
        <v>0x196</v>
      </c>
      <c r="C414">
        <f t="shared" si="57"/>
        <v>22</v>
      </c>
      <c r="D414" t="str">
        <f t="shared" si="55"/>
        <v>00016</v>
      </c>
    </row>
    <row r="415" spans="1:4" x14ac:dyDescent="0.25">
      <c r="A415">
        <f t="shared" si="56"/>
        <v>407</v>
      </c>
      <c r="B415" t="str">
        <f t="shared" si="54"/>
        <v>0x197</v>
      </c>
      <c r="C415">
        <f t="shared" si="57"/>
        <v>23</v>
      </c>
      <c r="D415" t="str">
        <f t="shared" si="55"/>
        <v>00017</v>
      </c>
    </row>
    <row r="416" spans="1:4" x14ac:dyDescent="0.25">
      <c r="A416">
        <f t="shared" si="56"/>
        <v>408</v>
      </c>
      <c r="B416" t="str">
        <f t="shared" si="54"/>
        <v>0x198</v>
      </c>
      <c r="C416">
        <f t="shared" si="57"/>
        <v>24</v>
      </c>
      <c r="D416" t="str">
        <f t="shared" si="55"/>
        <v>00018</v>
      </c>
    </row>
    <row r="417" spans="1:4" x14ac:dyDescent="0.25">
      <c r="A417">
        <f t="shared" si="56"/>
        <v>409</v>
      </c>
      <c r="B417" t="str">
        <f t="shared" si="54"/>
        <v>0x199</v>
      </c>
      <c r="C417">
        <f t="shared" si="57"/>
        <v>25</v>
      </c>
      <c r="D417" t="str">
        <f t="shared" si="55"/>
        <v>00019</v>
      </c>
    </row>
    <row r="418" spans="1:4" x14ac:dyDescent="0.25">
      <c r="A418">
        <f t="shared" si="56"/>
        <v>410</v>
      </c>
      <c r="B418" t="str">
        <f t="shared" si="54"/>
        <v>0x19A</v>
      </c>
      <c r="C418">
        <f t="shared" si="57"/>
        <v>26</v>
      </c>
      <c r="D418" t="str">
        <f t="shared" si="55"/>
        <v>0001A</v>
      </c>
    </row>
    <row r="419" spans="1:4" x14ac:dyDescent="0.25">
      <c r="A419">
        <f t="shared" si="56"/>
        <v>411</v>
      </c>
      <c r="B419" t="str">
        <f t="shared" si="54"/>
        <v>0x19B</v>
      </c>
      <c r="C419">
        <f t="shared" si="57"/>
        <v>27</v>
      </c>
      <c r="D419" t="str">
        <f t="shared" si="55"/>
        <v>0001B</v>
      </c>
    </row>
    <row r="420" spans="1:4" x14ac:dyDescent="0.25">
      <c r="A420">
        <f t="shared" si="56"/>
        <v>412</v>
      </c>
      <c r="B420" t="str">
        <f t="shared" si="54"/>
        <v>0x19C</v>
      </c>
      <c r="C420">
        <f t="shared" si="57"/>
        <v>28</v>
      </c>
      <c r="D420" t="str">
        <f t="shared" si="55"/>
        <v>0001C</v>
      </c>
    </row>
    <row r="421" spans="1:4" x14ac:dyDescent="0.25">
      <c r="A421">
        <f t="shared" si="56"/>
        <v>413</v>
      </c>
      <c r="B421" t="str">
        <f t="shared" si="54"/>
        <v>0x19D</v>
      </c>
      <c r="C421">
        <f t="shared" si="57"/>
        <v>29</v>
      </c>
      <c r="D421" t="str">
        <f t="shared" si="55"/>
        <v>0001D</v>
      </c>
    </row>
    <row r="422" spans="1:4" x14ac:dyDescent="0.25">
      <c r="A422">
        <f t="shared" si="56"/>
        <v>414</v>
      </c>
      <c r="B422" t="str">
        <f t="shared" si="54"/>
        <v>0x19E</v>
      </c>
      <c r="C422">
        <f t="shared" si="57"/>
        <v>30</v>
      </c>
      <c r="D422" t="str">
        <f t="shared" si="55"/>
        <v>0001E</v>
      </c>
    </row>
    <row r="423" spans="1:4" x14ac:dyDescent="0.25">
      <c r="A423">
        <f t="shared" si="56"/>
        <v>415</v>
      </c>
      <c r="B423" t="str">
        <f t="shared" si="54"/>
        <v>0x19F</v>
      </c>
      <c r="C423">
        <f t="shared" si="57"/>
        <v>31</v>
      </c>
      <c r="D423" t="str">
        <f t="shared" si="55"/>
        <v>0001F</v>
      </c>
    </row>
    <row r="424" spans="1:4" x14ac:dyDescent="0.25">
      <c r="A424">
        <f t="shared" si="56"/>
        <v>416</v>
      </c>
      <c r="B424" t="str">
        <f t="shared" si="54"/>
        <v>0x1A0</v>
      </c>
      <c r="C424">
        <v>0</v>
      </c>
      <c r="D424" t="str">
        <f t="shared" si="55"/>
        <v>00000</v>
      </c>
    </row>
    <row r="425" spans="1:4" x14ac:dyDescent="0.25">
      <c r="A425">
        <f t="shared" si="56"/>
        <v>417</v>
      </c>
      <c r="B425" t="str">
        <f t="shared" si="54"/>
        <v>0x1A1</v>
      </c>
      <c r="C425">
        <f>C424+1</f>
        <v>1</v>
      </c>
      <c r="D425" t="str">
        <f t="shared" si="55"/>
        <v>00001</v>
      </c>
    </row>
    <row r="426" spans="1:4" x14ac:dyDescent="0.25">
      <c r="A426">
        <f t="shared" si="56"/>
        <v>418</v>
      </c>
      <c r="B426" t="str">
        <f t="shared" si="54"/>
        <v>0x1A2</v>
      </c>
      <c r="C426">
        <f t="shared" ref="C426:C455" si="58">C425+1</f>
        <v>2</v>
      </c>
      <c r="D426" t="str">
        <f t="shared" si="55"/>
        <v>00002</v>
      </c>
    </row>
    <row r="427" spans="1:4" x14ac:dyDescent="0.25">
      <c r="A427">
        <f t="shared" si="56"/>
        <v>419</v>
      </c>
      <c r="B427" t="str">
        <f t="shared" si="54"/>
        <v>0x1A3</v>
      </c>
      <c r="C427">
        <f t="shared" si="58"/>
        <v>3</v>
      </c>
      <c r="D427" t="str">
        <f t="shared" si="55"/>
        <v>00003</v>
      </c>
    </row>
    <row r="428" spans="1:4" x14ac:dyDescent="0.25">
      <c r="A428">
        <f t="shared" si="56"/>
        <v>420</v>
      </c>
      <c r="B428" t="str">
        <f t="shared" si="54"/>
        <v>0x1A4</v>
      </c>
      <c r="C428">
        <f t="shared" si="58"/>
        <v>4</v>
      </c>
      <c r="D428" t="str">
        <f t="shared" si="55"/>
        <v>00004</v>
      </c>
    </row>
    <row r="429" spans="1:4" x14ac:dyDescent="0.25">
      <c r="A429">
        <f t="shared" si="56"/>
        <v>421</v>
      </c>
      <c r="B429" t="str">
        <f t="shared" si="54"/>
        <v>0x1A5</v>
      </c>
      <c r="C429">
        <f t="shared" si="58"/>
        <v>5</v>
      </c>
      <c r="D429" t="str">
        <f t="shared" si="55"/>
        <v>00005</v>
      </c>
    </row>
    <row r="430" spans="1:4" x14ac:dyDescent="0.25">
      <c r="A430">
        <f t="shared" si="56"/>
        <v>422</v>
      </c>
      <c r="B430" t="str">
        <f t="shared" si="54"/>
        <v>0x1A6</v>
      </c>
      <c r="C430">
        <f t="shared" si="58"/>
        <v>6</v>
      </c>
      <c r="D430" t="str">
        <f t="shared" si="55"/>
        <v>00006</v>
      </c>
    </row>
    <row r="431" spans="1:4" x14ac:dyDescent="0.25">
      <c r="A431">
        <f t="shared" si="56"/>
        <v>423</v>
      </c>
      <c r="B431" t="str">
        <f t="shared" si="54"/>
        <v>0x1A7</v>
      </c>
      <c r="C431">
        <f t="shared" si="58"/>
        <v>7</v>
      </c>
      <c r="D431" t="str">
        <f t="shared" si="55"/>
        <v>00007</v>
      </c>
    </row>
    <row r="432" spans="1:4" x14ac:dyDescent="0.25">
      <c r="A432">
        <f t="shared" si="56"/>
        <v>424</v>
      </c>
      <c r="B432" t="str">
        <f t="shared" si="54"/>
        <v>0x1A8</v>
      </c>
      <c r="C432">
        <f t="shared" si="58"/>
        <v>8</v>
      </c>
      <c r="D432" t="str">
        <f t="shared" si="55"/>
        <v>00008</v>
      </c>
    </row>
    <row r="433" spans="1:4" x14ac:dyDescent="0.25">
      <c r="A433">
        <f t="shared" si="56"/>
        <v>425</v>
      </c>
      <c r="B433" t="str">
        <f t="shared" si="54"/>
        <v>0x1A9</v>
      </c>
      <c r="C433">
        <f t="shared" si="58"/>
        <v>9</v>
      </c>
      <c r="D433" t="str">
        <f t="shared" si="55"/>
        <v>00009</v>
      </c>
    </row>
    <row r="434" spans="1:4" x14ac:dyDescent="0.25">
      <c r="A434">
        <f t="shared" si="56"/>
        <v>426</v>
      </c>
      <c r="B434" t="str">
        <f t="shared" si="54"/>
        <v>0x1AA</v>
      </c>
      <c r="C434">
        <f t="shared" si="58"/>
        <v>10</v>
      </c>
      <c r="D434" t="str">
        <f t="shared" si="55"/>
        <v>0000A</v>
      </c>
    </row>
    <row r="435" spans="1:4" x14ac:dyDescent="0.25">
      <c r="A435">
        <f t="shared" si="56"/>
        <v>427</v>
      </c>
      <c r="B435" t="str">
        <f t="shared" si="54"/>
        <v>0x1AB</v>
      </c>
      <c r="C435">
        <f t="shared" si="58"/>
        <v>11</v>
      </c>
      <c r="D435" t="str">
        <f t="shared" si="55"/>
        <v>0000B</v>
      </c>
    </row>
    <row r="436" spans="1:4" x14ac:dyDescent="0.25">
      <c r="A436">
        <f t="shared" si="56"/>
        <v>428</v>
      </c>
      <c r="B436" t="str">
        <f t="shared" si="54"/>
        <v>0x1AC</v>
      </c>
      <c r="C436">
        <f t="shared" si="58"/>
        <v>12</v>
      </c>
      <c r="D436" t="str">
        <f t="shared" si="55"/>
        <v>0000C</v>
      </c>
    </row>
    <row r="437" spans="1:4" x14ac:dyDescent="0.25">
      <c r="A437">
        <f t="shared" si="56"/>
        <v>429</v>
      </c>
      <c r="B437" t="str">
        <f t="shared" si="54"/>
        <v>0x1AD</v>
      </c>
      <c r="C437">
        <f t="shared" si="58"/>
        <v>13</v>
      </c>
      <c r="D437" t="str">
        <f t="shared" si="55"/>
        <v>0000D</v>
      </c>
    </row>
    <row r="438" spans="1:4" x14ac:dyDescent="0.25">
      <c r="A438">
        <f t="shared" si="56"/>
        <v>430</v>
      </c>
      <c r="B438" t="str">
        <f t="shared" si="54"/>
        <v>0x1AE</v>
      </c>
      <c r="C438">
        <f t="shared" si="58"/>
        <v>14</v>
      </c>
      <c r="D438" t="str">
        <f t="shared" si="55"/>
        <v>0000E</v>
      </c>
    </row>
    <row r="439" spans="1:4" x14ac:dyDescent="0.25">
      <c r="A439">
        <f t="shared" si="56"/>
        <v>431</v>
      </c>
      <c r="B439" t="str">
        <f t="shared" si="54"/>
        <v>0x1AF</v>
      </c>
      <c r="C439">
        <f t="shared" si="58"/>
        <v>15</v>
      </c>
      <c r="D439" t="str">
        <f t="shared" si="55"/>
        <v>0000F</v>
      </c>
    </row>
    <row r="440" spans="1:4" x14ac:dyDescent="0.25">
      <c r="A440">
        <f t="shared" si="56"/>
        <v>432</v>
      </c>
      <c r="B440" t="str">
        <f t="shared" si="54"/>
        <v>0x1B0</v>
      </c>
      <c r="C440">
        <f t="shared" si="58"/>
        <v>16</v>
      </c>
      <c r="D440" t="str">
        <f t="shared" si="55"/>
        <v>00010</v>
      </c>
    </row>
    <row r="441" spans="1:4" x14ac:dyDescent="0.25">
      <c r="A441">
        <f t="shared" si="56"/>
        <v>433</v>
      </c>
      <c r="B441" t="str">
        <f t="shared" si="54"/>
        <v>0x1B1</v>
      </c>
      <c r="C441">
        <f t="shared" si="58"/>
        <v>17</v>
      </c>
      <c r="D441" t="str">
        <f t="shared" si="55"/>
        <v>00011</v>
      </c>
    </row>
    <row r="442" spans="1:4" x14ac:dyDescent="0.25">
      <c r="A442">
        <f t="shared" si="56"/>
        <v>434</v>
      </c>
      <c r="B442" t="str">
        <f t="shared" si="54"/>
        <v>0x1B2</v>
      </c>
      <c r="C442">
        <f t="shared" si="58"/>
        <v>18</v>
      </c>
      <c r="D442" t="str">
        <f t="shared" si="55"/>
        <v>00012</v>
      </c>
    </row>
    <row r="443" spans="1:4" x14ac:dyDescent="0.25">
      <c r="A443">
        <f t="shared" si="56"/>
        <v>435</v>
      </c>
      <c r="B443" t="str">
        <f t="shared" si="54"/>
        <v>0x1B3</v>
      </c>
      <c r="C443">
        <f t="shared" si="58"/>
        <v>19</v>
      </c>
      <c r="D443" t="str">
        <f t="shared" si="55"/>
        <v>00013</v>
      </c>
    </row>
    <row r="444" spans="1:4" x14ac:dyDescent="0.25">
      <c r="A444">
        <f t="shared" si="56"/>
        <v>436</v>
      </c>
      <c r="B444" t="str">
        <f t="shared" si="54"/>
        <v>0x1B4</v>
      </c>
      <c r="C444">
        <f t="shared" si="58"/>
        <v>20</v>
      </c>
      <c r="D444" t="str">
        <f t="shared" si="55"/>
        <v>00014</v>
      </c>
    </row>
    <row r="445" spans="1:4" x14ac:dyDescent="0.25">
      <c r="A445">
        <f t="shared" si="56"/>
        <v>437</v>
      </c>
      <c r="B445" t="str">
        <f t="shared" si="54"/>
        <v>0x1B5</v>
      </c>
      <c r="C445">
        <f t="shared" si="58"/>
        <v>21</v>
      </c>
      <c r="D445" t="str">
        <f t="shared" si="55"/>
        <v>00015</v>
      </c>
    </row>
    <row r="446" spans="1:4" x14ac:dyDescent="0.25">
      <c r="A446">
        <f t="shared" si="56"/>
        <v>438</v>
      </c>
      <c r="B446" t="str">
        <f t="shared" si="54"/>
        <v>0x1B6</v>
      </c>
      <c r="C446">
        <f t="shared" si="58"/>
        <v>22</v>
      </c>
      <c r="D446" t="str">
        <f t="shared" si="55"/>
        <v>00016</v>
      </c>
    </row>
    <row r="447" spans="1:4" x14ac:dyDescent="0.25">
      <c r="A447">
        <f t="shared" si="56"/>
        <v>439</v>
      </c>
      <c r="B447" t="str">
        <f t="shared" si="54"/>
        <v>0x1B7</v>
      </c>
      <c r="C447">
        <f t="shared" si="58"/>
        <v>23</v>
      </c>
      <c r="D447" t="str">
        <f t="shared" si="55"/>
        <v>00017</v>
      </c>
    </row>
    <row r="448" spans="1:4" x14ac:dyDescent="0.25">
      <c r="A448">
        <f t="shared" si="56"/>
        <v>440</v>
      </c>
      <c r="B448" t="str">
        <f t="shared" si="54"/>
        <v>0x1B8</v>
      </c>
      <c r="C448">
        <f t="shared" si="58"/>
        <v>24</v>
      </c>
      <c r="D448" t="str">
        <f t="shared" si="55"/>
        <v>00018</v>
      </c>
    </row>
    <row r="449" spans="1:4" x14ac:dyDescent="0.25">
      <c r="A449">
        <f t="shared" si="56"/>
        <v>441</v>
      </c>
      <c r="B449" t="str">
        <f t="shared" si="54"/>
        <v>0x1B9</v>
      </c>
      <c r="C449">
        <f t="shared" si="58"/>
        <v>25</v>
      </c>
      <c r="D449" t="str">
        <f t="shared" si="55"/>
        <v>00019</v>
      </c>
    </row>
    <row r="450" spans="1:4" x14ac:dyDescent="0.25">
      <c r="A450">
        <f t="shared" si="56"/>
        <v>442</v>
      </c>
      <c r="B450" t="str">
        <f t="shared" si="54"/>
        <v>0x1BA</v>
      </c>
      <c r="C450">
        <f t="shared" si="58"/>
        <v>26</v>
      </c>
      <c r="D450" t="str">
        <f t="shared" si="55"/>
        <v>0001A</v>
      </c>
    </row>
    <row r="451" spans="1:4" x14ac:dyDescent="0.25">
      <c r="A451">
        <f t="shared" si="56"/>
        <v>443</v>
      </c>
      <c r="B451" t="str">
        <f t="shared" si="54"/>
        <v>0x1BB</v>
      </c>
      <c r="C451">
        <f t="shared" si="58"/>
        <v>27</v>
      </c>
      <c r="D451" t="str">
        <f t="shared" si="55"/>
        <v>0001B</v>
      </c>
    </row>
    <row r="452" spans="1:4" x14ac:dyDescent="0.25">
      <c r="A452">
        <f t="shared" si="56"/>
        <v>444</v>
      </c>
      <c r="B452" t="str">
        <f t="shared" si="54"/>
        <v>0x1BC</v>
      </c>
      <c r="C452">
        <f t="shared" si="58"/>
        <v>28</v>
      </c>
      <c r="D452" t="str">
        <f t="shared" si="55"/>
        <v>0001C</v>
      </c>
    </row>
    <row r="453" spans="1:4" x14ac:dyDescent="0.25">
      <c r="A453">
        <f t="shared" si="56"/>
        <v>445</v>
      </c>
      <c r="B453" t="str">
        <f t="shared" si="54"/>
        <v>0x1BD</v>
      </c>
      <c r="C453">
        <f t="shared" si="58"/>
        <v>29</v>
      </c>
      <c r="D453" t="str">
        <f t="shared" si="55"/>
        <v>0001D</v>
      </c>
    </row>
    <row r="454" spans="1:4" x14ac:dyDescent="0.25">
      <c r="A454">
        <f t="shared" si="56"/>
        <v>446</v>
      </c>
      <c r="B454" t="str">
        <f t="shared" si="54"/>
        <v>0x1BE</v>
      </c>
      <c r="C454">
        <f t="shared" si="58"/>
        <v>30</v>
      </c>
      <c r="D454" t="str">
        <f t="shared" si="55"/>
        <v>0001E</v>
      </c>
    </row>
    <row r="455" spans="1:4" x14ac:dyDescent="0.25">
      <c r="A455">
        <f t="shared" si="56"/>
        <v>447</v>
      </c>
      <c r="B455" t="str">
        <f t="shared" si="54"/>
        <v>0x1BF</v>
      </c>
      <c r="C455">
        <f t="shared" si="58"/>
        <v>31</v>
      </c>
      <c r="D455" t="str">
        <f t="shared" si="55"/>
        <v>0001F</v>
      </c>
    </row>
    <row r="456" spans="1:4" x14ac:dyDescent="0.25">
      <c r="A456">
        <f t="shared" si="56"/>
        <v>448</v>
      </c>
      <c r="B456" t="str">
        <f t="shared" si="54"/>
        <v>0x1C0</v>
      </c>
      <c r="C456">
        <v>0</v>
      </c>
      <c r="D456" t="str">
        <f t="shared" si="55"/>
        <v>00000</v>
      </c>
    </row>
    <row r="457" spans="1:4" x14ac:dyDescent="0.25">
      <c r="A457">
        <f t="shared" si="56"/>
        <v>449</v>
      </c>
      <c r="B457" t="str">
        <f t="shared" ref="B457:B520" si="59">CONCATENATE("0x",DEC2HEX(A457,3))</f>
        <v>0x1C1</v>
      </c>
      <c r="C457">
        <f>C456+1</f>
        <v>1</v>
      </c>
      <c r="D457" t="str">
        <f t="shared" ref="D457:D520" si="60">DEC2HEX(C457,5)</f>
        <v>00001</v>
      </c>
    </row>
    <row r="458" spans="1:4" x14ac:dyDescent="0.25">
      <c r="A458">
        <f t="shared" ref="A458:A521" si="61">A457+1</f>
        <v>450</v>
      </c>
      <c r="B458" t="str">
        <f t="shared" si="59"/>
        <v>0x1C2</v>
      </c>
      <c r="C458">
        <f t="shared" ref="C458:C487" si="62">C457+1</f>
        <v>2</v>
      </c>
      <c r="D458" t="str">
        <f t="shared" si="60"/>
        <v>00002</v>
      </c>
    </row>
    <row r="459" spans="1:4" x14ac:dyDescent="0.25">
      <c r="A459">
        <f t="shared" si="61"/>
        <v>451</v>
      </c>
      <c r="B459" t="str">
        <f t="shared" si="59"/>
        <v>0x1C3</v>
      </c>
      <c r="C459">
        <f t="shared" si="62"/>
        <v>3</v>
      </c>
      <c r="D459" t="str">
        <f t="shared" si="60"/>
        <v>00003</v>
      </c>
    </row>
    <row r="460" spans="1:4" x14ac:dyDescent="0.25">
      <c r="A460">
        <f t="shared" si="61"/>
        <v>452</v>
      </c>
      <c r="B460" t="str">
        <f t="shared" si="59"/>
        <v>0x1C4</v>
      </c>
      <c r="C460">
        <f t="shared" si="62"/>
        <v>4</v>
      </c>
      <c r="D460" t="str">
        <f t="shared" si="60"/>
        <v>00004</v>
      </c>
    </row>
    <row r="461" spans="1:4" x14ac:dyDescent="0.25">
      <c r="A461">
        <f t="shared" si="61"/>
        <v>453</v>
      </c>
      <c r="B461" t="str">
        <f t="shared" si="59"/>
        <v>0x1C5</v>
      </c>
      <c r="C461">
        <f t="shared" si="62"/>
        <v>5</v>
      </c>
      <c r="D461" t="str">
        <f t="shared" si="60"/>
        <v>00005</v>
      </c>
    </row>
    <row r="462" spans="1:4" x14ac:dyDescent="0.25">
      <c r="A462">
        <f t="shared" si="61"/>
        <v>454</v>
      </c>
      <c r="B462" t="str">
        <f t="shared" si="59"/>
        <v>0x1C6</v>
      </c>
      <c r="C462">
        <f t="shared" si="62"/>
        <v>6</v>
      </c>
      <c r="D462" t="str">
        <f t="shared" si="60"/>
        <v>00006</v>
      </c>
    </row>
    <row r="463" spans="1:4" x14ac:dyDescent="0.25">
      <c r="A463">
        <f t="shared" si="61"/>
        <v>455</v>
      </c>
      <c r="B463" t="str">
        <f t="shared" si="59"/>
        <v>0x1C7</v>
      </c>
      <c r="C463">
        <f t="shared" si="62"/>
        <v>7</v>
      </c>
      <c r="D463" t="str">
        <f t="shared" si="60"/>
        <v>00007</v>
      </c>
    </row>
    <row r="464" spans="1:4" x14ac:dyDescent="0.25">
      <c r="A464">
        <f t="shared" si="61"/>
        <v>456</v>
      </c>
      <c r="B464" t="str">
        <f t="shared" si="59"/>
        <v>0x1C8</v>
      </c>
      <c r="C464">
        <f t="shared" si="62"/>
        <v>8</v>
      </c>
      <c r="D464" t="str">
        <f t="shared" si="60"/>
        <v>00008</v>
      </c>
    </row>
    <row r="465" spans="1:4" x14ac:dyDescent="0.25">
      <c r="A465">
        <f t="shared" si="61"/>
        <v>457</v>
      </c>
      <c r="B465" t="str">
        <f t="shared" si="59"/>
        <v>0x1C9</v>
      </c>
      <c r="C465">
        <f t="shared" si="62"/>
        <v>9</v>
      </c>
      <c r="D465" t="str">
        <f t="shared" si="60"/>
        <v>00009</v>
      </c>
    </row>
    <row r="466" spans="1:4" x14ac:dyDescent="0.25">
      <c r="A466">
        <f t="shared" si="61"/>
        <v>458</v>
      </c>
      <c r="B466" t="str">
        <f t="shared" si="59"/>
        <v>0x1CA</v>
      </c>
      <c r="C466">
        <f t="shared" si="62"/>
        <v>10</v>
      </c>
      <c r="D466" t="str">
        <f t="shared" si="60"/>
        <v>0000A</v>
      </c>
    </row>
    <row r="467" spans="1:4" x14ac:dyDescent="0.25">
      <c r="A467">
        <f t="shared" si="61"/>
        <v>459</v>
      </c>
      <c r="B467" t="str">
        <f t="shared" si="59"/>
        <v>0x1CB</v>
      </c>
      <c r="C467">
        <f t="shared" si="62"/>
        <v>11</v>
      </c>
      <c r="D467" t="str">
        <f t="shared" si="60"/>
        <v>0000B</v>
      </c>
    </row>
    <row r="468" spans="1:4" x14ac:dyDescent="0.25">
      <c r="A468">
        <f t="shared" si="61"/>
        <v>460</v>
      </c>
      <c r="B468" t="str">
        <f t="shared" si="59"/>
        <v>0x1CC</v>
      </c>
      <c r="C468">
        <f t="shared" si="62"/>
        <v>12</v>
      </c>
      <c r="D468" t="str">
        <f t="shared" si="60"/>
        <v>0000C</v>
      </c>
    </row>
    <row r="469" spans="1:4" x14ac:dyDescent="0.25">
      <c r="A469">
        <f t="shared" si="61"/>
        <v>461</v>
      </c>
      <c r="B469" t="str">
        <f t="shared" si="59"/>
        <v>0x1CD</v>
      </c>
      <c r="C469">
        <f t="shared" si="62"/>
        <v>13</v>
      </c>
      <c r="D469" t="str">
        <f t="shared" si="60"/>
        <v>0000D</v>
      </c>
    </row>
    <row r="470" spans="1:4" x14ac:dyDescent="0.25">
      <c r="A470">
        <f t="shared" si="61"/>
        <v>462</v>
      </c>
      <c r="B470" t="str">
        <f t="shared" si="59"/>
        <v>0x1CE</v>
      </c>
      <c r="C470">
        <f t="shared" si="62"/>
        <v>14</v>
      </c>
      <c r="D470" t="str">
        <f t="shared" si="60"/>
        <v>0000E</v>
      </c>
    </row>
    <row r="471" spans="1:4" x14ac:dyDescent="0.25">
      <c r="A471">
        <f t="shared" si="61"/>
        <v>463</v>
      </c>
      <c r="B471" t="str">
        <f t="shared" si="59"/>
        <v>0x1CF</v>
      </c>
      <c r="C471">
        <f t="shared" si="62"/>
        <v>15</v>
      </c>
      <c r="D471" t="str">
        <f t="shared" si="60"/>
        <v>0000F</v>
      </c>
    </row>
    <row r="472" spans="1:4" x14ac:dyDescent="0.25">
      <c r="A472">
        <f t="shared" si="61"/>
        <v>464</v>
      </c>
      <c r="B472" t="str">
        <f t="shared" si="59"/>
        <v>0x1D0</v>
      </c>
      <c r="C472">
        <f t="shared" si="62"/>
        <v>16</v>
      </c>
      <c r="D472" t="str">
        <f t="shared" si="60"/>
        <v>00010</v>
      </c>
    </row>
    <row r="473" spans="1:4" x14ac:dyDescent="0.25">
      <c r="A473">
        <f t="shared" si="61"/>
        <v>465</v>
      </c>
      <c r="B473" t="str">
        <f t="shared" si="59"/>
        <v>0x1D1</v>
      </c>
      <c r="C473">
        <f t="shared" si="62"/>
        <v>17</v>
      </c>
      <c r="D473" t="str">
        <f t="shared" si="60"/>
        <v>00011</v>
      </c>
    </row>
    <row r="474" spans="1:4" x14ac:dyDescent="0.25">
      <c r="A474">
        <f t="shared" si="61"/>
        <v>466</v>
      </c>
      <c r="B474" t="str">
        <f t="shared" si="59"/>
        <v>0x1D2</v>
      </c>
      <c r="C474">
        <f t="shared" si="62"/>
        <v>18</v>
      </c>
      <c r="D474" t="str">
        <f t="shared" si="60"/>
        <v>00012</v>
      </c>
    </row>
    <row r="475" spans="1:4" x14ac:dyDescent="0.25">
      <c r="A475">
        <f t="shared" si="61"/>
        <v>467</v>
      </c>
      <c r="B475" t="str">
        <f t="shared" si="59"/>
        <v>0x1D3</v>
      </c>
      <c r="C475">
        <f t="shared" si="62"/>
        <v>19</v>
      </c>
      <c r="D475" t="str">
        <f t="shared" si="60"/>
        <v>00013</v>
      </c>
    </row>
    <row r="476" spans="1:4" x14ac:dyDescent="0.25">
      <c r="A476">
        <f t="shared" si="61"/>
        <v>468</v>
      </c>
      <c r="B476" t="str">
        <f t="shared" si="59"/>
        <v>0x1D4</v>
      </c>
      <c r="C476">
        <f t="shared" si="62"/>
        <v>20</v>
      </c>
      <c r="D476" t="str">
        <f t="shared" si="60"/>
        <v>00014</v>
      </c>
    </row>
    <row r="477" spans="1:4" x14ac:dyDescent="0.25">
      <c r="A477">
        <f t="shared" si="61"/>
        <v>469</v>
      </c>
      <c r="B477" t="str">
        <f t="shared" si="59"/>
        <v>0x1D5</v>
      </c>
      <c r="C477">
        <f t="shared" si="62"/>
        <v>21</v>
      </c>
      <c r="D477" t="str">
        <f t="shared" si="60"/>
        <v>00015</v>
      </c>
    </row>
    <row r="478" spans="1:4" x14ac:dyDescent="0.25">
      <c r="A478">
        <f t="shared" si="61"/>
        <v>470</v>
      </c>
      <c r="B478" t="str">
        <f t="shared" si="59"/>
        <v>0x1D6</v>
      </c>
      <c r="C478">
        <f t="shared" si="62"/>
        <v>22</v>
      </c>
      <c r="D478" t="str">
        <f t="shared" si="60"/>
        <v>00016</v>
      </c>
    </row>
    <row r="479" spans="1:4" x14ac:dyDescent="0.25">
      <c r="A479">
        <f t="shared" si="61"/>
        <v>471</v>
      </c>
      <c r="B479" t="str">
        <f t="shared" si="59"/>
        <v>0x1D7</v>
      </c>
      <c r="C479">
        <f t="shared" si="62"/>
        <v>23</v>
      </c>
      <c r="D479" t="str">
        <f t="shared" si="60"/>
        <v>00017</v>
      </c>
    </row>
    <row r="480" spans="1:4" x14ac:dyDescent="0.25">
      <c r="A480">
        <f t="shared" si="61"/>
        <v>472</v>
      </c>
      <c r="B480" t="str">
        <f t="shared" si="59"/>
        <v>0x1D8</v>
      </c>
      <c r="C480">
        <f t="shared" si="62"/>
        <v>24</v>
      </c>
      <c r="D480" t="str">
        <f t="shared" si="60"/>
        <v>00018</v>
      </c>
    </row>
    <row r="481" spans="1:4" x14ac:dyDescent="0.25">
      <c r="A481">
        <f t="shared" si="61"/>
        <v>473</v>
      </c>
      <c r="B481" t="str">
        <f t="shared" si="59"/>
        <v>0x1D9</v>
      </c>
      <c r="C481">
        <f t="shared" si="62"/>
        <v>25</v>
      </c>
      <c r="D481" t="str">
        <f t="shared" si="60"/>
        <v>00019</v>
      </c>
    </row>
    <row r="482" spans="1:4" x14ac:dyDescent="0.25">
      <c r="A482">
        <f t="shared" si="61"/>
        <v>474</v>
      </c>
      <c r="B482" t="str">
        <f t="shared" si="59"/>
        <v>0x1DA</v>
      </c>
      <c r="C482">
        <f t="shared" si="62"/>
        <v>26</v>
      </c>
      <c r="D482" t="str">
        <f t="shared" si="60"/>
        <v>0001A</v>
      </c>
    </row>
    <row r="483" spans="1:4" x14ac:dyDescent="0.25">
      <c r="A483">
        <f t="shared" si="61"/>
        <v>475</v>
      </c>
      <c r="B483" t="str">
        <f t="shared" si="59"/>
        <v>0x1DB</v>
      </c>
      <c r="C483">
        <f t="shared" si="62"/>
        <v>27</v>
      </c>
      <c r="D483" t="str">
        <f t="shared" si="60"/>
        <v>0001B</v>
      </c>
    </row>
    <row r="484" spans="1:4" x14ac:dyDescent="0.25">
      <c r="A484">
        <f t="shared" si="61"/>
        <v>476</v>
      </c>
      <c r="B484" t="str">
        <f t="shared" si="59"/>
        <v>0x1DC</v>
      </c>
      <c r="C484">
        <f t="shared" si="62"/>
        <v>28</v>
      </c>
      <c r="D484" t="str">
        <f t="shared" si="60"/>
        <v>0001C</v>
      </c>
    </row>
    <row r="485" spans="1:4" x14ac:dyDescent="0.25">
      <c r="A485">
        <f t="shared" si="61"/>
        <v>477</v>
      </c>
      <c r="B485" t="str">
        <f t="shared" si="59"/>
        <v>0x1DD</v>
      </c>
      <c r="C485">
        <f t="shared" si="62"/>
        <v>29</v>
      </c>
      <c r="D485" t="str">
        <f t="shared" si="60"/>
        <v>0001D</v>
      </c>
    </row>
    <row r="486" spans="1:4" x14ac:dyDescent="0.25">
      <c r="A486">
        <f t="shared" si="61"/>
        <v>478</v>
      </c>
      <c r="B486" t="str">
        <f t="shared" si="59"/>
        <v>0x1DE</v>
      </c>
      <c r="C486">
        <f t="shared" si="62"/>
        <v>30</v>
      </c>
      <c r="D486" t="str">
        <f t="shared" si="60"/>
        <v>0001E</v>
      </c>
    </row>
    <row r="487" spans="1:4" x14ac:dyDescent="0.25">
      <c r="A487">
        <f t="shared" si="61"/>
        <v>479</v>
      </c>
      <c r="B487" t="str">
        <f t="shared" si="59"/>
        <v>0x1DF</v>
      </c>
      <c r="C487">
        <f t="shared" si="62"/>
        <v>31</v>
      </c>
      <c r="D487" t="str">
        <f t="shared" si="60"/>
        <v>0001F</v>
      </c>
    </row>
    <row r="488" spans="1:4" x14ac:dyDescent="0.25">
      <c r="A488">
        <f t="shared" si="61"/>
        <v>480</v>
      </c>
      <c r="B488" t="str">
        <f t="shared" si="59"/>
        <v>0x1E0</v>
      </c>
      <c r="C488">
        <v>0</v>
      </c>
      <c r="D488" t="str">
        <f t="shared" si="60"/>
        <v>00000</v>
      </c>
    </row>
    <row r="489" spans="1:4" x14ac:dyDescent="0.25">
      <c r="A489">
        <f t="shared" si="61"/>
        <v>481</v>
      </c>
      <c r="B489" t="str">
        <f t="shared" si="59"/>
        <v>0x1E1</v>
      </c>
      <c r="C489">
        <f>C488+1</f>
        <v>1</v>
      </c>
      <c r="D489" t="str">
        <f t="shared" si="60"/>
        <v>00001</v>
      </c>
    </row>
    <row r="490" spans="1:4" x14ac:dyDescent="0.25">
      <c r="A490">
        <f t="shared" si="61"/>
        <v>482</v>
      </c>
      <c r="B490" t="str">
        <f t="shared" si="59"/>
        <v>0x1E2</v>
      </c>
      <c r="C490">
        <f t="shared" ref="C490:C519" si="63">C489+1</f>
        <v>2</v>
      </c>
      <c r="D490" t="str">
        <f t="shared" si="60"/>
        <v>00002</v>
      </c>
    </row>
    <row r="491" spans="1:4" x14ac:dyDescent="0.25">
      <c r="A491">
        <f t="shared" si="61"/>
        <v>483</v>
      </c>
      <c r="B491" t="str">
        <f t="shared" si="59"/>
        <v>0x1E3</v>
      </c>
      <c r="C491">
        <f t="shared" si="63"/>
        <v>3</v>
      </c>
      <c r="D491" t="str">
        <f t="shared" si="60"/>
        <v>00003</v>
      </c>
    </row>
    <row r="492" spans="1:4" x14ac:dyDescent="0.25">
      <c r="A492">
        <f t="shared" si="61"/>
        <v>484</v>
      </c>
      <c r="B492" t="str">
        <f t="shared" si="59"/>
        <v>0x1E4</v>
      </c>
      <c r="C492">
        <f t="shared" si="63"/>
        <v>4</v>
      </c>
      <c r="D492" t="str">
        <f t="shared" si="60"/>
        <v>00004</v>
      </c>
    </row>
    <row r="493" spans="1:4" x14ac:dyDescent="0.25">
      <c r="A493">
        <f t="shared" si="61"/>
        <v>485</v>
      </c>
      <c r="B493" t="str">
        <f t="shared" si="59"/>
        <v>0x1E5</v>
      </c>
      <c r="C493">
        <f t="shared" si="63"/>
        <v>5</v>
      </c>
      <c r="D493" t="str">
        <f t="shared" si="60"/>
        <v>00005</v>
      </c>
    </row>
    <row r="494" spans="1:4" x14ac:dyDescent="0.25">
      <c r="A494">
        <f t="shared" si="61"/>
        <v>486</v>
      </c>
      <c r="B494" t="str">
        <f t="shared" si="59"/>
        <v>0x1E6</v>
      </c>
      <c r="C494">
        <f t="shared" si="63"/>
        <v>6</v>
      </c>
      <c r="D494" t="str">
        <f t="shared" si="60"/>
        <v>00006</v>
      </c>
    </row>
    <row r="495" spans="1:4" x14ac:dyDescent="0.25">
      <c r="A495">
        <f t="shared" si="61"/>
        <v>487</v>
      </c>
      <c r="B495" t="str">
        <f t="shared" si="59"/>
        <v>0x1E7</v>
      </c>
      <c r="C495">
        <f t="shared" si="63"/>
        <v>7</v>
      </c>
      <c r="D495" t="str">
        <f t="shared" si="60"/>
        <v>00007</v>
      </c>
    </row>
    <row r="496" spans="1:4" x14ac:dyDescent="0.25">
      <c r="A496">
        <f t="shared" si="61"/>
        <v>488</v>
      </c>
      <c r="B496" t="str">
        <f t="shared" si="59"/>
        <v>0x1E8</v>
      </c>
      <c r="C496">
        <f t="shared" si="63"/>
        <v>8</v>
      </c>
      <c r="D496" t="str">
        <f t="shared" si="60"/>
        <v>00008</v>
      </c>
    </row>
    <row r="497" spans="1:4" x14ac:dyDescent="0.25">
      <c r="A497">
        <f t="shared" si="61"/>
        <v>489</v>
      </c>
      <c r="B497" t="str">
        <f t="shared" si="59"/>
        <v>0x1E9</v>
      </c>
      <c r="C497">
        <f t="shared" si="63"/>
        <v>9</v>
      </c>
      <c r="D497" t="str">
        <f t="shared" si="60"/>
        <v>00009</v>
      </c>
    </row>
    <row r="498" spans="1:4" x14ac:dyDescent="0.25">
      <c r="A498">
        <f t="shared" si="61"/>
        <v>490</v>
      </c>
      <c r="B498" t="str">
        <f t="shared" si="59"/>
        <v>0x1EA</v>
      </c>
      <c r="C498">
        <f t="shared" si="63"/>
        <v>10</v>
      </c>
      <c r="D498" t="str">
        <f t="shared" si="60"/>
        <v>0000A</v>
      </c>
    </row>
    <row r="499" spans="1:4" x14ac:dyDescent="0.25">
      <c r="A499">
        <f t="shared" si="61"/>
        <v>491</v>
      </c>
      <c r="B499" t="str">
        <f t="shared" si="59"/>
        <v>0x1EB</v>
      </c>
      <c r="C499">
        <f t="shared" si="63"/>
        <v>11</v>
      </c>
      <c r="D499" t="str">
        <f t="shared" si="60"/>
        <v>0000B</v>
      </c>
    </row>
    <row r="500" spans="1:4" x14ac:dyDescent="0.25">
      <c r="A500">
        <f t="shared" si="61"/>
        <v>492</v>
      </c>
      <c r="B500" t="str">
        <f t="shared" si="59"/>
        <v>0x1EC</v>
      </c>
      <c r="C500">
        <f t="shared" si="63"/>
        <v>12</v>
      </c>
      <c r="D500" t="str">
        <f t="shared" si="60"/>
        <v>0000C</v>
      </c>
    </row>
    <row r="501" spans="1:4" x14ac:dyDescent="0.25">
      <c r="A501">
        <f t="shared" si="61"/>
        <v>493</v>
      </c>
      <c r="B501" t="str">
        <f t="shared" si="59"/>
        <v>0x1ED</v>
      </c>
      <c r="C501">
        <f t="shared" si="63"/>
        <v>13</v>
      </c>
      <c r="D501" t="str">
        <f t="shared" si="60"/>
        <v>0000D</v>
      </c>
    </row>
    <row r="502" spans="1:4" x14ac:dyDescent="0.25">
      <c r="A502">
        <f t="shared" si="61"/>
        <v>494</v>
      </c>
      <c r="B502" t="str">
        <f t="shared" si="59"/>
        <v>0x1EE</v>
      </c>
      <c r="C502">
        <f t="shared" si="63"/>
        <v>14</v>
      </c>
      <c r="D502" t="str">
        <f t="shared" si="60"/>
        <v>0000E</v>
      </c>
    </row>
    <row r="503" spans="1:4" x14ac:dyDescent="0.25">
      <c r="A503">
        <f t="shared" si="61"/>
        <v>495</v>
      </c>
      <c r="B503" t="str">
        <f t="shared" si="59"/>
        <v>0x1EF</v>
      </c>
      <c r="C503">
        <f t="shared" si="63"/>
        <v>15</v>
      </c>
      <c r="D503" t="str">
        <f t="shared" si="60"/>
        <v>0000F</v>
      </c>
    </row>
    <row r="504" spans="1:4" x14ac:dyDescent="0.25">
      <c r="A504">
        <f t="shared" si="61"/>
        <v>496</v>
      </c>
      <c r="B504" t="str">
        <f t="shared" si="59"/>
        <v>0x1F0</v>
      </c>
      <c r="C504">
        <f t="shared" si="63"/>
        <v>16</v>
      </c>
      <c r="D504" t="str">
        <f t="shared" si="60"/>
        <v>00010</v>
      </c>
    </row>
    <row r="505" spans="1:4" x14ac:dyDescent="0.25">
      <c r="A505">
        <f t="shared" si="61"/>
        <v>497</v>
      </c>
      <c r="B505" t="str">
        <f t="shared" si="59"/>
        <v>0x1F1</v>
      </c>
      <c r="C505">
        <f t="shared" si="63"/>
        <v>17</v>
      </c>
      <c r="D505" t="str">
        <f t="shared" si="60"/>
        <v>00011</v>
      </c>
    </row>
    <row r="506" spans="1:4" x14ac:dyDescent="0.25">
      <c r="A506">
        <f t="shared" si="61"/>
        <v>498</v>
      </c>
      <c r="B506" t="str">
        <f t="shared" si="59"/>
        <v>0x1F2</v>
      </c>
      <c r="C506">
        <f t="shared" si="63"/>
        <v>18</v>
      </c>
      <c r="D506" t="str">
        <f t="shared" si="60"/>
        <v>00012</v>
      </c>
    </row>
    <row r="507" spans="1:4" x14ac:dyDescent="0.25">
      <c r="A507">
        <f t="shared" si="61"/>
        <v>499</v>
      </c>
      <c r="B507" t="str">
        <f t="shared" si="59"/>
        <v>0x1F3</v>
      </c>
      <c r="C507">
        <f t="shared" si="63"/>
        <v>19</v>
      </c>
      <c r="D507" t="str">
        <f t="shared" si="60"/>
        <v>00013</v>
      </c>
    </row>
    <row r="508" spans="1:4" x14ac:dyDescent="0.25">
      <c r="A508">
        <f t="shared" si="61"/>
        <v>500</v>
      </c>
      <c r="B508" t="str">
        <f t="shared" si="59"/>
        <v>0x1F4</v>
      </c>
      <c r="C508">
        <f t="shared" si="63"/>
        <v>20</v>
      </c>
      <c r="D508" t="str">
        <f t="shared" si="60"/>
        <v>00014</v>
      </c>
    </row>
    <row r="509" spans="1:4" x14ac:dyDescent="0.25">
      <c r="A509">
        <f t="shared" si="61"/>
        <v>501</v>
      </c>
      <c r="B509" t="str">
        <f t="shared" si="59"/>
        <v>0x1F5</v>
      </c>
      <c r="C509">
        <f t="shared" si="63"/>
        <v>21</v>
      </c>
      <c r="D509" t="str">
        <f t="shared" si="60"/>
        <v>00015</v>
      </c>
    </row>
    <row r="510" spans="1:4" x14ac:dyDescent="0.25">
      <c r="A510">
        <f t="shared" si="61"/>
        <v>502</v>
      </c>
      <c r="B510" t="str">
        <f t="shared" si="59"/>
        <v>0x1F6</v>
      </c>
      <c r="C510">
        <f t="shared" si="63"/>
        <v>22</v>
      </c>
      <c r="D510" t="str">
        <f t="shared" si="60"/>
        <v>00016</v>
      </c>
    </row>
    <row r="511" spans="1:4" x14ac:dyDescent="0.25">
      <c r="A511">
        <f t="shared" si="61"/>
        <v>503</v>
      </c>
      <c r="B511" t="str">
        <f t="shared" si="59"/>
        <v>0x1F7</v>
      </c>
      <c r="C511">
        <f t="shared" si="63"/>
        <v>23</v>
      </c>
      <c r="D511" t="str">
        <f t="shared" si="60"/>
        <v>00017</v>
      </c>
    </row>
    <row r="512" spans="1:4" x14ac:dyDescent="0.25">
      <c r="A512">
        <f t="shared" si="61"/>
        <v>504</v>
      </c>
      <c r="B512" t="str">
        <f t="shared" si="59"/>
        <v>0x1F8</v>
      </c>
      <c r="C512">
        <f t="shared" si="63"/>
        <v>24</v>
      </c>
      <c r="D512" t="str">
        <f t="shared" si="60"/>
        <v>00018</v>
      </c>
    </row>
    <row r="513" spans="1:4" x14ac:dyDescent="0.25">
      <c r="A513">
        <f t="shared" si="61"/>
        <v>505</v>
      </c>
      <c r="B513" t="str">
        <f t="shared" si="59"/>
        <v>0x1F9</v>
      </c>
      <c r="C513">
        <f t="shared" si="63"/>
        <v>25</v>
      </c>
      <c r="D513" t="str">
        <f t="shared" si="60"/>
        <v>00019</v>
      </c>
    </row>
    <row r="514" spans="1:4" x14ac:dyDescent="0.25">
      <c r="A514">
        <f t="shared" si="61"/>
        <v>506</v>
      </c>
      <c r="B514" t="str">
        <f t="shared" si="59"/>
        <v>0x1FA</v>
      </c>
      <c r="C514">
        <f t="shared" si="63"/>
        <v>26</v>
      </c>
      <c r="D514" t="str">
        <f t="shared" si="60"/>
        <v>0001A</v>
      </c>
    </row>
    <row r="515" spans="1:4" x14ac:dyDescent="0.25">
      <c r="A515">
        <f t="shared" si="61"/>
        <v>507</v>
      </c>
      <c r="B515" t="str">
        <f t="shared" si="59"/>
        <v>0x1FB</v>
      </c>
      <c r="C515">
        <f t="shared" si="63"/>
        <v>27</v>
      </c>
      <c r="D515" t="str">
        <f t="shared" si="60"/>
        <v>0001B</v>
      </c>
    </row>
    <row r="516" spans="1:4" x14ac:dyDescent="0.25">
      <c r="A516">
        <f t="shared" si="61"/>
        <v>508</v>
      </c>
      <c r="B516" t="str">
        <f t="shared" si="59"/>
        <v>0x1FC</v>
      </c>
      <c r="C516">
        <f t="shared" si="63"/>
        <v>28</v>
      </c>
      <c r="D516" t="str">
        <f t="shared" si="60"/>
        <v>0001C</v>
      </c>
    </row>
    <row r="517" spans="1:4" x14ac:dyDescent="0.25">
      <c r="A517">
        <f t="shared" si="61"/>
        <v>509</v>
      </c>
      <c r="B517" t="str">
        <f t="shared" si="59"/>
        <v>0x1FD</v>
      </c>
      <c r="C517">
        <f t="shared" si="63"/>
        <v>29</v>
      </c>
      <c r="D517" t="str">
        <f t="shared" si="60"/>
        <v>0001D</v>
      </c>
    </row>
    <row r="518" spans="1:4" x14ac:dyDescent="0.25">
      <c r="A518">
        <f t="shared" si="61"/>
        <v>510</v>
      </c>
      <c r="B518" t="str">
        <f t="shared" si="59"/>
        <v>0x1FE</v>
      </c>
      <c r="C518">
        <f t="shared" si="63"/>
        <v>30</v>
      </c>
      <c r="D518" t="str">
        <f t="shared" si="60"/>
        <v>0001E</v>
      </c>
    </row>
    <row r="519" spans="1:4" x14ac:dyDescent="0.25">
      <c r="A519">
        <f t="shared" si="61"/>
        <v>511</v>
      </c>
      <c r="B519" t="str">
        <f t="shared" si="59"/>
        <v>0x1FF</v>
      </c>
      <c r="C519">
        <f t="shared" si="63"/>
        <v>31</v>
      </c>
      <c r="D519" t="str">
        <f t="shared" si="60"/>
        <v>0001F</v>
      </c>
    </row>
    <row r="520" spans="1:4" x14ac:dyDescent="0.25">
      <c r="A520">
        <f t="shared" si="61"/>
        <v>512</v>
      </c>
      <c r="B520" t="str">
        <f t="shared" si="59"/>
        <v>0x200</v>
      </c>
      <c r="C520">
        <v>0</v>
      </c>
      <c r="D520" t="str">
        <f t="shared" si="60"/>
        <v>00000</v>
      </c>
    </row>
    <row r="521" spans="1:4" x14ac:dyDescent="0.25">
      <c r="A521">
        <f t="shared" si="61"/>
        <v>513</v>
      </c>
      <c r="B521" t="str">
        <f t="shared" ref="B521:B584" si="64">CONCATENATE("0x",DEC2HEX(A521,3))</f>
        <v>0x201</v>
      </c>
      <c r="C521">
        <f>C520+1</f>
        <v>1</v>
      </c>
      <c r="D521" t="str">
        <f t="shared" ref="D521:D584" si="65">DEC2HEX(C521,5)</f>
        <v>00001</v>
      </c>
    </row>
    <row r="522" spans="1:4" x14ac:dyDescent="0.25">
      <c r="A522">
        <f t="shared" ref="A522:A585" si="66">A521+1</f>
        <v>514</v>
      </c>
      <c r="B522" t="str">
        <f t="shared" si="64"/>
        <v>0x202</v>
      </c>
      <c r="C522">
        <f t="shared" ref="C522:C551" si="67">C521+1</f>
        <v>2</v>
      </c>
      <c r="D522" t="str">
        <f t="shared" si="65"/>
        <v>00002</v>
      </c>
    </row>
    <row r="523" spans="1:4" x14ac:dyDescent="0.25">
      <c r="A523">
        <f t="shared" si="66"/>
        <v>515</v>
      </c>
      <c r="B523" t="str">
        <f t="shared" si="64"/>
        <v>0x203</v>
      </c>
      <c r="C523">
        <f t="shared" si="67"/>
        <v>3</v>
      </c>
      <c r="D523" t="str">
        <f t="shared" si="65"/>
        <v>00003</v>
      </c>
    </row>
    <row r="524" spans="1:4" x14ac:dyDescent="0.25">
      <c r="A524">
        <f t="shared" si="66"/>
        <v>516</v>
      </c>
      <c r="B524" t="str">
        <f t="shared" si="64"/>
        <v>0x204</v>
      </c>
      <c r="C524">
        <f t="shared" si="67"/>
        <v>4</v>
      </c>
      <c r="D524" t="str">
        <f t="shared" si="65"/>
        <v>00004</v>
      </c>
    </row>
    <row r="525" spans="1:4" x14ac:dyDescent="0.25">
      <c r="A525">
        <f t="shared" si="66"/>
        <v>517</v>
      </c>
      <c r="B525" t="str">
        <f t="shared" si="64"/>
        <v>0x205</v>
      </c>
      <c r="C525">
        <f t="shared" si="67"/>
        <v>5</v>
      </c>
      <c r="D525" t="str">
        <f t="shared" si="65"/>
        <v>00005</v>
      </c>
    </row>
    <row r="526" spans="1:4" x14ac:dyDescent="0.25">
      <c r="A526">
        <f t="shared" si="66"/>
        <v>518</v>
      </c>
      <c r="B526" t="str">
        <f t="shared" si="64"/>
        <v>0x206</v>
      </c>
      <c r="C526">
        <f t="shared" si="67"/>
        <v>6</v>
      </c>
      <c r="D526" t="str">
        <f t="shared" si="65"/>
        <v>00006</v>
      </c>
    </row>
    <row r="527" spans="1:4" x14ac:dyDescent="0.25">
      <c r="A527">
        <f t="shared" si="66"/>
        <v>519</v>
      </c>
      <c r="B527" t="str">
        <f t="shared" si="64"/>
        <v>0x207</v>
      </c>
      <c r="C527">
        <f t="shared" si="67"/>
        <v>7</v>
      </c>
      <c r="D527" t="str">
        <f t="shared" si="65"/>
        <v>00007</v>
      </c>
    </row>
    <row r="528" spans="1:4" x14ac:dyDescent="0.25">
      <c r="A528">
        <f t="shared" si="66"/>
        <v>520</v>
      </c>
      <c r="B528" t="str">
        <f t="shared" si="64"/>
        <v>0x208</v>
      </c>
      <c r="C528">
        <f t="shared" si="67"/>
        <v>8</v>
      </c>
      <c r="D528" t="str">
        <f t="shared" si="65"/>
        <v>00008</v>
      </c>
    </row>
    <row r="529" spans="1:4" x14ac:dyDescent="0.25">
      <c r="A529">
        <f t="shared" si="66"/>
        <v>521</v>
      </c>
      <c r="B529" t="str">
        <f t="shared" si="64"/>
        <v>0x209</v>
      </c>
      <c r="C529">
        <f t="shared" si="67"/>
        <v>9</v>
      </c>
      <c r="D529" t="str">
        <f t="shared" si="65"/>
        <v>00009</v>
      </c>
    </row>
    <row r="530" spans="1:4" x14ac:dyDescent="0.25">
      <c r="A530">
        <f t="shared" si="66"/>
        <v>522</v>
      </c>
      <c r="B530" t="str">
        <f t="shared" si="64"/>
        <v>0x20A</v>
      </c>
      <c r="C530">
        <f t="shared" si="67"/>
        <v>10</v>
      </c>
      <c r="D530" t="str">
        <f t="shared" si="65"/>
        <v>0000A</v>
      </c>
    </row>
    <row r="531" spans="1:4" x14ac:dyDescent="0.25">
      <c r="A531">
        <f t="shared" si="66"/>
        <v>523</v>
      </c>
      <c r="B531" t="str">
        <f t="shared" si="64"/>
        <v>0x20B</v>
      </c>
      <c r="C531">
        <f t="shared" si="67"/>
        <v>11</v>
      </c>
      <c r="D531" t="str">
        <f t="shared" si="65"/>
        <v>0000B</v>
      </c>
    </row>
    <row r="532" spans="1:4" x14ac:dyDescent="0.25">
      <c r="A532">
        <f t="shared" si="66"/>
        <v>524</v>
      </c>
      <c r="B532" t="str">
        <f t="shared" si="64"/>
        <v>0x20C</v>
      </c>
      <c r="C532">
        <f t="shared" si="67"/>
        <v>12</v>
      </c>
      <c r="D532" t="str">
        <f t="shared" si="65"/>
        <v>0000C</v>
      </c>
    </row>
    <row r="533" spans="1:4" x14ac:dyDescent="0.25">
      <c r="A533">
        <f t="shared" si="66"/>
        <v>525</v>
      </c>
      <c r="B533" t="str">
        <f t="shared" si="64"/>
        <v>0x20D</v>
      </c>
      <c r="C533">
        <f t="shared" si="67"/>
        <v>13</v>
      </c>
      <c r="D533" t="str">
        <f t="shared" si="65"/>
        <v>0000D</v>
      </c>
    </row>
    <row r="534" spans="1:4" x14ac:dyDescent="0.25">
      <c r="A534">
        <f t="shared" si="66"/>
        <v>526</v>
      </c>
      <c r="B534" t="str">
        <f t="shared" si="64"/>
        <v>0x20E</v>
      </c>
      <c r="C534">
        <f t="shared" si="67"/>
        <v>14</v>
      </c>
      <c r="D534" t="str">
        <f t="shared" si="65"/>
        <v>0000E</v>
      </c>
    </row>
    <row r="535" spans="1:4" x14ac:dyDescent="0.25">
      <c r="A535">
        <f t="shared" si="66"/>
        <v>527</v>
      </c>
      <c r="B535" t="str">
        <f t="shared" si="64"/>
        <v>0x20F</v>
      </c>
      <c r="C535">
        <f t="shared" si="67"/>
        <v>15</v>
      </c>
      <c r="D535" t="str">
        <f t="shared" si="65"/>
        <v>0000F</v>
      </c>
    </row>
    <row r="536" spans="1:4" x14ac:dyDescent="0.25">
      <c r="A536">
        <f t="shared" si="66"/>
        <v>528</v>
      </c>
      <c r="B536" t="str">
        <f t="shared" si="64"/>
        <v>0x210</v>
      </c>
      <c r="C536">
        <f t="shared" si="67"/>
        <v>16</v>
      </c>
      <c r="D536" t="str">
        <f t="shared" si="65"/>
        <v>00010</v>
      </c>
    </row>
    <row r="537" spans="1:4" x14ac:dyDescent="0.25">
      <c r="A537">
        <f t="shared" si="66"/>
        <v>529</v>
      </c>
      <c r="B537" t="str">
        <f t="shared" si="64"/>
        <v>0x211</v>
      </c>
      <c r="C537">
        <f t="shared" si="67"/>
        <v>17</v>
      </c>
      <c r="D537" t="str">
        <f t="shared" si="65"/>
        <v>00011</v>
      </c>
    </row>
    <row r="538" spans="1:4" x14ac:dyDescent="0.25">
      <c r="A538">
        <f t="shared" si="66"/>
        <v>530</v>
      </c>
      <c r="B538" t="str">
        <f t="shared" si="64"/>
        <v>0x212</v>
      </c>
      <c r="C538">
        <f t="shared" si="67"/>
        <v>18</v>
      </c>
      <c r="D538" t="str">
        <f t="shared" si="65"/>
        <v>00012</v>
      </c>
    </row>
    <row r="539" spans="1:4" x14ac:dyDescent="0.25">
      <c r="A539">
        <f t="shared" si="66"/>
        <v>531</v>
      </c>
      <c r="B539" t="str">
        <f t="shared" si="64"/>
        <v>0x213</v>
      </c>
      <c r="C539">
        <f t="shared" si="67"/>
        <v>19</v>
      </c>
      <c r="D539" t="str">
        <f t="shared" si="65"/>
        <v>00013</v>
      </c>
    </row>
    <row r="540" spans="1:4" x14ac:dyDescent="0.25">
      <c r="A540">
        <f t="shared" si="66"/>
        <v>532</v>
      </c>
      <c r="B540" t="str">
        <f t="shared" si="64"/>
        <v>0x214</v>
      </c>
      <c r="C540">
        <f t="shared" si="67"/>
        <v>20</v>
      </c>
      <c r="D540" t="str">
        <f t="shared" si="65"/>
        <v>00014</v>
      </c>
    </row>
    <row r="541" spans="1:4" x14ac:dyDescent="0.25">
      <c r="A541">
        <f t="shared" si="66"/>
        <v>533</v>
      </c>
      <c r="B541" t="str">
        <f t="shared" si="64"/>
        <v>0x215</v>
      </c>
      <c r="C541">
        <f t="shared" si="67"/>
        <v>21</v>
      </c>
      <c r="D541" t="str">
        <f t="shared" si="65"/>
        <v>00015</v>
      </c>
    </row>
    <row r="542" spans="1:4" x14ac:dyDescent="0.25">
      <c r="A542">
        <f t="shared" si="66"/>
        <v>534</v>
      </c>
      <c r="B542" t="str">
        <f t="shared" si="64"/>
        <v>0x216</v>
      </c>
      <c r="C542">
        <f t="shared" si="67"/>
        <v>22</v>
      </c>
      <c r="D542" t="str">
        <f t="shared" si="65"/>
        <v>00016</v>
      </c>
    </row>
    <row r="543" spans="1:4" x14ac:dyDescent="0.25">
      <c r="A543">
        <f t="shared" si="66"/>
        <v>535</v>
      </c>
      <c r="B543" t="str">
        <f t="shared" si="64"/>
        <v>0x217</v>
      </c>
      <c r="C543">
        <f t="shared" si="67"/>
        <v>23</v>
      </c>
      <c r="D543" t="str">
        <f t="shared" si="65"/>
        <v>00017</v>
      </c>
    </row>
    <row r="544" spans="1:4" x14ac:dyDescent="0.25">
      <c r="A544">
        <f t="shared" si="66"/>
        <v>536</v>
      </c>
      <c r="B544" t="str">
        <f t="shared" si="64"/>
        <v>0x218</v>
      </c>
      <c r="C544">
        <f t="shared" si="67"/>
        <v>24</v>
      </c>
      <c r="D544" t="str">
        <f t="shared" si="65"/>
        <v>00018</v>
      </c>
    </row>
    <row r="545" spans="1:4" x14ac:dyDescent="0.25">
      <c r="A545">
        <f t="shared" si="66"/>
        <v>537</v>
      </c>
      <c r="B545" t="str">
        <f t="shared" si="64"/>
        <v>0x219</v>
      </c>
      <c r="C545">
        <f t="shared" si="67"/>
        <v>25</v>
      </c>
      <c r="D545" t="str">
        <f t="shared" si="65"/>
        <v>00019</v>
      </c>
    </row>
    <row r="546" spans="1:4" x14ac:dyDescent="0.25">
      <c r="A546">
        <f t="shared" si="66"/>
        <v>538</v>
      </c>
      <c r="B546" t="str">
        <f t="shared" si="64"/>
        <v>0x21A</v>
      </c>
      <c r="C546">
        <f t="shared" si="67"/>
        <v>26</v>
      </c>
      <c r="D546" t="str">
        <f t="shared" si="65"/>
        <v>0001A</v>
      </c>
    </row>
    <row r="547" spans="1:4" x14ac:dyDescent="0.25">
      <c r="A547">
        <f t="shared" si="66"/>
        <v>539</v>
      </c>
      <c r="B547" t="str">
        <f t="shared" si="64"/>
        <v>0x21B</v>
      </c>
      <c r="C547">
        <f t="shared" si="67"/>
        <v>27</v>
      </c>
      <c r="D547" t="str">
        <f t="shared" si="65"/>
        <v>0001B</v>
      </c>
    </row>
    <row r="548" spans="1:4" x14ac:dyDescent="0.25">
      <c r="A548">
        <f t="shared" si="66"/>
        <v>540</v>
      </c>
      <c r="B548" t="str">
        <f t="shared" si="64"/>
        <v>0x21C</v>
      </c>
      <c r="C548">
        <f t="shared" si="67"/>
        <v>28</v>
      </c>
      <c r="D548" t="str">
        <f t="shared" si="65"/>
        <v>0001C</v>
      </c>
    </row>
    <row r="549" spans="1:4" x14ac:dyDescent="0.25">
      <c r="A549">
        <f t="shared" si="66"/>
        <v>541</v>
      </c>
      <c r="B549" t="str">
        <f t="shared" si="64"/>
        <v>0x21D</v>
      </c>
      <c r="C549">
        <f t="shared" si="67"/>
        <v>29</v>
      </c>
      <c r="D549" t="str">
        <f t="shared" si="65"/>
        <v>0001D</v>
      </c>
    </row>
    <row r="550" spans="1:4" x14ac:dyDescent="0.25">
      <c r="A550">
        <f t="shared" si="66"/>
        <v>542</v>
      </c>
      <c r="B550" t="str">
        <f t="shared" si="64"/>
        <v>0x21E</v>
      </c>
      <c r="C550">
        <f t="shared" si="67"/>
        <v>30</v>
      </c>
      <c r="D550" t="str">
        <f t="shared" si="65"/>
        <v>0001E</v>
      </c>
    </row>
    <row r="551" spans="1:4" x14ac:dyDescent="0.25">
      <c r="A551">
        <f t="shared" si="66"/>
        <v>543</v>
      </c>
      <c r="B551" t="str">
        <f t="shared" si="64"/>
        <v>0x21F</v>
      </c>
      <c r="C551">
        <f t="shared" si="67"/>
        <v>31</v>
      </c>
      <c r="D551" t="str">
        <f t="shared" si="65"/>
        <v>0001F</v>
      </c>
    </row>
    <row r="552" spans="1:4" x14ac:dyDescent="0.25">
      <c r="A552">
        <f t="shared" si="66"/>
        <v>544</v>
      </c>
      <c r="B552" t="str">
        <f t="shared" si="64"/>
        <v>0x220</v>
      </c>
      <c r="C552">
        <v>0</v>
      </c>
      <c r="D552" t="str">
        <f t="shared" si="65"/>
        <v>00000</v>
      </c>
    </row>
    <row r="553" spans="1:4" x14ac:dyDescent="0.25">
      <c r="A553">
        <f t="shared" si="66"/>
        <v>545</v>
      </c>
      <c r="B553" t="str">
        <f t="shared" si="64"/>
        <v>0x221</v>
      </c>
      <c r="C553">
        <f>C552+1</f>
        <v>1</v>
      </c>
      <c r="D553" t="str">
        <f t="shared" si="65"/>
        <v>00001</v>
      </c>
    </row>
    <row r="554" spans="1:4" x14ac:dyDescent="0.25">
      <c r="A554">
        <f t="shared" si="66"/>
        <v>546</v>
      </c>
      <c r="B554" t="str">
        <f t="shared" si="64"/>
        <v>0x222</v>
      </c>
      <c r="C554">
        <f t="shared" ref="C554:C583" si="68">C553+1</f>
        <v>2</v>
      </c>
      <c r="D554" t="str">
        <f t="shared" si="65"/>
        <v>00002</v>
      </c>
    </row>
    <row r="555" spans="1:4" x14ac:dyDescent="0.25">
      <c r="A555">
        <f t="shared" si="66"/>
        <v>547</v>
      </c>
      <c r="B555" t="str">
        <f t="shared" si="64"/>
        <v>0x223</v>
      </c>
      <c r="C555">
        <f t="shared" si="68"/>
        <v>3</v>
      </c>
      <c r="D555" t="str">
        <f t="shared" si="65"/>
        <v>00003</v>
      </c>
    </row>
    <row r="556" spans="1:4" x14ac:dyDescent="0.25">
      <c r="A556">
        <f t="shared" si="66"/>
        <v>548</v>
      </c>
      <c r="B556" t="str">
        <f t="shared" si="64"/>
        <v>0x224</v>
      </c>
      <c r="C556">
        <f t="shared" si="68"/>
        <v>4</v>
      </c>
      <c r="D556" t="str">
        <f t="shared" si="65"/>
        <v>00004</v>
      </c>
    </row>
    <row r="557" spans="1:4" x14ac:dyDescent="0.25">
      <c r="A557">
        <f t="shared" si="66"/>
        <v>549</v>
      </c>
      <c r="B557" t="str">
        <f t="shared" si="64"/>
        <v>0x225</v>
      </c>
      <c r="C557">
        <f t="shared" si="68"/>
        <v>5</v>
      </c>
      <c r="D557" t="str">
        <f t="shared" si="65"/>
        <v>00005</v>
      </c>
    </row>
    <row r="558" spans="1:4" x14ac:dyDescent="0.25">
      <c r="A558">
        <f t="shared" si="66"/>
        <v>550</v>
      </c>
      <c r="B558" t="str">
        <f t="shared" si="64"/>
        <v>0x226</v>
      </c>
      <c r="C558">
        <f t="shared" si="68"/>
        <v>6</v>
      </c>
      <c r="D558" t="str">
        <f t="shared" si="65"/>
        <v>00006</v>
      </c>
    </row>
    <row r="559" spans="1:4" x14ac:dyDescent="0.25">
      <c r="A559">
        <f t="shared" si="66"/>
        <v>551</v>
      </c>
      <c r="B559" t="str">
        <f t="shared" si="64"/>
        <v>0x227</v>
      </c>
      <c r="C559">
        <f t="shared" si="68"/>
        <v>7</v>
      </c>
      <c r="D559" t="str">
        <f t="shared" si="65"/>
        <v>00007</v>
      </c>
    </row>
    <row r="560" spans="1:4" x14ac:dyDescent="0.25">
      <c r="A560">
        <f t="shared" si="66"/>
        <v>552</v>
      </c>
      <c r="B560" t="str">
        <f t="shared" si="64"/>
        <v>0x228</v>
      </c>
      <c r="C560">
        <f t="shared" si="68"/>
        <v>8</v>
      </c>
      <c r="D560" t="str">
        <f t="shared" si="65"/>
        <v>00008</v>
      </c>
    </row>
    <row r="561" spans="1:4" x14ac:dyDescent="0.25">
      <c r="A561">
        <f t="shared" si="66"/>
        <v>553</v>
      </c>
      <c r="B561" t="str">
        <f t="shared" si="64"/>
        <v>0x229</v>
      </c>
      <c r="C561">
        <f t="shared" si="68"/>
        <v>9</v>
      </c>
      <c r="D561" t="str">
        <f t="shared" si="65"/>
        <v>00009</v>
      </c>
    </row>
    <row r="562" spans="1:4" x14ac:dyDescent="0.25">
      <c r="A562">
        <f t="shared" si="66"/>
        <v>554</v>
      </c>
      <c r="B562" t="str">
        <f t="shared" si="64"/>
        <v>0x22A</v>
      </c>
      <c r="C562">
        <f t="shared" si="68"/>
        <v>10</v>
      </c>
      <c r="D562" t="str">
        <f t="shared" si="65"/>
        <v>0000A</v>
      </c>
    </row>
    <row r="563" spans="1:4" x14ac:dyDescent="0.25">
      <c r="A563">
        <f t="shared" si="66"/>
        <v>555</v>
      </c>
      <c r="B563" t="str">
        <f t="shared" si="64"/>
        <v>0x22B</v>
      </c>
      <c r="C563">
        <f t="shared" si="68"/>
        <v>11</v>
      </c>
      <c r="D563" t="str">
        <f t="shared" si="65"/>
        <v>0000B</v>
      </c>
    </row>
    <row r="564" spans="1:4" x14ac:dyDescent="0.25">
      <c r="A564">
        <f t="shared" si="66"/>
        <v>556</v>
      </c>
      <c r="B564" t="str">
        <f t="shared" si="64"/>
        <v>0x22C</v>
      </c>
      <c r="C564">
        <f t="shared" si="68"/>
        <v>12</v>
      </c>
      <c r="D564" t="str">
        <f t="shared" si="65"/>
        <v>0000C</v>
      </c>
    </row>
    <row r="565" spans="1:4" x14ac:dyDescent="0.25">
      <c r="A565">
        <f t="shared" si="66"/>
        <v>557</v>
      </c>
      <c r="B565" t="str">
        <f t="shared" si="64"/>
        <v>0x22D</v>
      </c>
      <c r="C565">
        <f t="shared" si="68"/>
        <v>13</v>
      </c>
      <c r="D565" t="str">
        <f t="shared" si="65"/>
        <v>0000D</v>
      </c>
    </row>
    <row r="566" spans="1:4" x14ac:dyDescent="0.25">
      <c r="A566">
        <f t="shared" si="66"/>
        <v>558</v>
      </c>
      <c r="B566" t="str">
        <f t="shared" si="64"/>
        <v>0x22E</v>
      </c>
      <c r="C566">
        <f t="shared" si="68"/>
        <v>14</v>
      </c>
      <c r="D566" t="str">
        <f t="shared" si="65"/>
        <v>0000E</v>
      </c>
    </row>
    <row r="567" spans="1:4" x14ac:dyDescent="0.25">
      <c r="A567">
        <f t="shared" si="66"/>
        <v>559</v>
      </c>
      <c r="B567" t="str">
        <f t="shared" si="64"/>
        <v>0x22F</v>
      </c>
      <c r="C567">
        <f t="shared" si="68"/>
        <v>15</v>
      </c>
      <c r="D567" t="str">
        <f t="shared" si="65"/>
        <v>0000F</v>
      </c>
    </row>
    <row r="568" spans="1:4" x14ac:dyDescent="0.25">
      <c r="A568">
        <f t="shared" si="66"/>
        <v>560</v>
      </c>
      <c r="B568" t="str">
        <f t="shared" si="64"/>
        <v>0x230</v>
      </c>
      <c r="C568">
        <f t="shared" si="68"/>
        <v>16</v>
      </c>
      <c r="D568" t="str">
        <f t="shared" si="65"/>
        <v>00010</v>
      </c>
    </row>
    <row r="569" spans="1:4" x14ac:dyDescent="0.25">
      <c r="A569">
        <f t="shared" si="66"/>
        <v>561</v>
      </c>
      <c r="B569" t="str">
        <f t="shared" si="64"/>
        <v>0x231</v>
      </c>
      <c r="C569">
        <f t="shared" si="68"/>
        <v>17</v>
      </c>
      <c r="D569" t="str">
        <f t="shared" si="65"/>
        <v>00011</v>
      </c>
    </row>
    <row r="570" spans="1:4" x14ac:dyDescent="0.25">
      <c r="A570">
        <f t="shared" si="66"/>
        <v>562</v>
      </c>
      <c r="B570" t="str">
        <f t="shared" si="64"/>
        <v>0x232</v>
      </c>
      <c r="C570">
        <f t="shared" si="68"/>
        <v>18</v>
      </c>
      <c r="D570" t="str">
        <f t="shared" si="65"/>
        <v>00012</v>
      </c>
    </row>
    <row r="571" spans="1:4" x14ac:dyDescent="0.25">
      <c r="A571">
        <f t="shared" si="66"/>
        <v>563</v>
      </c>
      <c r="B571" t="str">
        <f t="shared" si="64"/>
        <v>0x233</v>
      </c>
      <c r="C571">
        <f t="shared" si="68"/>
        <v>19</v>
      </c>
      <c r="D571" t="str">
        <f t="shared" si="65"/>
        <v>00013</v>
      </c>
    </row>
    <row r="572" spans="1:4" x14ac:dyDescent="0.25">
      <c r="A572">
        <f t="shared" si="66"/>
        <v>564</v>
      </c>
      <c r="B572" t="str">
        <f t="shared" si="64"/>
        <v>0x234</v>
      </c>
      <c r="C572">
        <f t="shared" si="68"/>
        <v>20</v>
      </c>
      <c r="D572" t="str">
        <f t="shared" si="65"/>
        <v>00014</v>
      </c>
    </row>
    <row r="573" spans="1:4" x14ac:dyDescent="0.25">
      <c r="A573">
        <f t="shared" si="66"/>
        <v>565</v>
      </c>
      <c r="B573" t="str">
        <f t="shared" si="64"/>
        <v>0x235</v>
      </c>
      <c r="C573">
        <f t="shared" si="68"/>
        <v>21</v>
      </c>
      <c r="D573" t="str">
        <f t="shared" si="65"/>
        <v>00015</v>
      </c>
    </row>
    <row r="574" spans="1:4" x14ac:dyDescent="0.25">
      <c r="A574">
        <f t="shared" si="66"/>
        <v>566</v>
      </c>
      <c r="B574" t="str">
        <f t="shared" si="64"/>
        <v>0x236</v>
      </c>
      <c r="C574">
        <f t="shared" si="68"/>
        <v>22</v>
      </c>
      <c r="D574" t="str">
        <f t="shared" si="65"/>
        <v>00016</v>
      </c>
    </row>
    <row r="575" spans="1:4" x14ac:dyDescent="0.25">
      <c r="A575">
        <f t="shared" si="66"/>
        <v>567</v>
      </c>
      <c r="B575" t="str">
        <f t="shared" si="64"/>
        <v>0x237</v>
      </c>
      <c r="C575">
        <f t="shared" si="68"/>
        <v>23</v>
      </c>
      <c r="D575" t="str">
        <f t="shared" si="65"/>
        <v>00017</v>
      </c>
    </row>
    <row r="576" spans="1:4" x14ac:dyDescent="0.25">
      <c r="A576">
        <f t="shared" si="66"/>
        <v>568</v>
      </c>
      <c r="B576" t="str">
        <f t="shared" si="64"/>
        <v>0x238</v>
      </c>
      <c r="C576">
        <f t="shared" si="68"/>
        <v>24</v>
      </c>
      <c r="D576" t="str">
        <f t="shared" si="65"/>
        <v>00018</v>
      </c>
    </row>
    <row r="577" spans="1:4" x14ac:dyDescent="0.25">
      <c r="A577">
        <f t="shared" si="66"/>
        <v>569</v>
      </c>
      <c r="B577" t="str">
        <f t="shared" si="64"/>
        <v>0x239</v>
      </c>
      <c r="C577">
        <f t="shared" si="68"/>
        <v>25</v>
      </c>
      <c r="D577" t="str">
        <f t="shared" si="65"/>
        <v>00019</v>
      </c>
    </row>
    <row r="578" spans="1:4" x14ac:dyDescent="0.25">
      <c r="A578">
        <f t="shared" si="66"/>
        <v>570</v>
      </c>
      <c r="B578" t="str">
        <f t="shared" si="64"/>
        <v>0x23A</v>
      </c>
      <c r="C578">
        <f t="shared" si="68"/>
        <v>26</v>
      </c>
      <c r="D578" t="str">
        <f t="shared" si="65"/>
        <v>0001A</v>
      </c>
    </row>
    <row r="579" spans="1:4" x14ac:dyDescent="0.25">
      <c r="A579">
        <f t="shared" si="66"/>
        <v>571</v>
      </c>
      <c r="B579" t="str">
        <f t="shared" si="64"/>
        <v>0x23B</v>
      </c>
      <c r="C579">
        <f t="shared" si="68"/>
        <v>27</v>
      </c>
      <c r="D579" t="str">
        <f t="shared" si="65"/>
        <v>0001B</v>
      </c>
    </row>
    <row r="580" spans="1:4" x14ac:dyDescent="0.25">
      <c r="A580">
        <f t="shared" si="66"/>
        <v>572</v>
      </c>
      <c r="B580" t="str">
        <f t="shared" si="64"/>
        <v>0x23C</v>
      </c>
      <c r="C580">
        <f t="shared" si="68"/>
        <v>28</v>
      </c>
      <c r="D580" t="str">
        <f t="shared" si="65"/>
        <v>0001C</v>
      </c>
    </row>
    <row r="581" spans="1:4" x14ac:dyDescent="0.25">
      <c r="A581">
        <f t="shared" si="66"/>
        <v>573</v>
      </c>
      <c r="B581" t="str">
        <f t="shared" si="64"/>
        <v>0x23D</v>
      </c>
      <c r="C581">
        <f t="shared" si="68"/>
        <v>29</v>
      </c>
      <c r="D581" t="str">
        <f t="shared" si="65"/>
        <v>0001D</v>
      </c>
    </row>
    <row r="582" spans="1:4" x14ac:dyDescent="0.25">
      <c r="A582">
        <f t="shared" si="66"/>
        <v>574</v>
      </c>
      <c r="B582" t="str">
        <f t="shared" si="64"/>
        <v>0x23E</v>
      </c>
      <c r="C582">
        <f t="shared" si="68"/>
        <v>30</v>
      </c>
      <c r="D582" t="str">
        <f t="shared" si="65"/>
        <v>0001E</v>
      </c>
    </row>
    <row r="583" spans="1:4" x14ac:dyDescent="0.25">
      <c r="A583">
        <f t="shared" si="66"/>
        <v>575</v>
      </c>
      <c r="B583" t="str">
        <f t="shared" si="64"/>
        <v>0x23F</v>
      </c>
      <c r="C583">
        <f t="shared" si="68"/>
        <v>31</v>
      </c>
      <c r="D583" t="str">
        <f t="shared" si="65"/>
        <v>0001F</v>
      </c>
    </row>
    <row r="584" spans="1:4" x14ac:dyDescent="0.25">
      <c r="A584">
        <f t="shared" si="66"/>
        <v>576</v>
      </c>
      <c r="B584" t="str">
        <f t="shared" si="64"/>
        <v>0x240</v>
      </c>
      <c r="C584">
        <v>0</v>
      </c>
      <c r="D584" t="str">
        <f t="shared" si="65"/>
        <v>00000</v>
      </c>
    </row>
    <row r="585" spans="1:4" x14ac:dyDescent="0.25">
      <c r="A585">
        <f t="shared" si="66"/>
        <v>577</v>
      </c>
      <c r="B585" t="str">
        <f t="shared" ref="B585:B648" si="69">CONCATENATE("0x",DEC2HEX(A585,3))</f>
        <v>0x241</v>
      </c>
      <c r="C585">
        <f>C584+1</f>
        <v>1</v>
      </c>
      <c r="D585" t="str">
        <f t="shared" ref="D585:D648" si="70">DEC2HEX(C585,5)</f>
        <v>00001</v>
      </c>
    </row>
    <row r="586" spans="1:4" x14ac:dyDescent="0.25">
      <c r="A586">
        <f t="shared" ref="A586:A649" si="71">A585+1</f>
        <v>578</v>
      </c>
      <c r="B586" t="str">
        <f t="shared" si="69"/>
        <v>0x242</v>
      </c>
      <c r="C586">
        <f t="shared" ref="C586:C615" si="72">C585+1</f>
        <v>2</v>
      </c>
      <c r="D586" t="str">
        <f t="shared" si="70"/>
        <v>00002</v>
      </c>
    </row>
    <row r="587" spans="1:4" x14ac:dyDescent="0.25">
      <c r="A587">
        <f t="shared" si="71"/>
        <v>579</v>
      </c>
      <c r="B587" t="str">
        <f t="shared" si="69"/>
        <v>0x243</v>
      </c>
      <c r="C587">
        <f t="shared" si="72"/>
        <v>3</v>
      </c>
      <c r="D587" t="str">
        <f t="shared" si="70"/>
        <v>00003</v>
      </c>
    </row>
    <row r="588" spans="1:4" x14ac:dyDescent="0.25">
      <c r="A588">
        <f t="shared" si="71"/>
        <v>580</v>
      </c>
      <c r="B588" t="str">
        <f t="shared" si="69"/>
        <v>0x244</v>
      </c>
      <c r="C588">
        <f t="shared" si="72"/>
        <v>4</v>
      </c>
      <c r="D588" t="str">
        <f t="shared" si="70"/>
        <v>00004</v>
      </c>
    </row>
    <row r="589" spans="1:4" x14ac:dyDescent="0.25">
      <c r="A589">
        <f t="shared" si="71"/>
        <v>581</v>
      </c>
      <c r="B589" t="str">
        <f t="shared" si="69"/>
        <v>0x245</v>
      </c>
      <c r="C589">
        <f t="shared" si="72"/>
        <v>5</v>
      </c>
      <c r="D589" t="str">
        <f t="shared" si="70"/>
        <v>00005</v>
      </c>
    </row>
    <row r="590" spans="1:4" x14ac:dyDescent="0.25">
      <c r="A590">
        <f t="shared" si="71"/>
        <v>582</v>
      </c>
      <c r="B590" t="str">
        <f t="shared" si="69"/>
        <v>0x246</v>
      </c>
      <c r="C590">
        <f t="shared" si="72"/>
        <v>6</v>
      </c>
      <c r="D590" t="str">
        <f t="shared" si="70"/>
        <v>00006</v>
      </c>
    </row>
    <row r="591" spans="1:4" x14ac:dyDescent="0.25">
      <c r="A591">
        <f t="shared" si="71"/>
        <v>583</v>
      </c>
      <c r="B591" t="str">
        <f t="shared" si="69"/>
        <v>0x247</v>
      </c>
      <c r="C591">
        <f t="shared" si="72"/>
        <v>7</v>
      </c>
      <c r="D591" t="str">
        <f t="shared" si="70"/>
        <v>00007</v>
      </c>
    </row>
    <row r="592" spans="1:4" x14ac:dyDescent="0.25">
      <c r="A592">
        <f t="shared" si="71"/>
        <v>584</v>
      </c>
      <c r="B592" t="str">
        <f t="shared" si="69"/>
        <v>0x248</v>
      </c>
      <c r="C592">
        <f t="shared" si="72"/>
        <v>8</v>
      </c>
      <c r="D592" t="str">
        <f t="shared" si="70"/>
        <v>00008</v>
      </c>
    </row>
    <row r="593" spans="1:4" x14ac:dyDescent="0.25">
      <c r="A593">
        <f t="shared" si="71"/>
        <v>585</v>
      </c>
      <c r="B593" t="str">
        <f t="shared" si="69"/>
        <v>0x249</v>
      </c>
      <c r="C593">
        <f t="shared" si="72"/>
        <v>9</v>
      </c>
      <c r="D593" t="str">
        <f t="shared" si="70"/>
        <v>00009</v>
      </c>
    </row>
    <row r="594" spans="1:4" x14ac:dyDescent="0.25">
      <c r="A594">
        <f t="shared" si="71"/>
        <v>586</v>
      </c>
      <c r="B594" t="str">
        <f t="shared" si="69"/>
        <v>0x24A</v>
      </c>
      <c r="C594">
        <f t="shared" si="72"/>
        <v>10</v>
      </c>
      <c r="D594" t="str">
        <f t="shared" si="70"/>
        <v>0000A</v>
      </c>
    </row>
    <row r="595" spans="1:4" x14ac:dyDescent="0.25">
      <c r="A595">
        <f t="shared" si="71"/>
        <v>587</v>
      </c>
      <c r="B595" t="str">
        <f t="shared" si="69"/>
        <v>0x24B</v>
      </c>
      <c r="C595">
        <f t="shared" si="72"/>
        <v>11</v>
      </c>
      <c r="D595" t="str">
        <f t="shared" si="70"/>
        <v>0000B</v>
      </c>
    </row>
    <row r="596" spans="1:4" x14ac:dyDescent="0.25">
      <c r="A596">
        <f t="shared" si="71"/>
        <v>588</v>
      </c>
      <c r="B596" t="str">
        <f t="shared" si="69"/>
        <v>0x24C</v>
      </c>
      <c r="C596">
        <f t="shared" si="72"/>
        <v>12</v>
      </c>
      <c r="D596" t="str">
        <f t="shared" si="70"/>
        <v>0000C</v>
      </c>
    </row>
    <row r="597" spans="1:4" x14ac:dyDescent="0.25">
      <c r="A597">
        <f t="shared" si="71"/>
        <v>589</v>
      </c>
      <c r="B597" t="str">
        <f t="shared" si="69"/>
        <v>0x24D</v>
      </c>
      <c r="C597">
        <f t="shared" si="72"/>
        <v>13</v>
      </c>
      <c r="D597" t="str">
        <f t="shared" si="70"/>
        <v>0000D</v>
      </c>
    </row>
    <row r="598" spans="1:4" x14ac:dyDescent="0.25">
      <c r="A598">
        <f t="shared" si="71"/>
        <v>590</v>
      </c>
      <c r="B598" t="str">
        <f t="shared" si="69"/>
        <v>0x24E</v>
      </c>
      <c r="C598">
        <f t="shared" si="72"/>
        <v>14</v>
      </c>
      <c r="D598" t="str">
        <f t="shared" si="70"/>
        <v>0000E</v>
      </c>
    </row>
    <row r="599" spans="1:4" x14ac:dyDescent="0.25">
      <c r="A599">
        <f t="shared" si="71"/>
        <v>591</v>
      </c>
      <c r="B599" t="str">
        <f t="shared" si="69"/>
        <v>0x24F</v>
      </c>
      <c r="C599">
        <f t="shared" si="72"/>
        <v>15</v>
      </c>
      <c r="D599" t="str">
        <f t="shared" si="70"/>
        <v>0000F</v>
      </c>
    </row>
    <row r="600" spans="1:4" x14ac:dyDescent="0.25">
      <c r="A600">
        <f t="shared" si="71"/>
        <v>592</v>
      </c>
      <c r="B600" t="str">
        <f t="shared" si="69"/>
        <v>0x250</v>
      </c>
      <c r="C600">
        <f t="shared" si="72"/>
        <v>16</v>
      </c>
      <c r="D600" t="str">
        <f t="shared" si="70"/>
        <v>00010</v>
      </c>
    </row>
    <row r="601" spans="1:4" x14ac:dyDescent="0.25">
      <c r="A601">
        <f t="shared" si="71"/>
        <v>593</v>
      </c>
      <c r="B601" t="str">
        <f t="shared" si="69"/>
        <v>0x251</v>
      </c>
      <c r="C601">
        <f t="shared" si="72"/>
        <v>17</v>
      </c>
      <c r="D601" t="str">
        <f t="shared" si="70"/>
        <v>00011</v>
      </c>
    </row>
    <row r="602" spans="1:4" x14ac:dyDescent="0.25">
      <c r="A602">
        <f t="shared" si="71"/>
        <v>594</v>
      </c>
      <c r="B602" t="str">
        <f t="shared" si="69"/>
        <v>0x252</v>
      </c>
      <c r="C602">
        <f t="shared" si="72"/>
        <v>18</v>
      </c>
      <c r="D602" t="str">
        <f t="shared" si="70"/>
        <v>00012</v>
      </c>
    </row>
    <row r="603" spans="1:4" x14ac:dyDescent="0.25">
      <c r="A603">
        <f t="shared" si="71"/>
        <v>595</v>
      </c>
      <c r="B603" t="str">
        <f t="shared" si="69"/>
        <v>0x253</v>
      </c>
      <c r="C603">
        <f t="shared" si="72"/>
        <v>19</v>
      </c>
      <c r="D603" t="str">
        <f t="shared" si="70"/>
        <v>00013</v>
      </c>
    </row>
    <row r="604" spans="1:4" x14ac:dyDescent="0.25">
      <c r="A604">
        <f t="shared" si="71"/>
        <v>596</v>
      </c>
      <c r="B604" t="str">
        <f t="shared" si="69"/>
        <v>0x254</v>
      </c>
      <c r="C604">
        <f t="shared" si="72"/>
        <v>20</v>
      </c>
      <c r="D604" t="str">
        <f t="shared" si="70"/>
        <v>00014</v>
      </c>
    </row>
    <row r="605" spans="1:4" x14ac:dyDescent="0.25">
      <c r="A605">
        <f t="shared" si="71"/>
        <v>597</v>
      </c>
      <c r="B605" t="str">
        <f t="shared" si="69"/>
        <v>0x255</v>
      </c>
      <c r="C605">
        <f t="shared" si="72"/>
        <v>21</v>
      </c>
      <c r="D605" t="str">
        <f t="shared" si="70"/>
        <v>00015</v>
      </c>
    </row>
    <row r="606" spans="1:4" x14ac:dyDescent="0.25">
      <c r="A606">
        <f t="shared" si="71"/>
        <v>598</v>
      </c>
      <c r="B606" t="str">
        <f t="shared" si="69"/>
        <v>0x256</v>
      </c>
      <c r="C606">
        <f t="shared" si="72"/>
        <v>22</v>
      </c>
      <c r="D606" t="str">
        <f t="shared" si="70"/>
        <v>00016</v>
      </c>
    </row>
    <row r="607" spans="1:4" x14ac:dyDescent="0.25">
      <c r="A607">
        <f t="shared" si="71"/>
        <v>599</v>
      </c>
      <c r="B607" t="str">
        <f t="shared" si="69"/>
        <v>0x257</v>
      </c>
      <c r="C607">
        <f t="shared" si="72"/>
        <v>23</v>
      </c>
      <c r="D607" t="str">
        <f t="shared" si="70"/>
        <v>00017</v>
      </c>
    </row>
    <row r="608" spans="1:4" x14ac:dyDescent="0.25">
      <c r="A608">
        <f t="shared" si="71"/>
        <v>600</v>
      </c>
      <c r="B608" t="str">
        <f t="shared" si="69"/>
        <v>0x258</v>
      </c>
      <c r="C608">
        <f t="shared" si="72"/>
        <v>24</v>
      </c>
      <c r="D608" t="str">
        <f t="shared" si="70"/>
        <v>00018</v>
      </c>
    </row>
    <row r="609" spans="1:4" x14ac:dyDescent="0.25">
      <c r="A609">
        <f t="shared" si="71"/>
        <v>601</v>
      </c>
      <c r="B609" t="str">
        <f t="shared" si="69"/>
        <v>0x259</v>
      </c>
      <c r="C609">
        <f t="shared" si="72"/>
        <v>25</v>
      </c>
      <c r="D609" t="str">
        <f t="shared" si="70"/>
        <v>00019</v>
      </c>
    </row>
    <row r="610" spans="1:4" x14ac:dyDescent="0.25">
      <c r="A610">
        <f t="shared" si="71"/>
        <v>602</v>
      </c>
      <c r="B610" t="str">
        <f t="shared" si="69"/>
        <v>0x25A</v>
      </c>
      <c r="C610">
        <f t="shared" si="72"/>
        <v>26</v>
      </c>
      <c r="D610" t="str">
        <f t="shared" si="70"/>
        <v>0001A</v>
      </c>
    </row>
    <row r="611" spans="1:4" x14ac:dyDescent="0.25">
      <c r="A611">
        <f t="shared" si="71"/>
        <v>603</v>
      </c>
      <c r="B611" t="str">
        <f t="shared" si="69"/>
        <v>0x25B</v>
      </c>
      <c r="C611">
        <f t="shared" si="72"/>
        <v>27</v>
      </c>
      <c r="D611" t="str">
        <f t="shared" si="70"/>
        <v>0001B</v>
      </c>
    </row>
    <row r="612" spans="1:4" x14ac:dyDescent="0.25">
      <c r="A612">
        <f t="shared" si="71"/>
        <v>604</v>
      </c>
      <c r="B612" t="str">
        <f t="shared" si="69"/>
        <v>0x25C</v>
      </c>
      <c r="C612">
        <f t="shared" si="72"/>
        <v>28</v>
      </c>
      <c r="D612" t="str">
        <f t="shared" si="70"/>
        <v>0001C</v>
      </c>
    </row>
    <row r="613" spans="1:4" x14ac:dyDescent="0.25">
      <c r="A613">
        <f t="shared" si="71"/>
        <v>605</v>
      </c>
      <c r="B613" t="str">
        <f t="shared" si="69"/>
        <v>0x25D</v>
      </c>
      <c r="C613">
        <f t="shared" si="72"/>
        <v>29</v>
      </c>
      <c r="D613" t="str">
        <f t="shared" si="70"/>
        <v>0001D</v>
      </c>
    </row>
    <row r="614" spans="1:4" x14ac:dyDescent="0.25">
      <c r="A614">
        <f t="shared" si="71"/>
        <v>606</v>
      </c>
      <c r="B614" t="str">
        <f t="shared" si="69"/>
        <v>0x25E</v>
      </c>
      <c r="C614">
        <f t="shared" si="72"/>
        <v>30</v>
      </c>
      <c r="D614" t="str">
        <f t="shared" si="70"/>
        <v>0001E</v>
      </c>
    </row>
    <row r="615" spans="1:4" x14ac:dyDescent="0.25">
      <c r="A615">
        <f t="shared" si="71"/>
        <v>607</v>
      </c>
      <c r="B615" t="str">
        <f t="shared" si="69"/>
        <v>0x25F</v>
      </c>
      <c r="C615">
        <f t="shared" si="72"/>
        <v>31</v>
      </c>
      <c r="D615" t="str">
        <f t="shared" si="70"/>
        <v>0001F</v>
      </c>
    </row>
    <row r="616" spans="1:4" x14ac:dyDescent="0.25">
      <c r="A616">
        <f t="shared" si="71"/>
        <v>608</v>
      </c>
      <c r="B616" t="str">
        <f t="shared" si="69"/>
        <v>0x260</v>
      </c>
      <c r="C616">
        <v>0</v>
      </c>
      <c r="D616" t="str">
        <f t="shared" si="70"/>
        <v>00000</v>
      </c>
    </row>
    <row r="617" spans="1:4" x14ac:dyDescent="0.25">
      <c r="A617">
        <f t="shared" si="71"/>
        <v>609</v>
      </c>
      <c r="B617" t="str">
        <f t="shared" si="69"/>
        <v>0x261</v>
      </c>
      <c r="C617">
        <f>C616+1</f>
        <v>1</v>
      </c>
      <c r="D617" t="str">
        <f t="shared" si="70"/>
        <v>00001</v>
      </c>
    </row>
    <row r="618" spans="1:4" x14ac:dyDescent="0.25">
      <c r="A618">
        <f t="shared" si="71"/>
        <v>610</v>
      </c>
      <c r="B618" t="str">
        <f t="shared" si="69"/>
        <v>0x262</v>
      </c>
      <c r="C618">
        <f t="shared" ref="C618:C647" si="73">C617+1</f>
        <v>2</v>
      </c>
      <c r="D618" t="str">
        <f t="shared" si="70"/>
        <v>00002</v>
      </c>
    </row>
    <row r="619" spans="1:4" x14ac:dyDescent="0.25">
      <c r="A619">
        <f t="shared" si="71"/>
        <v>611</v>
      </c>
      <c r="B619" t="str">
        <f t="shared" si="69"/>
        <v>0x263</v>
      </c>
      <c r="C619">
        <f t="shared" si="73"/>
        <v>3</v>
      </c>
      <c r="D619" t="str">
        <f t="shared" si="70"/>
        <v>00003</v>
      </c>
    </row>
    <row r="620" spans="1:4" x14ac:dyDescent="0.25">
      <c r="A620">
        <f t="shared" si="71"/>
        <v>612</v>
      </c>
      <c r="B620" t="str">
        <f t="shared" si="69"/>
        <v>0x264</v>
      </c>
      <c r="C620">
        <f t="shared" si="73"/>
        <v>4</v>
      </c>
      <c r="D620" t="str">
        <f t="shared" si="70"/>
        <v>00004</v>
      </c>
    </row>
    <row r="621" spans="1:4" x14ac:dyDescent="0.25">
      <c r="A621">
        <f t="shared" si="71"/>
        <v>613</v>
      </c>
      <c r="B621" t="str">
        <f t="shared" si="69"/>
        <v>0x265</v>
      </c>
      <c r="C621">
        <f t="shared" si="73"/>
        <v>5</v>
      </c>
      <c r="D621" t="str">
        <f t="shared" si="70"/>
        <v>00005</v>
      </c>
    </row>
    <row r="622" spans="1:4" x14ac:dyDescent="0.25">
      <c r="A622">
        <f t="shared" si="71"/>
        <v>614</v>
      </c>
      <c r="B622" t="str">
        <f t="shared" si="69"/>
        <v>0x266</v>
      </c>
      <c r="C622">
        <f t="shared" si="73"/>
        <v>6</v>
      </c>
      <c r="D622" t="str">
        <f t="shared" si="70"/>
        <v>00006</v>
      </c>
    </row>
    <row r="623" spans="1:4" x14ac:dyDescent="0.25">
      <c r="A623">
        <f t="shared" si="71"/>
        <v>615</v>
      </c>
      <c r="B623" t="str">
        <f t="shared" si="69"/>
        <v>0x267</v>
      </c>
      <c r="C623">
        <f t="shared" si="73"/>
        <v>7</v>
      </c>
      <c r="D623" t="str">
        <f t="shared" si="70"/>
        <v>00007</v>
      </c>
    </row>
    <row r="624" spans="1:4" x14ac:dyDescent="0.25">
      <c r="A624">
        <f t="shared" si="71"/>
        <v>616</v>
      </c>
      <c r="B624" t="str">
        <f t="shared" si="69"/>
        <v>0x268</v>
      </c>
      <c r="C624">
        <f t="shared" si="73"/>
        <v>8</v>
      </c>
      <c r="D624" t="str">
        <f t="shared" si="70"/>
        <v>00008</v>
      </c>
    </row>
    <row r="625" spans="1:4" x14ac:dyDescent="0.25">
      <c r="A625">
        <f t="shared" si="71"/>
        <v>617</v>
      </c>
      <c r="B625" t="str">
        <f t="shared" si="69"/>
        <v>0x269</v>
      </c>
      <c r="C625">
        <f t="shared" si="73"/>
        <v>9</v>
      </c>
      <c r="D625" t="str">
        <f t="shared" si="70"/>
        <v>00009</v>
      </c>
    </row>
    <row r="626" spans="1:4" x14ac:dyDescent="0.25">
      <c r="A626">
        <f t="shared" si="71"/>
        <v>618</v>
      </c>
      <c r="B626" t="str">
        <f t="shared" si="69"/>
        <v>0x26A</v>
      </c>
      <c r="C626">
        <f t="shared" si="73"/>
        <v>10</v>
      </c>
      <c r="D626" t="str">
        <f t="shared" si="70"/>
        <v>0000A</v>
      </c>
    </row>
    <row r="627" spans="1:4" x14ac:dyDescent="0.25">
      <c r="A627">
        <f t="shared" si="71"/>
        <v>619</v>
      </c>
      <c r="B627" t="str">
        <f t="shared" si="69"/>
        <v>0x26B</v>
      </c>
      <c r="C627">
        <f t="shared" si="73"/>
        <v>11</v>
      </c>
      <c r="D627" t="str">
        <f t="shared" si="70"/>
        <v>0000B</v>
      </c>
    </row>
    <row r="628" spans="1:4" x14ac:dyDescent="0.25">
      <c r="A628">
        <f t="shared" si="71"/>
        <v>620</v>
      </c>
      <c r="B628" t="str">
        <f t="shared" si="69"/>
        <v>0x26C</v>
      </c>
      <c r="C628">
        <f t="shared" si="73"/>
        <v>12</v>
      </c>
      <c r="D628" t="str">
        <f t="shared" si="70"/>
        <v>0000C</v>
      </c>
    </row>
    <row r="629" spans="1:4" x14ac:dyDescent="0.25">
      <c r="A629">
        <f t="shared" si="71"/>
        <v>621</v>
      </c>
      <c r="B629" t="str">
        <f t="shared" si="69"/>
        <v>0x26D</v>
      </c>
      <c r="C629">
        <f t="shared" si="73"/>
        <v>13</v>
      </c>
      <c r="D629" t="str">
        <f t="shared" si="70"/>
        <v>0000D</v>
      </c>
    </row>
    <row r="630" spans="1:4" x14ac:dyDescent="0.25">
      <c r="A630">
        <f t="shared" si="71"/>
        <v>622</v>
      </c>
      <c r="B630" t="str">
        <f t="shared" si="69"/>
        <v>0x26E</v>
      </c>
      <c r="C630">
        <f t="shared" si="73"/>
        <v>14</v>
      </c>
      <c r="D630" t="str">
        <f t="shared" si="70"/>
        <v>0000E</v>
      </c>
    </row>
    <row r="631" spans="1:4" x14ac:dyDescent="0.25">
      <c r="A631">
        <f t="shared" si="71"/>
        <v>623</v>
      </c>
      <c r="B631" t="str">
        <f t="shared" si="69"/>
        <v>0x26F</v>
      </c>
      <c r="C631">
        <f t="shared" si="73"/>
        <v>15</v>
      </c>
      <c r="D631" t="str">
        <f t="shared" si="70"/>
        <v>0000F</v>
      </c>
    </row>
    <row r="632" spans="1:4" x14ac:dyDescent="0.25">
      <c r="A632">
        <f t="shared" si="71"/>
        <v>624</v>
      </c>
      <c r="B632" t="str">
        <f t="shared" si="69"/>
        <v>0x270</v>
      </c>
      <c r="C632">
        <f t="shared" si="73"/>
        <v>16</v>
      </c>
      <c r="D632" t="str">
        <f t="shared" si="70"/>
        <v>00010</v>
      </c>
    </row>
    <row r="633" spans="1:4" x14ac:dyDescent="0.25">
      <c r="A633">
        <f t="shared" si="71"/>
        <v>625</v>
      </c>
      <c r="B633" t="str">
        <f t="shared" si="69"/>
        <v>0x271</v>
      </c>
      <c r="C633">
        <f t="shared" si="73"/>
        <v>17</v>
      </c>
      <c r="D633" t="str">
        <f t="shared" si="70"/>
        <v>00011</v>
      </c>
    </row>
    <row r="634" spans="1:4" x14ac:dyDescent="0.25">
      <c r="A634">
        <f t="shared" si="71"/>
        <v>626</v>
      </c>
      <c r="B634" t="str">
        <f t="shared" si="69"/>
        <v>0x272</v>
      </c>
      <c r="C634">
        <f t="shared" si="73"/>
        <v>18</v>
      </c>
      <c r="D634" t="str">
        <f t="shared" si="70"/>
        <v>00012</v>
      </c>
    </row>
    <row r="635" spans="1:4" x14ac:dyDescent="0.25">
      <c r="A635">
        <f t="shared" si="71"/>
        <v>627</v>
      </c>
      <c r="B635" t="str">
        <f t="shared" si="69"/>
        <v>0x273</v>
      </c>
      <c r="C635">
        <f t="shared" si="73"/>
        <v>19</v>
      </c>
      <c r="D635" t="str">
        <f t="shared" si="70"/>
        <v>00013</v>
      </c>
    </row>
    <row r="636" spans="1:4" x14ac:dyDescent="0.25">
      <c r="A636">
        <f t="shared" si="71"/>
        <v>628</v>
      </c>
      <c r="B636" t="str">
        <f t="shared" si="69"/>
        <v>0x274</v>
      </c>
      <c r="C636">
        <f t="shared" si="73"/>
        <v>20</v>
      </c>
      <c r="D636" t="str">
        <f t="shared" si="70"/>
        <v>00014</v>
      </c>
    </row>
    <row r="637" spans="1:4" x14ac:dyDescent="0.25">
      <c r="A637">
        <f t="shared" si="71"/>
        <v>629</v>
      </c>
      <c r="B637" t="str">
        <f t="shared" si="69"/>
        <v>0x275</v>
      </c>
      <c r="C637">
        <f t="shared" si="73"/>
        <v>21</v>
      </c>
      <c r="D637" t="str">
        <f t="shared" si="70"/>
        <v>00015</v>
      </c>
    </row>
    <row r="638" spans="1:4" x14ac:dyDescent="0.25">
      <c r="A638">
        <f t="shared" si="71"/>
        <v>630</v>
      </c>
      <c r="B638" t="str">
        <f t="shared" si="69"/>
        <v>0x276</v>
      </c>
      <c r="C638">
        <f t="shared" si="73"/>
        <v>22</v>
      </c>
      <c r="D638" t="str">
        <f t="shared" si="70"/>
        <v>00016</v>
      </c>
    </row>
    <row r="639" spans="1:4" x14ac:dyDescent="0.25">
      <c r="A639">
        <f t="shared" si="71"/>
        <v>631</v>
      </c>
      <c r="B639" t="str">
        <f t="shared" si="69"/>
        <v>0x277</v>
      </c>
      <c r="C639">
        <f t="shared" si="73"/>
        <v>23</v>
      </c>
      <c r="D639" t="str">
        <f t="shared" si="70"/>
        <v>00017</v>
      </c>
    </row>
    <row r="640" spans="1:4" x14ac:dyDescent="0.25">
      <c r="A640">
        <f t="shared" si="71"/>
        <v>632</v>
      </c>
      <c r="B640" t="str">
        <f t="shared" si="69"/>
        <v>0x278</v>
      </c>
      <c r="C640">
        <f t="shared" si="73"/>
        <v>24</v>
      </c>
      <c r="D640" t="str">
        <f t="shared" si="70"/>
        <v>00018</v>
      </c>
    </row>
    <row r="641" spans="1:4" x14ac:dyDescent="0.25">
      <c r="A641">
        <f t="shared" si="71"/>
        <v>633</v>
      </c>
      <c r="B641" t="str">
        <f t="shared" si="69"/>
        <v>0x279</v>
      </c>
      <c r="C641">
        <f t="shared" si="73"/>
        <v>25</v>
      </c>
      <c r="D641" t="str">
        <f t="shared" si="70"/>
        <v>00019</v>
      </c>
    </row>
    <row r="642" spans="1:4" x14ac:dyDescent="0.25">
      <c r="A642">
        <f t="shared" si="71"/>
        <v>634</v>
      </c>
      <c r="B642" t="str">
        <f t="shared" si="69"/>
        <v>0x27A</v>
      </c>
      <c r="C642">
        <f t="shared" si="73"/>
        <v>26</v>
      </c>
      <c r="D642" t="str">
        <f t="shared" si="70"/>
        <v>0001A</v>
      </c>
    </row>
    <row r="643" spans="1:4" x14ac:dyDescent="0.25">
      <c r="A643">
        <f t="shared" si="71"/>
        <v>635</v>
      </c>
      <c r="B643" t="str">
        <f t="shared" si="69"/>
        <v>0x27B</v>
      </c>
      <c r="C643">
        <f t="shared" si="73"/>
        <v>27</v>
      </c>
      <c r="D643" t="str">
        <f t="shared" si="70"/>
        <v>0001B</v>
      </c>
    </row>
    <row r="644" spans="1:4" x14ac:dyDescent="0.25">
      <c r="A644">
        <f t="shared" si="71"/>
        <v>636</v>
      </c>
      <c r="B644" t="str">
        <f t="shared" si="69"/>
        <v>0x27C</v>
      </c>
      <c r="C644">
        <f t="shared" si="73"/>
        <v>28</v>
      </c>
      <c r="D644" t="str">
        <f t="shared" si="70"/>
        <v>0001C</v>
      </c>
    </row>
    <row r="645" spans="1:4" x14ac:dyDescent="0.25">
      <c r="A645">
        <f t="shared" si="71"/>
        <v>637</v>
      </c>
      <c r="B645" t="str">
        <f t="shared" si="69"/>
        <v>0x27D</v>
      </c>
      <c r="C645">
        <f t="shared" si="73"/>
        <v>29</v>
      </c>
      <c r="D645" t="str">
        <f t="shared" si="70"/>
        <v>0001D</v>
      </c>
    </row>
    <row r="646" spans="1:4" x14ac:dyDescent="0.25">
      <c r="A646">
        <f t="shared" si="71"/>
        <v>638</v>
      </c>
      <c r="B646" t="str">
        <f t="shared" si="69"/>
        <v>0x27E</v>
      </c>
      <c r="C646">
        <f t="shared" si="73"/>
        <v>30</v>
      </c>
      <c r="D646" t="str">
        <f t="shared" si="70"/>
        <v>0001E</v>
      </c>
    </row>
    <row r="647" spans="1:4" x14ac:dyDescent="0.25">
      <c r="A647">
        <f t="shared" si="71"/>
        <v>639</v>
      </c>
      <c r="B647" t="str">
        <f t="shared" si="69"/>
        <v>0x27F</v>
      </c>
      <c r="C647">
        <f t="shared" si="73"/>
        <v>31</v>
      </c>
      <c r="D647" t="str">
        <f t="shared" si="70"/>
        <v>0001F</v>
      </c>
    </row>
    <row r="648" spans="1:4" x14ac:dyDescent="0.25">
      <c r="A648">
        <f t="shared" si="71"/>
        <v>640</v>
      </c>
      <c r="B648" t="str">
        <f t="shared" si="69"/>
        <v>0x280</v>
      </c>
      <c r="C648">
        <v>0</v>
      </c>
      <c r="D648" t="str">
        <f t="shared" si="70"/>
        <v>00000</v>
      </c>
    </row>
    <row r="649" spans="1:4" x14ac:dyDescent="0.25">
      <c r="A649">
        <f t="shared" si="71"/>
        <v>641</v>
      </c>
      <c r="B649" t="str">
        <f t="shared" ref="B649:B712" si="74">CONCATENATE("0x",DEC2HEX(A649,3))</f>
        <v>0x281</v>
      </c>
      <c r="C649">
        <f>C648+1</f>
        <v>1</v>
      </c>
      <c r="D649" t="str">
        <f t="shared" ref="D649:D712" si="75">DEC2HEX(C649,5)</f>
        <v>00001</v>
      </c>
    </row>
    <row r="650" spans="1:4" x14ac:dyDescent="0.25">
      <c r="A650">
        <f t="shared" ref="A650:A713" si="76">A649+1</f>
        <v>642</v>
      </c>
      <c r="B650" t="str">
        <f t="shared" si="74"/>
        <v>0x282</v>
      </c>
      <c r="C650">
        <f t="shared" ref="C650:C679" si="77">C649+1</f>
        <v>2</v>
      </c>
      <c r="D650" t="str">
        <f t="shared" si="75"/>
        <v>00002</v>
      </c>
    </row>
    <row r="651" spans="1:4" x14ac:dyDescent="0.25">
      <c r="A651">
        <f t="shared" si="76"/>
        <v>643</v>
      </c>
      <c r="B651" t="str">
        <f t="shared" si="74"/>
        <v>0x283</v>
      </c>
      <c r="C651">
        <f t="shared" si="77"/>
        <v>3</v>
      </c>
      <c r="D651" t="str">
        <f t="shared" si="75"/>
        <v>00003</v>
      </c>
    </row>
    <row r="652" spans="1:4" x14ac:dyDescent="0.25">
      <c r="A652">
        <f t="shared" si="76"/>
        <v>644</v>
      </c>
      <c r="B652" t="str">
        <f t="shared" si="74"/>
        <v>0x284</v>
      </c>
      <c r="C652">
        <f t="shared" si="77"/>
        <v>4</v>
      </c>
      <c r="D652" t="str">
        <f t="shared" si="75"/>
        <v>00004</v>
      </c>
    </row>
    <row r="653" spans="1:4" x14ac:dyDescent="0.25">
      <c r="A653">
        <f t="shared" si="76"/>
        <v>645</v>
      </c>
      <c r="B653" t="str">
        <f t="shared" si="74"/>
        <v>0x285</v>
      </c>
      <c r="C653">
        <f t="shared" si="77"/>
        <v>5</v>
      </c>
      <c r="D653" t="str">
        <f t="shared" si="75"/>
        <v>00005</v>
      </c>
    </row>
    <row r="654" spans="1:4" x14ac:dyDescent="0.25">
      <c r="A654">
        <f t="shared" si="76"/>
        <v>646</v>
      </c>
      <c r="B654" t="str">
        <f t="shared" si="74"/>
        <v>0x286</v>
      </c>
      <c r="C654">
        <f t="shared" si="77"/>
        <v>6</v>
      </c>
      <c r="D654" t="str">
        <f t="shared" si="75"/>
        <v>00006</v>
      </c>
    </row>
    <row r="655" spans="1:4" x14ac:dyDescent="0.25">
      <c r="A655">
        <f t="shared" si="76"/>
        <v>647</v>
      </c>
      <c r="B655" t="str">
        <f t="shared" si="74"/>
        <v>0x287</v>
      </c>
      <c r="C655">
        <f t="shared" si="77"/>
        <v>7</v>
      </c>
      <c r="D655" t="str">
        <f t="shared" si="75"/>
        <v>00007</v>
      </c>
    </row>
    <row r="656" spans="1:4" x14ac:dyDescent="0.25">
      <c r="A656">
        <f t="shared" si="76"/>
        <v>648</v>
      </c>
      <c r="B656" t="str">
        <f t="shared" si="74"/>
        <v>0x288</v>
      </c>
      <c r="C656">
        <f t="shared" si="77"/>
        <v>8</v>
      </c>
      <c r="D656" t="str">
        <f t="shared" si="75"/>
        <v>00008</v>
      </c>
    </row>
    <row r="657" spans="1:4" x14ac:dyDescent="0.25">
      <c r="A657">
        <f t="shared" si="76"/>
        <v>649</v>
      </c>
      <c r="B657" t="str">
        <f t="shared" si="74"/>
        <v>0x289</v>
      </c>
      <c r="C657">
        <f t="shared" si="77"/>
        <v>9</v>
      </c>
      <c r="D657" t="str">
        <f t="shared" si="75"/>
        <v>00009</v>
      </c>
    </row>
    <row r="658" spans="1:4" x14ac:dyDescent="0.25">
      <c r="A658">
        <f t="shared" si="76"/>
        <v>650</v>
      </c>
      <c r="B658" t="str">
        <f t="shared" si="74"/>
        <v>0x28A</v>
      </c>
      <c r="C658">
        <f t="shared" si="77"/>
        <v>10</v>
      </c>
      <c r="D658" t="str">
        <f t="shared" si="75"/>
        <v>0000A</v>
      </c>
    </row>
    <row r="659" spans="1:4" x14ac:dyDescent="0.25">
      <c r="A659">
        <f t="shared" si="76"/>
        <v>651</v>
      </c>
      <c r="B659" t="str">
        <f t="shared" si="74"/>
        <v>0x28B</v>
      </c>
      <c r="C659">
        <f t="shared" si="77"/>
        <v>11</v>
      </c>
      <c r="D659" t="str">
        <f t="shared" si="75"/>
        <v>0000B</v>
      </c>
    </row>
    <row r="660" spans="1:4" x14ac:dyDescent="0.25">
      <c r="A660">
        <f t="shared" si="76"/>
        <v>652</v>
      </c>
      <c r="B660" t="str">
        <f t="shared" si="74"/>
        <v>0x28C</v>
      </c>
      <c r="C660">
        <f t="shared" si="77"/>
        <v>12</v>
      </c>
      <c r="D660" t="str">
        <f t="shared" si="75"/>
        <v>0000C</v>
      </c>
    </row>
    <row r="661" spans="1:4" x14ac:dyDescent="0.25">
      <c r="A661">
        <f t="shared" si="76"/>
        <v>653</v>
      </c>
      <c r="B661" t="str">
        <f t="shared" si="74"/>
        <v>0x28D</v>
      </c>
      <c r="C661">
        <f t="shared" si="77"/>
        <v>13</v>
      </c>
      <c r="D661" t="str">
        <f t="shared" si="75"/>
        <v>0000D</v>
      </c>
    </row>
    <row r="662" spans="1:4" x14ac:dyDescent="0.25">
      <c r="A662">
        <f t="shared" si="76"/>
        <v>654</v>
      </c>
      <c r="B662" t="str">
        <f t="shared" si="74"/>
        <v>0x28E</v>
      </c>
      <c r="C662">
        <f t="shared" si="77"/>
        <v>14</v>
      </c>
      <c r="D662" t="str">
        <f t="shared" si="75"/>
        <v>0000E</v>
      </c>
    </row>
    <row r="663" spans="1:4" x14ac:dyDescent="0.25">
      <c r="A663">
        <f t="shared" si="76"/>
        <v>655</v>
      </c>
      <c r="B663" t="str">
        <f t="shared" si="74"/>
        <v>0x28F</v>
      </c>
      <c r="C663">
        <f t="shared" si="77"/>
        <v>15</v>
      </c>
      <c r="D663" t="str">
        <f t="shared" si="75"/>
        <v>0000F</v>
      </c>
    </row>
    <row r="664" spans="1:4" x14ac:dyDescent="0.25">
      <c r="A664">
        <f t="shared" si="76"/>
        <v>656</v>
      </c>
      <c r="B664" t="str">
        <f t="shared" si="74"/>
        <v>0x290</v>
      </c>
      <c r="C664">
        <f t="shared" si="77"/>
        <v>16</v>
      </c>
      <c r="D664" t="str">
        <f t="shared" si="75"/>
        <v>00010</v>
      </c>
    </row>
    <row r="665" spans="1:4" x14ac:dyDescent="0.25">
      <c r="A665">
        <f t="shared" si="76"/>
        <v>657</v>
      </c>
      <c r="B665" t="str">
        <f t="shared" si="74"/>
        <v>0x291</v>
      </c>
      <c r="C665">
        <f t="shared" si="77"/>
        <v>17</v>
      </c>
      <c r="D665" t="str">
        <f t="shared" si="75"/>
        <v>00011</v>
      </c>
    </row>
    <row r="666" spans="1:4" x14ac:dyDescent="0.25">
      <c r="A666">
        <f t="shared" si="76"/>
        <v>658</v>
      </c>
      <c r="B666" t="str">
        <f t="shared" si="74"/>
        <v>0x292</v>
      </c>
      <c r="C666">
        <f t="shared" si="77"/>
        <v>18</v>
      </c>
      <c r="D666" t="str">
        <f t="shared" si="75"/>
        <v>00012</v>
      </c>
    </row>
    <row r="667" spans="1:4" x14ac:dyDescent="0.25">
      <c r="A667">
        <f t="shared" si="76"/>
        <v>659</v>
      </c>
      <c r="B667" t="str">
        <f t="shared" si="74"/>
        <v>0x293</v>
      </c>
      <c r="C667">
        <f t="shared" si="77"/>
        <v>19</v>
      </c>
      <c r="D667" t="str">
        <f t="shared" si="75"/>
        <v>00013</v>
      </c>
    </row>
    <row r="668" spans="1:4" x14ac:dyDescent="0.25">
      <c r="A668">
        <f t="shared" si="76"/>
        <v>660</v>
      </c>
      <c r="B668" t="str">
        <f t="shared" si="74"/>
        <v>0x294</v>
      </c>
      <c r="C668">
        <f t="shared" si="77"/>
        <v>20</v>
      </c>
      <c r="D668" t="str">
        <f t="shared" si="75"/>
        <v>00014</v>
      </c>
    </row>
    <row r="669" spans="1:4" x14ac:dyDescent="0.25">
      <c r="A669">
        <f t="shared" si="76"/>
        <v>661</v>
      </c>
      <c r="B669" t="str">
        <f t="shared" si="74"/>
        <v>0x295</v>
      </c>
      <c r="C669">
        <f t="shared" si="77"/>
        <v>21</v>
      </c>
      <c r="D669" t="str">
        <f t="shared" si="75"/>
        <v>00015</v>
      </c>
    </row>
    <row r="670" spans="1:4" x14ac:dyDescent="0.25">
      <c r="A670">
        <f t="shared" si="76"/>
        <v>662</v>
      </c>
      <c r="B670" t="str">
        <f t="shared" si="74"/>
        <v>0x296</v>
      </c>
      <c r="C670">
        <f t="shared" si="77"/>
        <v>22</v>
      </c>
      <c r="D670" t="str">
        <f t="shared" si="75"/>
        <v>00016</v>
      </c>
    </row>
    <row r="671" spans="1:4" x14ac:dyDescent="0.25">
      <c r="A671">
        <f t="shared" si="76"/>
        <v>663</v>
      </c>
      <c r="B671" t="str">
        <f t="shared" si="74"/>
        <v>0x297</v>
      </c>
      <c r="C671">
        <f t="shared" si="77"/>
        <v>23</v>
      </c>
      <c r="D671" t="str">
        <f t="shared" si="75"/>
        <v>00017</v>
      </c>
    </row>
    <row r="672" spans="1:4" x14ac:dyDescent="0.25">
      <c r="A672">
        <f t="shared" si="76"/>
        <v>664</v>
      </c>
      <c r="B672" t="str">
        <f t="shared" si="74"/>
        <v>0x298</v>
      </c>
      <c r="C672">
        <f t="shared" si="77"/>
        <v>24</v>
      </c>
      <c r="D672" t="str">
        <f t="shared" si="75"/>
        <v>00018</v>
      </c>
    </row>
    <row r="673" spans="1:4" x14ac:dyDescent="0.25">
      <c r="A673">
        <f t="shared" si="76"/>
        <v>665</v>
      </c>
      <c r="B673" t="str">
        <f t="shared" si="74"/>
        <v>0x299</v>
      </c>
      <c r="C673">
        <f t="shared" si="77"/>
        <v>25</v>
      </c>
      <c r="D673" t="str">
        <f t="shared" si="75"/>
        <v>00019</v>
      </c>
    </row>
    <row r="674" spans="1:4" x14ac:dyDescent="0.25">
      <c r="A674">
        <f t="shared" si="76"/>
        <v>666</v>
      </c>
      <c r="B674" t="str">
        <f t="shared" si="74"/>
        <v>0x29A</v>
      </c>
      <c r="C674">
        <f t="shared" si="77"/>
        <v>26</v>
      </c>
      <c r="D674" t="str">
        <f t="shared" si="75"/>
        <v>0001A</v>
      </c>
    </row>
    <row r="675" spans="1:4" x14ac:dyDescent="0.25">
      <c r="A675">
        <f t="shared" si="76"/>
        <v>667</v>
      </c>
      <c r="B675" t="str">
        <f t="shared" si="74"/>
        <v>0x29B</v>
      </c>
      <c r="C675">
        <f t="shared" si="77"/>
        <v>27</v>
      </c>
      <c r="D675" t="str">
        <f t="shared" si="75"/>
        <v>0001B</v>
      </c>
    </row>
    <row r="676" spans="1:4" x14ac:dyDescent="0.25">
      <c r="A676">
        <f t="shared" si="76"/>
        <v>668</v>
      </c>
      <c r="B676" t="str">
        <f t="shared" si="74"/>
        <v>0x29C</v>
      </c>
      <c r="C676">
        <f t="shared" si="77"/>
        <v>28</v>
      </c>
      <c r="D676" t="str">
        <f t="shared" si="75"/>
        <v>0001C</v>
      </c>
    </row>
    <row r="677" spans="1:4" x14ac:dyDescent="0.25">
      <c r="A677">
        <f t="shared" si="76"/>
        <v>669</v>
      </c>
      <c r="B677" t="str">
        <f t="shared" si="74"/>
        <v>0x29D</v>
      </c>
      <c r="C677">
        <f t="shared" si="77"/>
        <v>29</v>
      </c>
      <c r="D677" t="str">
        <f t="shared" si="75"/>
        <v>0001D</v>
      </c>
    </row>
    <row r="678" spans="1:4" x14ac:dyDescent="0.25">
      <c r="A678">
        <f t="shared" si="76"/>
        <v>670</v>
      </c>
      <c r="B678" t="str">
        <f t="shared" si="74"/>
        <v>0x29E</v>
      </c>
      <c r="C678">
        <f t="shared" si="77"/>
        <v>30</v>
      </c>
      <c r="D678" t="str">
        <f t="shared" si="75"/>
        <v>0001E</v>
      </c>
    </row>
    <row r="679" spans="1:4" x14ac:dyDescent="0.25">
      <c r="A679">
        <f t="shared" si="76"/>
        <v>671</v>
      </c>
      <c r="B679" t="str">
        <f t="shared" si="74"/>
        <v>0x29F</v>
      </c>
      <c r="C679">
        <f t="shared" si="77"/>
        <v>31</v>
      </c>
      <c r="D679" t="str">
        <f t="shared" si="75"/>
        <v>0001F</v>
      </c>
    </row>
    <row r="680" spans="1:4" x14ac:dyDescent="0.25">
      <c r="A680">
        <f t="shared" si="76"/>
        <v>672</v>
      </c>
      <c r="B680" t="str">
        <f t="shared" si="74"/>
        <v>0x2A0</v>
      </c>
      <c r="C680">
        <v>0</v>
      </c>
      <c r="D680" t="str">
        <f t="shared" si="75"/>
        <v>00000</v>
      </c>
    </row>
    <row r="681" spans="1:4" x14ac:dyDescent="0.25">
      <c r="A681">
        <f t="shared" si="76"/>
        <v>673</v>
      </c>
      <c r="B681" t="str">
        <f t="shared" si="74"/>
        <v>0x2A1</v>
      </c>
      <c r="C681">
        <f>C680+1</f>
        <v>1</v>
      </c>
      <c r="D681" t="str">
        <f t="shared" si="75"/>
        <v>00001</v>
      </c>
    </row>
    <row r="682" spans="1:4" x14ac:dyDescent="0.25">
      <c r="A682">
        <f t="shared" si="76"/>
        <v>674</v>
      </c>
      <c r="B682" t="str">
        <f t="shared" si="74"/>
        <v>0x2A2</v>
      </c>
      <c r="C682">
        <f t="shared" ref="C682:C711" si="78">C681+1</f>
        <v>2</v>
      </c>
      <c r="D682" t="str">
        <f t="shared" si="75"/>
        <v>00002</v>
      </c>
    </row>
    <row r="683" spans="1:4" x14ac:dyDescent="0.25">
      <c r="A683">
        <f t="shared" si="76"/>
        <v>675</v>
      </c>
      <c r="B683" t="str">
        <f t="shared" si="74"/>
        <v>0x2A3</v>
      </c>
      <c r="C683">
        <f t="shared" si="78"/>
        <v>3</v>
      </c>
      <c r="D683" t="str">
        <f t="shared" si="75"/>
        <v>00003</v>
      </c>
    </row>
    <row r="684" spans="1:4" x14ac:dyDescent="0.25">
      <c r="A684">
        <f t="shared" si="76"/>
        <v>676</v>
      </c>
      <c r="B684" t="str">
        <f t="shared" si="74"/>
        <v>0x2A4</v>
      </c>
      <c r="C684">
        <f t="shared" si="78"/>
        <v>4</v>
      </c>
      <c r="D684" t="str">
        <f t="shared" si="75"/>
        <v>00004</v>
      </c>
    </row>
    <row r="685" spans="1:4" x14ac:dyDescent="0.25">
      <c r="A685">
        <f t="shared" si="76"/>
        <v>677</v>
      </c>
      <c r="B685" t="str">
        <f t="shared" si="74"/>
        <v>0x2A5</v>
      </c>
      <c r="C685">
        <f t="shared" si="78"/>
        <v>5</v>
      </c>
      <c r="D685" t="str">
        <f t="shared" si="75"/>
        <v>00005</v>
      </c>
    </row>
    <row r="686" spans="1:4" x14ac:dyDescent="0.25">
      <c r="A686">
        <f t="shared" si="76"/>
        <v>678</v>
      </c>
      <c r="B686" t="str">
        <f t="shared" si="74"/>
        <v>0x2A6</v>
      </c>
      <c r="C686">
        <f t="shared" si="78"/>
        <v>6</v>
      </c>
      <c r="D686" t="str">
        <f t="shared" si="75"/>
        <v>00006</v>
      </c>
    </row>
    <row r="687" spans="1:4" x14ac:dyDescent="0.25">
      <c r="A687">
        <f t="shared" si="76"/>
        <v>679</v>
      </c>
      <c r="B687" t="str">
        <f t="shared" si="74"/>
        <v>0x2A7</v>
      </c>
      <c r="C687">
        <f t="shared" si="78"/>
        <v>7</v>
      </c>
      <c r="D687" t="str">
        <f t="shared" si="75"/>
        <v>00007</v>
      </c>
    </row>
    <row r="688" spans="1:4" x14ac:dyDescent="0.25">
      <c r="A688">
        <f t="shared" si="76"/>
        <v>680</v>
      </c>
      <c r="B688" t="str">
        <f t="shared" si="74"/>
        <v>0x2A8</v>
      </c>
      <c r="C688">
        <f t="shared" si="78"/>
        <v>8</v>
      </c>
      <c r="D688" t="str">
        <f t="shared" si="75"/>
        <v>00008</v>
      </c>
    </row>
    <row r="689" spans="1:4" x14ac:dyDescent="0.25">
      <c r="A689">
        <f t="shared" si="76"/>
        <v>681</v>
      </c>
      <c r="B689" t="str">
        <f t="shared" si="74"/>
        <v>0x2A9</v>
      </c>
      <c r="C689">
        <f t="shared" si="78"/>
        <v>9</v>
      </c>
      <c r="D689" t="str">
        <f t="shared" si="75"/>
        <v>00009</v>
      </c>
    </row>
    <row r="690" spans="1:4" x14ac:dyDescent="0.25">
      <c r="A690">
        <f t="shared" si="76"/>
        <v>682</v>
      </c>
      <c r="B690" t="str">
        <f t="shared" si="74"/>
        <v>0x2AA</v>
      </c>
      <c r="C690">
        <f t="shared" si="78"/>
        <v>10</v>
      </c>
      <c r="D690" t="str">
        <f t="shared" si="75"/>
        <v>0000A</v>
      </c>
    </row>
    <row r="691" spans="1:4" x14ac:dyDescent="0.25">
      <c r="A691">
        <f t="shared" si="76"/>
        <v>683</v>
      </c>
      <c r="B691" t="str">
        <f t="shared" si="74"/>
        <v>0x2AB</v>
      </c>
      <c r="C691">
        <f t="shared" si="78"/>
        <v>11</v>
      </c>
      <c r="D691" t="str">
        <f t="shared" si="75"/>
        <v>0000B</v>
      </c>
    </row>
    <row r="692" spans="1:4" x14ac:dyDescent="0.25">
      <c r="A692">
        <f t="shared" si="76"/>
        <v>684</v>
      </c>
      <c r="B692" t="str">
        <f t="shared" si="74"/>
        <v>0x2AC</v>
      </c>
      <c r="C692">
        <f t="shared" si="78"/>
        <v>12</v>
      </c>
      <c r="D692" t="str">
        <f t="shared" si="75"/>
        <v>0000C</v>
      </c>
    </row>
    <row r="693" spans="1:4" x14ac:dyDescent="0.25">
      <c r="A693">
        <f t="shared" si="76"/>
        <v>685</v>
      </c>
      <c r="B693" t="str">
        <f t="shared" si="74"/>
        <v>0x2AD</v>
      </c>
      <c r="C693">
        <f t="shared" si="78"/>
        <v>13</v>
      </c>
      <c r="D693" t="str">
        <f t="shared" si="75"/>
        <v>0000D</v>
      </c>
    </row>
    <row r="694" spans="1:4" x14ac:dyDescent="0.25">
      <c r="A694">
        <f t="shared" si="76"/>
        <v>686</v>
      </c>
      <c r="B694" t="str">
        <f t="shared" si="74"/>
        <v>0x2AE</v>
      </c>
      <c r="C694">
        <f t="shared" si="78"/>
        <v>14</v>
      </c>
      <c r="D694" t="str">
        <f t="shared" si="75"/>
        <v>0000E</v>
      </c>
    </row>
    <row r="695" spans="1:4" x14ac:dyDescent="0.25">
      <c r="A695">
        <f t="shared" si="76"/>
        <v>687</v>
      </c>
      <c r="B695" t="str">
        <f t="shared" si="74"/>
        <v>0x2AF</v>
      </c>
      <c r="C695">
        <f t="shared" si="78"/>
        <v>15</v>
      </c>
      <c r="D695" t="str">
        <f t="shared" si="75"/>
        <v>0000F</v>
      </c>
    </row>
    <row r="696" spans="1:4" x14ac:dyDescent="0.25">
      <c r="A696">
        <f t="shared" si="76"/>
        <v>688</v>
      </c>
      <c r="B696" t="str">
        <f t="shared" si="74"/>
        <v>0x2B0</v>
      </c>
      <c r="C696">
        <f t="shared" si="78"/>
        <v>16</v>
      </c>
      <c r="D696" t="str">
        <f t="shared" si="75"/>
        <v>00010</v>
      </c>
    </row>
    <row r="697" spans="1:4" x14ac:dyDescent="0.25">
      <c r="A697">
        <f t="shared" si="76"/>
        <v>689</v>
      </c>
      <c r="B697" t="str">
        <f t="shared" si="74"/>
        <v>0x2B1</v>
      </c>
      <c r="C697">
        <f t="shared" si="78"/>
        <v>17</v>
      </c>
      <c r="D697" t="str">
        <f t="shared" si="75"/>
        <v>00011</v>
      </c>
    </row>
    <row r="698" spans="1:4" x14ac:dyDescent="0.25">
      <c r="A698">
        <f t="shared" si="76"/>
        <v>690</v>
      </c>
      <c r="B698" t="str">
        <f t="shared" si="74"/>
        <v>0x2B2</v>
      </c>
      <c r="C698">
        <f t="shared" si="78"/>
        <v>18</v>
      </c>
      <c r="D698" t="str">
        <f t="shared" si="75"/>
        <v>00012</v>
      </c>
    </row>
    <row r="699" spans="1:4" x14ac:dyDescent="0.25">
      <c r="A699">
        <f t="shared" si="76"/>
        <v>691</v>
      </c>
      <c r="B699" t="str">
        <f t="shared" si="74"/>
        <v>0x2B3</v>
      </c>
      <c r="C699">
        <f t="shared" si="78"/>
        <v>19</v>
      </c>
      <c r="D699" t="str">
        <f t="shared" si="75"/>
        <v>00013</v>
      </c>
    </row>
    <row r="700" spans="1:4" x14ac:dyDescent="0.25">
      <c r="A700">
        <f t="shared" si="76"/>
        <v>692</v>
      </c>
      <c r="B700" t="str">
        <f t="shared" si="74"/>
        <v>0x2B4</v>
      </c>
      <c r="C700">
        <f t="shared" si="78"/>
        <v>20</v>
      </c>
      <c r="D700" t="str">
        <f t="shared" si="75"/>
        <v>00014</v>
      </c>
    </row>
    <row r="701" spans="1:4" x14ac:dyDescent="0.25">
      <c r="A701">
        <f t="shared" si="76"/>
        <v>693</v>
      </c>
      <c r="B701" t="str">
        <f t="shared" si="74"/>
        <v>0x2B5</v>
      </c>
      <c r="C701">
        <f t="shared" si="78"/>
        <v>21</v>
      </c>
      <c r="D701" t="str">
        <f t="shared" si="75"/>
        <v>00015</v>
      </c>
    </row>
    <row r="702" spans="1:4" x14ac:dyDescent="0.25">
      <c r="A702">
        <f t="shared" si="76"/>
        <v>694</v>
      </c>
      <c r="B702" t="str">
        <f t="shared" si="74"/>
        <v>0x2B6</v>
      </c>
      <c r="C702">
        <f t="shared" si="78"/>
        <v>22</v>
      </c>
      <c r="D702" t="str">
        <f t="shared" si="75"/>
        <v>00016</v>
      </c>
    </row>
    <row r="703" spans="1:4" x14ac:dyDescent="0.25">
      <c r="A703">
        <f t="shared" si="76"/>
        <v>695</v>
      </c>
      <c r="B703" t="str">
        <f t="shared" si="74"/>
        <v>0x2B7</v>
      </c>
      <c r="C703">
        <f t="shared" si="78"/>
        <v>23</v>
      </c>
      <c r="D703" t="str">
        <f t="shared" si="75"/>
        <v>00017</v>
      </c>
    </row>
    <row r="704" spans="1:4" x14ac:dyDescent="0.25">
      <c r="A704">
        <f t="shared" si="76"/>
        <v>696</v>
      </c>
      <c r="B704" t="str">
        <f t="shared" si="74"/>
        <v>0x2B8</v>
      </c>
      <c r="C704">
        <f t="shared" si="78"/>
        <v>24</v>
      </c>
      <c r="D704" t="str">
        <f t="shared" si="75"/>
        <v>00018</v>
      </c>
    </row>
    <row r="705" spans="1:4" x14ac:dyDescent="0.25">
      <c r="A705">
        <f t="shared" si="76"/>
        <v>697</v>
      </c>
      <c r="B705" t="str">
        <f t="shared" si="74"/>
        <v>0x2B9</v>
      </c>
      <c r="C705">
        <f t="shared" si="78"/>
        <v>25</v>
      </c>
      <c r="D705" t="str">
        <f t="shared" si="75"/>
        <v>00019</v>
      </c>
    </row>
    <row r="706" spans="1:4" x14ac:dyDescent="0.25">
      <c r="A706">
        <f t="shared" si="76"/>
        <v>698</v>
      </c>
      <c r="B706" t="str">
        <f t="shared" si="74"/>
        <v>0x2BA</v>
      </c>
      <c r="C706">
        <f t="shared" si="78"/>
        <v>26</v>
      </c>
      <c r="D706" t="str">
        <f t="shared" si="75"/>
        <v>0001A</v>
      </c>
    </row>
    <row r="707" spans="1:4" x14ac:dyDescent="0.25">
      <c r="A707">
        <f t="shared" si="76"/>
        <v>699</v>
      </c>
      <c r="B707" t="str">
        <f t="shared" si="74"/>
        <v>0x2BB</v>
      </c>
      <c r="C707">
        <f t="shared" si="78"/>
        <v>27</v>
      </c>
      <c r="D707" t="str">
        <f t="shared" si="75"/>
        <v>0001B</v>
      </c>
    </row>
    <row r="708" spans="1:4" x14ac:dyDescent="0.25">
      <c r="A708">
        <f t="shared" si="76"/>
        <v>700</v>
      </c>
      <c r="B708" t="str">
        <f t="shared" si="74"/>
        <v>0x2BC</v>
      </c>
      <c r="C708">
        <f t="shared" si="78"/>
        <v>28</v>
      </c>
      <c r="D708" t="str">
        <f t="shared" si="75"/>
        <v>0001C</v>
      </c>
    </row>
    <row r="709" spans="1:4" x14ac:dyDescent="0.25">
      <c r="A709">
        <f t="shared" si="76"/>
        <v>701</v>
      </c>
      <c r="B709" t="str">
        <f t="shared" si="74"/>
        <v>0x2BD</v>
      </c>
      <c r="C709">
        <f t="shared" si="78"/>
        <v>29</v>
      </c>
      <c r="D709" t="str">
        <f t="shared" si="75"/>
        <v>0001D</v>
      </c>
    </row>
    <row r="710" spans="1:4" x14ac:dyDescent="0.25">
      <c r="A710">
        <f t="shared" si="76"/>
        <v>702</v>
      </c>
      <c r="B710" t="str">
        <f t="shared" si="74"/>
        <v>0x2BE</v>
      </c>
      <c r="C710">
        <f t="shared" si="78"/>
        <v>30</v>
      </c>
      <c r="D710" t="str">
        <f t="shared" si="75"/>
        <v>0001E</v>
      </c>
    </row>
    <row r="711" spans="1:4" x14ac:dyDescent="0.25">
      <c r="A711">
        <f t="shared" si="76"/>
        <v>703</v>
      </c>
      <c r="B711" t="str">
        <f t="shared" si="74"/>
        <v>0x2BF</v>
      </c>
      <c r="C711">
        <f t="shared" si="78"/>
        <v>31</v>
      </c>
      <c r="D711" t="str">
        <f t="shared" si="75"/>
        <v>0001F</v>
      </c>
    </row>
    <row r="712" spans="1:4" x14ac:dyDescent="0.25">
      <c r="A712">
        <f t="shared" si="76"/>
        <v>704</v>
      </c>
      <c r="B712" t="str">
        <f t="shared" si="74"/>
        <v>0x2C0</v>
      </c>
      <c r="C712">
        <v>0</v>
      </c>
      <c r="D712" t="str">
        <f t="shared" si="75"/>
        <v>00000</v>
      </c>
    </row>
    <row r="713" spans="1:4" x14ac:dyDescent="0.25">
      <c r="A713">
        <f t="shared" si="76"/>
        <v>705</v>
      </c>
      <c r="B713" t="str">
        <f t="shared" ref="B713:B776" si="79">CONCATENATE("0x",DEC2HEX(A713,3))</f>
        <v>0x2C1</v>
      </c>
      <c r="C713">
        <f>C712+1</f>
        <v>1</v>
      </c>
      <c r="D713" t="str">
        <f t="shared" ref="D713:D776" si="80">DEC2HEX(C713,5)</f>
        <v>00001</v>
      </c>
    </row>
    <row r="714" spans="1:4" x14ac:dyDescent="0.25">
      <c r="A714">
        <f t="shared" ref="A714:A777" si="81">A713+1</f>
        <v>706</v>
      </c>
      <c r="B714" t="str">
        <f t="shared" si="79"/>
        <v>0x2C2</v>
      </c>
      <c r="C714">
        <f t="shared" ref="C714:C743" si="82">C713+1</f>
        <v>2</v>
      </c>
      <c r="D714" t="str">
        <f t="shared" si="80"/>
        <v>00002</v>
      </c>
    </row>
    <row r="715" spans="1:4" x14ac:dyDescent="0.25">
      <c r="A715">
        <f t="shared" si="81"/>
        <v>707</v>
      </c>
      <c r="B715" t="str">
        <f t="shared" si="79"/>
        <v>0x2C3</v>
      </c>
      <c r="C715">
        <f t="shared" si="82"/>
        <v>3</v>
      </c>
      <c r="D715" t="str">
        <f t="shared" si="80"/>
        <v>00003</v>
      </c>
    </row>
    <row r="716" spans="1:4" x14ac:dyDescent="0.25">
      <c r="A716">
        <f t="shared" si="81"/>
        <v>708</v>
      </c>
      <c r="B716" t="str">
        <f t="shared" si="79"/>
        <v>0x2C4</v>
      </c>
      <c r="C716">
        <f t="shared" si="82"/>
        <v>4</v>
      </c>
      <c r="D716" t="str">
        <f t="shared" si="80"/>
        <v>00004</v>
      </c>
    </row>
    <row r="717" spans="1:4" x14ac:dyDescent="0.25">
      <c r="A717">
        <f t="shared" si="81"/>
        <v>709</v>
      </c>
      <c r="B717" t="str">
        <f t="shared" si="79"/>
        <v>0x2C5</v>
      </c>
      <c r="C717">
        <f t="shared" si="82"/>
        <v>5</v>
      </c>
      <c r="D717" t="str">
        <f t="shared" si="80"/>
        <v>00005</v>
      </c>
    </row>
    <row r="718" spans="1:4" x14ac:dyDescent="0.25">
      <c r="A718">
        <f t="shared" si="81"/>
        <v>710</v>
      </c>
      <c r="B718" t="str">
        <f t="shared" si="79"/>
        <v>0x2C6</v>
      </c>
      <c r="C718">
        <f t="shared" si="82"/>
        <v>6</v>
      </c>
      <c r="D718" t="str">
        <f t="shared" si="80"/>
        <v>00006</v>
      </c>
    </row>
    <row r="719" spans="1:4" x14ac:dyDescent="0.25">
      <c r="A719">
        <f t="shared" si="81"/>
        <v>711</v>
      </c>
      <c r="B719" t="str">
        <f t="shared" si="79"/>
        <v>0x2C7</v>
      </c>
      <c r="C719">
        <f t="shared" si="82"/>
        <v>7</v>
      </c>
      <c r="D719" t="str">
        <f t="shared" si="80"/>
        <v>00007</v>
      </c>
    </row>
    <row r="720" spans="1:4" x14ac:dyDescent="0.25">
      <c r="A720">
        <f t="shared" si="81"/>
        <v>712</v>
      </c>
      <c r="B720" t="str">
        <f t="shared" si="79"/>
        <v>0x2C8</v>
      </c>
      <c r="C720">
        <f t="shared" si="82"/>
        <v>8</v>
      </c>
      <c r="D720" t="str">
        <f t="shared" si="80"/>
        <v>00008</v>
      </c>
    </row>
    <row r="721" spans="1:4" x14ac:dyDescent="0.25">
      <c r="A721">
        <f t="shared" si="81"/>
        <v>713</v>
      </c>
      <c r="B721" t="str">
        <f t="shared" si="79"/>
        <v>0x2C9</v>
      </c>
      <c r="C721">
        <f t="shared" si="82"/>
        <v>9</v>
      </c>
      <c r="D721" t="str">
        <f t="shared" si="80"/>
        <v>00009</v>
      </c>
    </row>
    <row r="722" spans="1:4" x14ac:dyDescent="0.25">
      <c r="A722">
        <f t="shared" si="81"/>
        <v>714</v>
      </c>
      <c r="B722" t="str">
        <f t="shared" si="79"/>
        <v>0x2CA</v>
      </c>
      <c r="C722">
        <f t="shared" si="82"/>
        <v>10</v>
      </c>
      <c r="D722" t="str">
        <f t="shared" si="80"/>
        <v>0000A</v>
      </c>
    </row>
    <row r="723" spans="1:4" x14ac:dyDescent="0.25">
      <c r="A723">
        <f t="shared" si="81"/>
        <v>715</v>
      </c>
      <c r="B723" t="str">
        <f t="shared" si="79"/>
        <v>0x2CB</v>
      </c>
      <c r="C723">
        <f t="shared" si="82"/>
        <v>11</v>
      </c>
      <c r="D723" t="str">
        <f t="shared" si="80"/>
        <v>0000B</v>
      </c>
    </row>
    <row r="724" spans="1:4" x14ac:dyDescent="0.25">
      <c r="A724">
        <f t="shared" si="81"/>
        <v>716</v>
      </c>
      <c r="B724" t="str">
        <f t="shared" si="79"/>
        <v>0x2CC</v>
      </c>
      <c r="C724">
        <f t="shared" si="82"/>
        <v>12</v>
      </c>
      <c r="D724" t="str">
        <f t="shared" si="80"/>
        <v>0000C</v>
      </c>
    </row>
    <row r="725" spans="1:4" x14ac:dyDescent="0.25">
      <c r="A725">
        <f t="shared" si="81"/>
        <v>717</v>
      </c>
      <c r="B725" t="str">
        <f t="shared" si="79"/>
        <v>0x2CD</v>
      </c>
      <c r="C725">
        <f t="shared" si="82"/>
        <v>13</v>
      </c>
      <c r="D725" t="str">
        <f t="shared" si="80"/>
        <v>0000D</v>
      </c>
    </row>
    <row r="726" spans="1:4" x14ac:dyDescent="0.25">
      <c r="A726">
        <f t="shared" si="81"/>
        <v>718</v>
      </c>
      <c r="B726" t="str">
        <f t="shared" si="79"/>
        <v>0x2CE</v>
      </c>
      <c r="C726">
        <f t="shared" si="82"/>
        <v>14</v>
      </c>
      <c r="D726" t="str">
        <f t="shared" si="80"/>
        <v>0000E</v>
      </c>
    </row>
    <row r="727" spans="1:4" x14ac:dyDescent="0.25">
      <c r="A727">
        <f t="shared" si="81"/>
        <v>719</v>
      </c>
      <c r="B727" t="str">
        <f t="shared" si="79"/>
        <v>0x2CF</v>
      </c>
      <c r="C727">
        <f t="shared" si="82"/>
        <v>15</v>
      </c>
      <c r="D727" t="str">
        <f t="shared" si="80"/>
        <v>0000F</v>
      </c>
    </row>
    <row r="728" spans="1:4" x14ac:dyDescent="0.25">
      <c r="A728">
        <f t="shared" si="81"/>
        <v>720</v>
      </c>
      <c r="B728" t="str">
        <f t="shared" si="79"/>
        <v>0x2D0</v>
      </c>
      <c r="C728">
        <f t="shared" si="82"/>
        <v>16</v>
      </c>
      <c r="D728" t="str">
        <f t="shared" si="80"/>
        <v>00010</v>
      </c>
    </row>
    <row r="729" spans="1:4" x14ac:dyDescent="0.25">
      <c r="A729">
        <f t="shared" si="81"/>
        <v>721</v>
      </c>
      <c r="B729" t="str">
        <f t="shared" si="79"/>
        <v>0x2D1</v>
      </c>
      <c r="C729">
        <f t="shared" si="82"/>
        <v>17</v>
      </c>
      <c r="D729" t="str">
        <f t="shared" si="80"/>
        <v>00011</v>
      </c>
    </row>
    <row r="730" spans="1:4" x14ac:dyDescent="0.25">
      <c r="A730">
        <f t="shared" si="81"/>
        <v>722</v>
      </c>
      <c r="B730" t="str">
        <f t="shared" si="79"/>
        <v>0x2D2</v>
      </c>
      <c r="C730">
        <f t="shared" si="82"/>
        <v>18</v>
      </c>
      <c r="D730" t="str">
        <f t="shared" si="80"/>
        <v>00012</v>
      </c>
    </row>
    <row r="731" spans="1:4" x14ac:dyDescent="0.25">
      <c r="A731">
        <f t="shared" si="81"/>
        <v>723</v>
      </c>
      <c r="B731" t="str">
        <f t="shared" si="79"/>
        <v>0x2D3</v>
      </c>
      <c r="C731">
        <f t="shared" si="82"/>
        <v>19</v>
      </c>
      <c r="D731" t="str">
        <f t="shared" si="80"/>
        <v>00013</v>
      </c>
    </row>
    <row r="732" spans="1:4" x14ac:dyDescent="0.25">
      <c r="A732">
        <f t="shared" si="81"/>
        <v>724</v>
      </c>
      <c r="B732" t="str">
        <f t="shared" si="79"/>
        <v>0x2D4</v>
      </c>
      <c r="C732">
        <f t="shared" si="82"/>
        <v>20</v>
      </c>
      <c r="D732" t="str">
        <f t="shared" si="80"/>
        <v>00014</v>
      </c>
    </row>
    <row r="733" spans="1:4" x14ac:dyDescent="0.25">
      <c r="A733">
        <f t="shared" si="81"/>
        <v>725</v>
      </c>
      <c r="B733" t="str">
        <f t="shared" si="79"/>
        <v>0x2D5</v>
      </c>
      <c r="C733">
        <f t="shared" si="82"/>
        <v>21</v>
      </c>
      <c r="D733" t="str">
        <f t="shared" si="80"/>
        <v>00015</v>
      </c>
    </row>
    <row r="734" spans="1:4" x14ac:dyDescent="0.25">
      <c r="A734">
        <f t="shared" si="81"/>
        <v>726</v>
      </c>
      <c r="B734" t="str">
        <f t="shared" si="79"/>
        <v>0x2D6</v>
      </c>
      <c r="C734">
        <f t="shared" si="82"/>
        <v>22</v>
      </c>
      <c r="D734" t="str">
        <f t="shared" si="80"/>
        <v>00016</v>
      </c>
    </row>
    <row r="735" spans="1:4" x14ac:dyDescent="0.25">
      <c r="A735">
        <f t="shared" si="81"/>
        <v>727</v>
      </c>
      <c r="B735" t="str">
        <f t="shared" si="79"/>
        <v>0x2D7</v>
      </c>
      <c r="C735">
        <f t="shared" si="82"/>
        <v>23</v>
      </c>
      <c r="D735" t="str">
        <f t="shared" si="80"/>
        <v>00017</v>
      </c>
    </row>
    <row r="736" spans="1:4" x14ac:dyDescent="0.25">
      <c r="A736">
        <f t="shared" si="81"/>
        <v>728</v>
      </c>
      <c r="B736" t="str">
        <f t="shared" si="79"/>
        <v>0x2D8</v>
      </c>
      <c r="C736">
        <f t="shared" si="82"/>
        <v>24</v>
      </c>
      <c r="D736" t="str">
        <f t="shared" si="80"/>
        <v>00018</v>
      </c>
    </row>
    <row r="737" spans="1:4" x14ac:dyDescent="0.25">
      <c r="A737">
        <f t="shared" si="81"/>
        <v>729</v>
      </c>
      <c r="B737" t="str">
        <f t="shared" si="79"/>
        <v>0x2D9</v>
      </c>
      <c r="C737">
        <f t="shared" si="82"/>
        <v>25</v>
      </c>
      <c r="D737" t="str">
        <f t="shared" si="80"/>
        <v>00019</v>
      </c>
    </row>
    <row r="738" spans="1:4" x14ac:dyDescent="0.25">
      <c r="A738">
        <f t="shared" si="81"/>
        <v>730</v>
      </c>
      <c r="B738" t="str">
        <f t="shared" si="79"/>
        <v>0x2DA</v>
      </c>
      <c r="C738">
        <f t="shared" si="82"/>
        <v>26</v>
      </c>
      <c r="D738" t="str">
        <f t="shared" si="80"/>
        <v>0001A</v>
      </c>
    </row>
    <row r="739" spans="1:4" x14ac:dyDescent="0.25">
      <c r="A739">
        <f t="shared" si="81"/>
        <v>731</v>
      </c>
      <c r="B739" t="str">
        <f t="shared" si="79"/>
        <v>0x2DB</v>
      </c>
      <c r="C739">
        <f t="shared" si="82"/>
        <v>27</v>
      </c>
      <c r="D739" t="str">
        <f t="shared" si="80"/>
        <v>0001B</v>
      </c>
    </row>
    <row r="740" spans="1:4" x14ac:dyDescent="0.25">
      <c r="A740">
        <f t="shared" si="81"/>
        <v>732</v>
      </c>
      <c r="B740" t="str">
        <f t="shared" si="79"/>
        <v>0x2DC</v>
      </c>
      <c r="C740">
        <f t="shared" si="82"/>
        <v>28</v>
      </c>
      <c r="D740" t="str">
        <f t="shared" si="80"/>
        <v>0001C</v>
      </c>
    </row>
    <row r="741" spans="1:4" x14ac:dyDescent="0.25">
      <c r="A741">
        <f t="shared" si="81"/>
        <v>733</v>
      </c>
      <c r="B741" t="str">
        <f t="shared" si="79"/>
        <v>0x2DD</v>
      </c>
      <c r="C741">
        <f t="shared" si="82"/>
        <v>29</v>
      </c>
      <c r="D741" t="str">
        <f t="shared" si="80"/>
        <v>0001D</v>
      </c>
    </row>
    <row r="742" spans="1:4" x14ac:dyDescent="0.25">
      <c r="A742">
        <f t="shared" si="81"/>
        <v>734</v>
      </c>
      <c r="B742" t="str">
        <f t="shared" si="79"/>
        <v>0x2DE</v>
      </c>
      <c r="C742">
        <f t="shared" si="82"/>
        <v>30</v>
      </c>
      <c r="D742" t="str">
        <f t="shared" si="80"/>
        <v>0001E</v>
      </c>
    </row>
    <row r="743" spans="1:4" x14ac:dyDescent="0.25">
      <c r="A743">
        <f t="shared" si="81"/>
        <v>735</v>
      </c>
      <c r="B743" t="str">
        <f t="shared" si="79"/>
        <v>0x2DF</v>
      </c>
      <c r="C743">
        <f t="shared" si="82"/>
        <v>31</v>
      </c>
      <c r="D743" t="str">
        <f t="shared" si="80"/>
        <v>0001F</v>
      </c>
    </row>
    <row r="744" spans="1:4" x14ac:dyDescent="0.25">
      <c r="A744">
        <f t="shared" si="81"/>
        <v>736</v>
      </c>
      <c r="B744" t="str">
        <f t="shared" si="79"/>
        <v>0x2E0</v>
      </c>
      <c r="C744">
        <v>0</v>
      </c>
      <c r="D744" t="str">
        <f t="shared" si="80"/>
        <v>00000</v>
      </c>
    </row>
    <row r="745" spans="1:4" x14ac:dyDescent="0.25">
      <c r="A745">
        <f t="shared" si="81"/>
        <v>737</v>
      </c>
      <c r="B745" t="str">
        <f t="shared" si="79"/>
        <v>0x2E1</v>
      </c>
      <c r="C745">
        <f>C744+1</f>
        <v>1</v>
      </c>
      <c r="D745" t="str">
        <f t="shared" si="80"/>
        <v>00001</v>
      </c>
    </row>
    <row r="746" spans="1:4" x14ac:dyDescent="0.25">
      <c r="A746">
        <f t="shared" si="81"/>
        <v>738</v>
      </c>
      <c r="B746" t="str">
        <f t="shared" si="79"/>
        <v>0x2E2</v>
      </c>
      <c r="C746">
        <f t="shared" ref="C746:C775" si="83">C745+1</f>
        <v>2</v>
      </c>
      <c r="D746" t="str">
        <f t="shared" si="80"/>
        <v>00002</v>
      </c>
    </row>
    <row r="747" spans="1:4" x14ac:dyDescent="0.25">
      <c r="A747">
        <f t="shared" si="81"/>
        <v>739</v>
      </c>
      <c r="B747" t="str">
        <f t="shared" si="79"/>
        <v>0x2E3</v>
      </c>
      <c r="C747">
        <f t="shared" si="83"/>
        <v>3</v>
      </c>
      <c r="D747" t="str">
        <f t="shared" si="80"/>
        <v>00003</v>
      </c>
    </row>
    <row r="748" spans="1:4" x14ac:dyDescent="0.25">
      <c r="A748">
        <f t="shared" si="81"/>
        <v>740</v>
      </c>
      <c r="B748" t="str">
        <f t="shared" si="79"/>
        <v>0x2E4</v>
      </c>
      <c r="C748">
        <f t="shared" si="83"/>
        <v>4</v>
      </c>
      <c r="D748" t="str">
        <f t="shared" si="80"/>
        <v>00004</v>
      </c>
    </row>
    <row r="749" spans="1:4" x14ac:dyDescent="0.25">
      <c r="A749">
        <f t="shared" si="81"/>
        <v>741</v>
      </c>
      <c r="B749" t="str">
        <f t="shared" si="79"/>
        <v>0x2E5</v>
      </c>
      <c r="C749">
        <f t="shared" si="83"/>
        <v>5</v>
      </c>
      <c r="D749" t="str">
        <f t="shared" si="80"/>
        <v>00005</v>
      </c>
    </row>
    <row r="750" spans="1:4" x14ac:dyDescent="0.25">
      <c r="A750">
        <f t="shared" si="81"/>
        <v>742</v>
      </c>
      <c r="B750" t="str">
        <f t="shared" si="79"/>
        <v>0x2E6</v>
      </c>
      <c r="C750">
        <f t="shared" si="83"/>
        <v>6</v>
      </c>
      <c r="D750" t="str">
        <f t="shared" si="80"/>
        <v>00006</v>
      </c>
    </row>
    <row r="751" spans="1:4" x14ac:dyDescent="0.25">
      <c r="A751">
        <f t="shared" si="81"/>
        <v>743</v>
      </c>
      <c r="B751" t="str">
        <f t="shared" si="79"/>
        <v>0x2E7</v>
      </c>
      <c r="C751">
        <f t="shared" si="83"/>
        <v>7</v>
      </c>
      <c r="D751" t="str">
        <f t="shared" si="80"/>
        <v>00007</v>
      </c>
    </row>
    <row r="752" spans="1:4" x14ac:dyDescent="0.25">
      <c r="A752">
        <f t="shared" si="81"/>
        <v>744</v>
      </c>
      <c r="B752" t="str">
        <f t="shared" si="79"/>
        <v>0x2E8</v>
      </c>
      <c r="C752">
        <f t="shared" si="83"/>
        <v>8</v>
      </c>
      <c r="D752" t="str">
        <f t="shared" si="80"/>
        <v>00008</v>
      </c>
    </row>
    <row r="753" spans="1:4" x14ac:dyDescent="0.25">
      <c r="A753">
        <f t="shared" si="81"/>
        <v>745</v>
      </c>
      <c r="B753" t="str">
        <f t="shared" si="79"/>
        <v>0x2E9</v>
      </c>
      <c r="C753">
        <f t="shared" si="83"/>
        <v>9</v>
      </c>
      <c r="D753" t="str">
        <f t="shared" si="80"/>
        <v>00009</v>
      </c>
    </row>
    <row r="754" spans="1:4" x14ac:dyDescent="0.25">
      <c r="A754">
        <f t="shared" si="81"/>
        <v>746</v>
      </c>
      <c r="B754" t="str">
        <f t="shared" si="79"/>
        <v>0x2EA</v>
      </c>
      <c r="C754">
        <f t="shared" si="83"/>
        <v>10</v>
      </c>
      <c r="D754" t="str">
        <f t="shared" si="80"/>
        <v>0000A</v>
      </c>
    </row>
    <row r="755" spans="1:4" x14ac:dyDescent="0.25">
      <c r="A755">
        <f t="shared" si="81"/>
        <v>747</v>
      </c>
      <c r="B755" t="str">
        <f t="shared" si="79"/>
        <v>0x2EB</v>
      </c>
      <c r="C755">
        <f t="shared" si="83"/>
        <v>11</v>
      </c>
      <c r="D755" t="str">
        <f t="shared" si="80"/>
        <v>0000B</v>
      </c>
    </row>
    <row r="756" spans="1:4" x14ac:dyDescent="0.25">
      <c r="A756">
        <f t="shared" si="81"/>
        <v>748</v>
      </c>
      <c r="B756" t="str">
        <f t="shared" si="79"/>
        <v>0x2EC</v>
      </c>
      <c r="C756">
        <f t="shared" si="83"/>
        <v>12</v>
      </c>
      <c r="D756" t="str">
        <f t="shared" si="80"/>
        <v>0000C</v>
      </c>
    </row>
    <row r="757" spans="1:4" x14ac:dyDescent="0.25">
      <c r="A757">
        <f t="shared" si="81"/>
        <v>749</v>
      </c>
      <c r="B757" t="str">
        <f t="shared" si="79"/>
        <v>0x2ED</v>
      </c>
      <c r="C757">
        <f t="shared" si="83"/>
        <v>13</v>
      </c>
      <c r="D757" t="str">
        <f t="shared" si="80"/>
        <v>0000D</v>
      </c>
    </row>
    <row r="758" spans="1:4" x14ac:dyDescent="0.25">
      <c r="A758">
        <f t="shared" si="81"/>
        <v>750</v>
      </c>
      <c r="B758" t="str">
        <f t="shared" si="79"/>
        <v>0x2EE</v>
      </c>
      <c r="C758">
        <f t="shared" si="83"/>
        <v>14</v>
      </c>
      <c r="D758" t="str">
        <f t="shared" si="80"/>
        <v>0000E</v>
      </c>
    </row>
    <row r="759" spans="1:4" x14ac:dyDescent="0.25">
      <c r="A759">
        <f t="shared" si="81"/>
        <v>751</v>
      </c>
      <c r="B759" t="str">
        <f t="shared" si="79"/>
        <v>0x2EF</v>
      </c>
      <c r="C759">
        <f t="shared" si="83"/>
        <v>15</v>
      </c>
      <c r="D759" t="str">
        <f t="shared" si="80"/>
        <v>0000F</v>
      </c>
    </row>
    <row r="760" spans="1:4" x14ac:dyDescent="0.25">
      <c r="A760">
        <f t="shared" si="81"/>
        <v>752</v>
      </c>
      <c r="B760" t="str">
        <f t="shared" si="79"/>
        <v>0x2F0</v>
      </c>
      <c r="C760">
        <f t="shared" si="83"/>
        <v>16</v>
      </c>
      <c r="D760" t="str">
        <f t="shared" si="80"/>
        <v>00010</v>
      </c>
    </row>
    <row r="761" spans="1:4" x14ac:dyDescent="0.25">
      <c r="A761">
        <f t="shared" si="81"/>
        <v>753</v>
      </c>
      <c r="B761" t="str">
        <f t="shared" si="79"/>
        <v>0x2F1</v>
      </c>
      <c r="C761">
        <f t="shared" si="83"/>
        <v>17</v>
      </c>
      <c r="D761" t="str">
        <f t="shared" si="80"/>
        <v>00011</v>
      </c>
    </row>
    <row r="762" spans="1:4" x14ac:dyDescent="0.25">
      <c r="A762">
        <f t="shared" si="81"/>
        <v>754</v>
      </c>
      <c r="B762" t="str">
        <f t="shared" si="79"/>
        <v>0x2F2</v>
      </c>
      <c r="C762">
        <f t="shared" si="83"/>
        <v>18</v>
      </c>
      <c r="D762" t="str">
        <f t="shared" si="80"/>
        <v>00012</v>
      </c>
    </row>
    <row r="763" spans="1:4" x14ac:dyDescent="0.25">
      <c r="A763">
        <f t="shared" si="81"/>
        <v>755</v>
      </c>
      <c r="B763" t="str">
        <f t="shared" si="79"/>
        <v>0x2F3</v>
      </c>
      <c r="C763">
        <f t="shared" si="83"/>
        <v>19</v>
      </c>
      <c r="D763" t="str">
        <f t="shared" si="80"/>
        <v>00013</v>
      </c>
    </row>
    <row r="764" spans="1:4" x14ac:dyDescent="0.25">
      <c r="A764">
        <f t="shared" si="81"/>
        <v>756</v>
      </c>
      <c r="B764" t="str">
        <f t="shared" si="79"/>
        <v>0x2F4</v>
      </c>
      <c r="C764">
        <f t="shared" si="83"/>
        <v>20</v>
      </c>
      <c r="D764" t="str">
        <f t="shared" si="80"/>
        <v>00014</v>
      </c>
    </row>
    <row r="765" spans="1:4" x14ac:dyDescent="0.25">
      <c r="A765">
        <f t="shared" si="81"/>
        <v>757</v>
      </c>
      <c r="B765" t="str">
        <f t="shared" si="79"/>
        <v>0x2F5</v>
      </c>
      <c r="C765">
        <f t="shared" si="83"/>
        <v>21</v>
      </c>
      <c r="D765" t="str">
        <f t="shared" si="80"/>
        <v>00015</v>
      </c>
    </row>
    <row r="766" spans="1:4" x14ac:dyDescent="0.25">
      <c r="A766">
        <f t="shared" si="81"/>
        <v>758</v>
      </c>
      <c r="B766" t="str">
        <f t="shared" si="79"/>
        <v>0x2F6</v>
      </c>
      <c r="C766">
        <f t="shared" si="83"/>
        <v>22</v>
      </c>
      <c r="D766" t="str">
        <f t="shared" si="80"/>
        <v>00016</v>
      </c>
    </row>
    <row r="767" spans="1:4" x14ac:dyDescent="0.25">
      <c r="A767">
        <f t="shared" si="81"/>
        <v>759</v>
      </c>
      <c r="B767" t="str">
        <f t="shared" si="79"/>
        <v>0x2F7</v>
      </c>
      <c r="C767">
        <f t="shared" si="83"/>
        <v>23</v>
      </c>
      <c r="D767" t="str">
        <f t="shared" si="80"/>
        <v>00017</v>
      </c>
    </row>
    <row r="768" spans="1:4" x14ac:dyDescent="0.25">
      <c r="A768">
        <f t="shared" si="81"/>
        <v>760</v>
      </c>
      <c r="B768" t="str">
        <f t="shared" si="79"/>
        <v>0x2F8</v>
      </c>
      <c r="C768">
        <f t="shared" si="83"/>
        <v>24</v>
      </c>
      <c r="D768" t="str">
        <f t="shared" si="80"/>
        <v>00018</v>
      </c>
    </row>
    <row r="769" spans="1:4" x14ac:dyDescent="0.25">
      <c r="A769">
        <f t="shared" si="81"/>
        <v>761</v>
      </c>
      <c r="B769" t="str">
        <f t="shared" si="79"/>
        <v>0x2F9</v>
      </c>
      <c r="C769">
        <f t="shared" si="83"/>
        <v>25</v>
      </c>
      <c r="D769" t="str">
        <f t="shared" si="80"/>
        <v>00019</v>
      </c>
    </row>
    <row r="770" spans="1:4" x14ac:dyDescent="0.25">
      <c r="A770">
        <f t="shared" si="81"/>
        <v>762</v>
      </c>
      <c r="B770" t="str">
        <f t="shared" si="79"/>
        <v>0x2FA</v>
      </c>
      <c r="C770">
        <f t="shared" si="83"/>
        <v>26</v>
      </c>
      <c r="D770" t="str">
        <f t="shared" si="80"/>
        <v>0001A</v>
      </c>
    </row>
    <row r="771" spans="1:4" x14ac:dyDescent="0.25">
      <c r="A771">
        <f t="shared" si="81"/>
        <v>763</v>
      </c>
      <c r="B771" t="str">
        <f t="shared" si="79"/>
        <v>0x2FB</v>
      </c>
      <c r="C771">
        <f t="shared" si="83"/>
        <v>27</v>
      </c>
      <c r="D771" t="str">
        <f t="shared" si="80"/>
        <v>0001B</v>
      </c>
    </row>
    <row r="772" spans="1:4" x14ac:dyDescent="0.25">
      <c r="A772">
        <f t="shared" si="81"/>
        <v>764</v>
      </c>
      <c r="B772" t="str">
        <f t="shared" si="79"/>
        <v>0x2FC</v>
      </c>
      <c r="C772">
        <f t="shared" si="83"/>
        <v>28</v>
      </c>
      <c r="D772" t="str">
        <f t="shared" si="80"/>
        <v>0001C</v>
      </c>
    </row>
    <row r="773" spans="1:4" x14ac:dyDescent="0.25">
      <c r="A773">
        <f t="shared" si="81"/>
        <v>765</v>
      </c>
      <c r="B773" t="str">
        <f t="shared" si="79"/>
        <v>0x2FD</v>
      </c>
      <c r="C773">
        <f t="shared" si="83"/>
        <v>29</v>
      </c>
      <c r="D773" t="str">
        <f t="shared" si="80"/>
        <v>0001D</v>
      </c>
    </row>
    <row r="774" spans="1:4" x14ac:dyDescent="0.25">
      <c r="A774">
        <f t="shared" si="81"/>
        <v>766</v>
      </c>
      <c r="B774" t="str">
        <f t="shared" si="79"/>
        <v>0x2FE</v>
      </c>
      <c r="C774">
        <f t="shared" si="83"/>
        <v>30</v>
      </c>
      <c r="D774" t="str">
        <f t="shared" si="80"/>
        <v>0001E</v>
      </c>
    </row>
    <row r="775" spans="1:4" x14ac:dyDescent="0.25">
      <c r="A775">
        <f t="shared" si="81"/>
        <v>767</v>
      </c>
      <c r="B775" t="str">
        <f t="shared" si="79"/>
        <v>0x2FF</v>
      </c>
      <c r="C775">
        <f t="shared" si="83"/>
        <v>31</v>
      </c>
      <c r="D775" t="str">
        <f t="shared" si="80"/>
        <v>0001F</v>
      </c>
    </row>
    <row r="776" spans="1:4" x14ac:dyDescent="0.25">
      <c r="A776">
        <f t="shared" si="81"/>
        <v>768</v>
      </c>
      <c r="B776" t="str">
        <f t="shared" si="79"/>
        <v>0x300</v>
      </c>
      <c r="C776">
        <v>0</v>
      </c>
      <c r="D776" t="str">
        <f t="shared" si="80"/>
        <v>00000</v>
      </c>
    </row>
    <row r="777" spans="1:4" x14ac:dyDescent="0.25">
      <c r="A777">
        <f t="shared" si="81"/>
        <v>769</v>
      </c>
      <c r="B777" t="str">
        <f t="shared" ref="B777:B840" si="84">CONCATENATE("0x",DEC2HEX(A777,3))</f>
        <v>0x301</v>
      </c>
      <c r="C777">
        <f>C776+1</f>
        <v>1</v>
      </c>
      <c r="D777" t="str">
        <f t="shared" ref="D777:D840" si="85">DEC2HEX(C777,5)</f>
        <v>00001</v>
      </c>
    </row>
    <row r="778" spans="1:4" x14ac:dyDescent="0.25">
      <c r="A778">
        <f t="shared" ref="A778:A841" si="86">A777+1</f>
        <v>770</v>
      </c>
      <c r="B778" t="str">
        <f t="shared" si="84"/>
        <v>0x302</v>
      </c>
      <c r="C778">
        <f t="shared" ref="C778:C807" si="87">C777+1</f>
        <v>2</v>
      </c>
      <c r="D778" t="str">
        <f t="shared" si="85"/>
        <v>00002</v>
      </c>
    </row>
    <row r="779" spans="1:4" x14ac:dyDescent="0.25">
      <c r="A779">
        <f t="shared" si="86"/>
        <v>771</v>
      </c>
      <c r="B779" t="str">
        <f t="shared" si="84"/>
        <v>0x303</v>
      </c>
      <c r="C779">
        <f t="shared" si="87"/>
        <v>3</v>
      </c>
      <c r="D779" t="str">
        <f t="shared" si="85"/>
        <v>00003</v>
      </c>
    </row>
    <row r="780" spans="1:4" x14ac:dyDescent="0.25">
      <c r="A780">
        <f t="shared" si="86"/>
        <v>772</v>
      </c>
      <c r="B780" t="str">
        <f t="shared" si="84"/>
        <v>0x304</v>
      </c>
      <c r="C780">
        <f t="shared" si="87"/>
        <v>4</v>
      </c>
      <c r="D780" t="str">
        <f t="shared" si="85"/>
        <v>00004</v>
      </c>
    </row>
    <row r="781" spans="1:4" x14ac:dyDescent="0.25">
      <c r="A781">
        <f t="shared" si="86"/>
        <v>773</v>
      </c>
      <c r="B781" t="str">
        <f t="shared" si="84"/>
        <v>0x305</v>
      </c>
      <c r="C781">
        <f t="shared" si="87"/>
        <v>5</v>
      </c>
      <c r="D781" t="str">
        <f t="shared" si="85"/>
        <v>00005</v>
      </c>
    </row>
    <row r="782" spans="1:4" x14ac:dyDescent="0.25">
      <c r="A782">
        <f t="shared" si="86"/>
        <v>774</v>
      </c>
      <c r="B782" t="str">
        <f t="shared" si="84"/>
        <v>0x306</v>
      </c>
      <c r="C782">
        <f t="shared" si="87"/>
        <v>6</v>
      </c>
      <c r="D782" t="str">
        <f t="shared" si="85"/>
        <v>00006</v>
      </c>
    </row>
    <row r="783" spans="1:4" x14ac:dyDescent="0.25">
      <c r="A783">
        <f t="shared" si="86"/>
        <v>775</v>
      </c>
      <c r="B783" t="str">
        <f t="shared" si="84"/>
        <v>0x307</v>
      </c>
      <c r="C783">
        <f t="shared" si="87"/>
        <v>7</v>
      </c>
      <c r="D783" t="str">
        <f t="shared" si="85"/>
        <v>00007</v>
      </c>
    </row>
    <row r="784" spans="1:4" x14ac:dyDescent="0.25">
      <c r="A784">
        <f t="shared" si="86"/>
        <v>776</v>
      </c>
      <c r="B784" t="str">
        <f t="shared" si="84"/>
        <v>0x308</v>
      </c>
      <c r="C784">
        <f t="shared" si="87"/>
        <v>8</v>
      </c>
      <c r="D784" t="str">
        <f t="shared" si="85"/>
        <v>00008</v>
      </c>
    </row>
    <row r="785" spans="1:4" x14ac:dyDescent="0.25">
      <c r="A785">
        <f t="shared" si="86"/>
        <v>777</v>
      </c>
      <c r="B785" t="str">
        <f t="shared" si="84"/>
        <v>0x309</v>
      </c>
      <c r="C785">
        <f t="shared" si="87"/>
        <v>9</v>
      </c>
      <c r="D785" t="str">
        <f t="shared" si="85"/>
        <v>00009</v>
      </c>
    </row>
    <row r="786" spans="1:4" x14ac:dyDescent="0.25">
      <c r="A786">
        <f t="shared" si="86"/>
        <v>778</v>
      </c>
      <c r="B786" t="str">
        <f t="shared" si="84"/>
        <v>0x30A</v>
      </c>
      <c r="C786">
        <f t="shared" si="87"/>
        <v>10</v>
      </c>
      <c r="D786" t="str">
        <f t="shared" si="85"/>
        <v>0000A</v>
      </c>
    </row>
    <row r="787" spans="1:4" x14ac:dyDescent="0.25">
      <c r="A787">
        <f t="shared" si="86"/>
        <v>779</v>
      </c>
      <c r="B787" t="str">
        <f t="shared" si="84"/>
        <v>0x30B</v>
      </c>
      <c r="C787">
        <f t="shared" si="87"/>
        <v>11</v>
      </c>
      <c r="D787" t="str">
        <f t="shared" si="85"/>
        <v>0000B</v>
      </c>
    </row>
    <row r="788" spans="1:4" x14ac:dyDescent="0.25">
      <c r="A788">
        <f t="shared" si="86"/>
        <v>780</v>
      </c>
      <c r="B788" t="str">
        <f t="shared" si="84"/>
        <v>0x30C</v>
      </c>
      <c r="C788">
        <f t="shared" si="87"/>
        <v>12</v>
      </c>
      <c r="D788" t="str">
        <f t="shared" si="85"/>
        <v>0000C</v>
      </c>
    </row>
    <row r="789" spans="1:4" x14ac:dyDescent="0.25">
      <c r="A789">
        <f t="shared" si="86"/>
        <v>781</v>
      </c>
      <c r="B789" t="str">
        <f t="shared" si="84"/>
        <v>0x30D</v>
      </c>
      <c r="C789">
        <f t="shared" si="87"/>
        <v>13</v>
      </c>
      <c r="D789" t="str">
        <f t="shared" si="85"/>
        <v>0000D</v>
      </c>
    </row>
    <row r="790" spans="1:4" x14ac:dyDescent="0.25">
      <c r="A790">
        <f t="shared" si="86"/>
        <v>782</v>
      </c>
      <c r="B790" t="str">
        <f t="shared" si="84"/>
        <v>0x30E</v>
      </c>
      <c r="C790">
        <f t="shared" si="87"/>
        <v>14</v>
      </c>
      <c r="D790" t="str">
        <f t="shared" si="85"/>
        <v>0000E</v>
      </c>
    </row>
    <row r="791" spans="1:4" x14ac:dyDescent="0.25">
      <c r="A791">
        <f t="shared" si="86"/>
        <v>783</v>
      </c>
      <c r="B791" t="str">
        <f t="shared" si="84"/>
        <v>0x30F</v>
      </c>
      <c r="C791">
        <f t="shared" si="87"/>
        <v>15</v>
      </c>
      <c r="D791" t="str">
        <f t="shared" si="85"/>
        <v>0000F</v>
      </c>
    </row>
    <row r="792" spans="1:4" x14ac:dyDescent="0.25">
      <c r="A792">
        <f t="shared" si="86"/>
        <v>784</v>
      </c>
      <c r="B792" t="str">
        <f t="shared" si="84"/>
        <v>0x310</v>
      </c>
      <c r="C792">
        <f t="shared" si="87"/>
        <v>16</v>
      </c>
      <c r="D792" t="str">
        <f t="shared" si="85"/>
        <v>00010</v>
      </c>
    </row>
    <row r="793" spans="1:4" x14ac:dyDescent="0.25">
      <c r="A793">
        <f t="shared" si="86"/>
        <v>785</v>
      </c>
      <c r="B793" t="str">
        <f t="shared" si="84"/>
        <v>0x311</v>
      </c>
      <c r="C793">
        <f t="shared" si="87"/>
        <v>17</v>
      </c>
      <c r="D793" t="str">
        <f t="shared" si="85"/>
        <v>00011</v>
      </c>
    </row>
    <row r="794" spans="1:4" x14ac:dyDescent="0.25">
      <c r="A794">
        <f t="shared" si="86"/>
        <v>786</v>
      </c>
      <c r="B794" t="str">
        <f t="shared" si="84"/>
        <v>0x312</v>
      </c>
      <c r="C794">
        <f t="shared" si="87"/>
        <v>18</v>
      </c>
      <c r="D794" t="str">
        <f t="shared" si="85"/>
        <v>00012</v>
      </c>
    </row>
    <row r="795" spans="1:4" x14ac:dyDescent="0.25">
      <c r="A795">
        <f t="shared" si="86"/>
        <v>787</v>
      </c>
      <c r="B795" t="str">
        <f t="shared" si="84"/>
        <v>0x313</v>
      </c>
      <c r="C795">
        <f t="shared" si="87"/>
        <v>19</v>
      </c>
      <c r="D795" t="str">
        <f t="shared" si="85"/>
        <v>00013</v>
      </c>
    </row>
    <row r="796" spans="1:4" x14ac:dyDescent="0.25">
      <c r="A796">
        <f t="shared" si="86"/>
        <v>788</v>
      </c>
      <c r="B796" t="str">
        <f t="shared" si="84"/>
        <v>0x314</v>
      </c>
      <c r="C796">
        <f t="shared" si="87"/>
        <v>20</v>
      </c>
      <c r="D796" t="str">
        <f t="shared" si="85"/>
        <v>00014</v>
      </c>
    </row>
    <row r="797" spans="1:4" x14ac:dyDescent="0.25">
      <c r="A797">
        <f t="shared" si="86"/>
        <v>789</v>
      </c>
      <c r="B797" t="str">
        <f t="shared" si="84"/>
        <v>0x315</v>
      </c>
      <c r="C797">
        <f t="shared" si="87"/>
        <v>21</v>
      </c>
      <c r="D797" t="str">
        <f t="shared" si="85"/>
        <v>00015</v>
      </c>
    </row>
    <row r="798" spans="1:4" x14ac:dyDescent="0.25">
      <c r="A798">
        <f t="shared" si="86"/>
        <v>790</v>
      </c>
      <c r="B798" t="str">
        <f t="shared" si="84"/>
        <v>0x316</v>
      </c>
      <c r="C798">
        <f t="shared" si="87"/>
        <v>22</v>
      </c>
      <c r="D798" t="str">
        <f t="shared" si="85"/>
        <v>00016</v>
      </c>
    </row>
    <row r="799" spans="1:4" x14ac:dyDescent="0.25">
      <c r="A799">
        <f t="shared" si="86"/>
        <v>791</v>
      </c>
      <c r="B799" t="str">
        <f t="shared" si="84"/>
        <v>0x317</v>
      </c>
      <c r="C799">
        <f t="shared" si="87"/>
        <v>23</v>
      </c>
      <c r="D799" t="str">
        <f t="shared" si="85"/>
        <v>00017</v>
      </c>
    </row>
    <row r="800" spans="1:4" x14ac:dyDescent="0.25">
      <c r="A800">
        <f t="shared" si="86"/>
        <v>792</v>
      </c>
      <c r="B800" t="str">
        <f t="shared" si="84"/>
        <v>0x318</v>
      </c>
      <c r="C800">
        <f t="shared" si="87"/>
        <v>24</v>
      </c>
      <c r="D800" t="str">
        <f t="shared" si="85"/>
        <v>00018</v>
      </c>
    </row>
    <row r="801" spans="1:4" x14ac:dyDescent="0.25">
      <c r="A801">
        <f t="shared" si="86"/>
        <v>793</v>
      </c>
      <c r="B801" t="str">
        <f t="shared" si="84"/>
        <v>0x319</v>
      </c>
      <c r="C801">
        <f t="shared" si="87"/>
        <v>25</v>
      </c>
      <c r="D801" t="str">
        <f t="shared" si="85"/>
        <v>00019</v>
      </c>
    </row>
    <row r="802" spans="1:4" x14ac:dyDescent="0.25">
      <c r="A802">
        <f t="shared" si="86"/>
        <v>794</v>
      </c>
      <c r="B802" t="str">
        <f t="shared" si="84"/>
        <v>0x31A</v>
      </c>
      <c r="C802">
        <f t="shared" si="87"/>
        <v>26</v>
      </c>
      <c r="D802" t="str">
        <f t="shared" si="85"/>
        <v>0001A</v>
      </c>
    </row>
    <row r="803" spans="1:4" x14ac:dyDescent="0.25">
      <c r="A803">
        <f t="shared" si="86"/>
        <v>795</v>
      </c>
      <c r="B803" t="str">
        <f t="shared" si="84"/>
        <v>0x31B</v>
      </c>
      <c r="C803">
        <f t="shared" si="87"/>
        <v>27</v>
      </c>
      <c r="D803" t="str">
        <f t="shared" si="85"/>
        <v>0001B</v>
      </c>
    </row>
    <row r="804" spans="1:4" x14ac:dyDescent="0.25">
      <c r="A804">
        <f t="shared" si="86"/>
        <v>796</v>
      </c>
      <c r="B804" t="str">
        <f t="shared" si="84"/>
        <v>0x31C</v>
      </c>
      <c r="C804">
        <f t="shared" si="87"/>
        <v>28</v>
      </c>
      <c r="D804" t="str">
        <f t="shared" si="85"/>
        <v>0001C</v>
      </c>
    </row>
    <row r="805" spans="1:4" x14ac:dyDescent="0.25">
      <c r="A805">
        <f t="shared" si="86"/>
        <v>797</v>
      </c>
      <c r="B805" t="str">
        <f t="shared" si="84"/>
        <v>0x31D</v>
      </c>
      <c r="C805">
        <f t="shared" si="87"/>
        <v>29</v>
      </c>
      <c r="D805" t="str">
        <f t="shared" si="85"/>
        <v>0001D</v>
      </c>
    </row>
    <row r="806" spans="1:4" x14ac:dyDescent="0.25">
      <c r="A806">
        <f t="shared" si="86"/>
        <v>798</v>
      </c>
      <c r="B806" t="str">
        <f t="shared" si="84"/>
        <v>0x31E</v>
      </c>
      <c r="C806">
        <f t="shared" si="87"/>
        <v>30</v>
      </c>
      <c r="D806" t="str">
        <f t="shared" si="85"/>
        <v>0001E</v>
      </c>
    </row>
    <row r="807" spans="1:4" x14ac:dyDescent="0.25">
      <c r="A807">
        <f t="shared" si="86"/>
        <v>799</v>
      </c>
      <c r="B807" t="str">
        <f t="shared" si="84"/>
        <v>0x31F</v>
      </c>
      <c r="C807">
        <f t="shared" si="87"/>
        <v>31</v>
      </c>
      <c r="D807" t="str">
        <f t="shared" si="85"/>
        <v>0001F</v>
      </c>
    </row>
    <row r="808" spans="1:4" x14ac:dyDescent="0.25">
      <c r="A808">
        <f t="shared" si="86"/>
        <v>800</v>
      </c>
      <c r="B808" t="str">
        <f t="shared" si="84"/>
        <v>0x320</v>
      </c>
      <c r="C808">
        <v>0</v>
      </c>
      <c r="D808" t="str">
        <f t="shared" si="85"/>
        <v>00000</v>
      </c>
    </row>
    <row r="809" spans="1:4" x14ac:dyDescent="0.25">
      <c r="A809">
        <f t="shared" si="86"/>
        <v>801</v>
      </c>
      <c r="B809" t="str">
        <f t="shared" si="84"/>
        <v>0x321</v>
      </c>
      <c r="C809">
        <f>C808+1</f>
        <v>1</v>
      </c>
      <c r="D809" t="str">
        <f t="shared" si="85"/>
        <v>00001</v>
      </c>
    </row>
    <row r="810" spans="1:4" x14ac:dyDescent="0.25">
      <c r="A810">
        <f t="shared" si="86"/>
        <v>802</v>
      </c>
      <c r="B810" t="str">
        <f t="shared" si="84"/>
        <v>0x322</v>
      </c>
      <c r="C810">
        <f t="shared" ref="C810:C839" si="88">C809+1</f>
        <v>2</v>
      </c>
      <c r="D810" t="str">
        <f t="shared" si="85"/>
        <v>00002</v>
      </c>
    </row>
    <row r="811" spans="1:4" x14ac:dyDescent="0.25">
      <c r="A811">
        <f t="shared" si="86"/>
        <v>803</v>
      </c>
      <c r="B811" t="str">
        <f t="shared" si="84"/>
        <v>0x323</v>
      </c>
      <c r="C811">
        <f t="shared" si="88"/>
        <v>3</v>
      </c>
      <c r="D811" t="str">
        <f t="shared" si="85"/>
        <v>00003</v>
      </c>
    </row>
    <row r="812" spans="1:4" x14ac:dyDescent="0.25">
      <c r="A812">
        <f t="shared" si="86"/>
        <v>804</v>
      </c>
      <c r="B812" t="str">
        <f t="shared" si="84"/>
        <v>0x324</v>
      </c>
      <c r="C812">
        <f t="shared" si="88"/>
        <v>4</v>
      </c>
      <c r="D812" t="str">
        <f t="shared" si="85"/>
        <v>00004</v>
      </c>
    </row>
    <row r="813" spans="1:4" x14ac:dyDescent="0.25">
      <c r="A813">
        <f t="shared" si="86"/>
        <v>805</v>
      </c>
      <c r="B813" t="str">
        <f t="shared" si="84"/>
        <v>0x325</v>
      </c>
      <c r="C813">
        <f t="shared" si="88"/>
        <v>5</v>
      </c>
      <c r="D813" t="str">
        <f t="shared" si="85"/>
        <v>00005</v>
      </c>
    </row>
    <row r="814" spans="1:4" x14ac:dyDescent="0.25">
      <c r="A814">
        <f t="shared" si="86"/>
        <v>806</v>
      </c>
      <c r="B814" t="str">
        <f t="shared" si="84"/>
        <v>0x326</v>
      </c>
      <c r="C814">
        <f t="shared" si="88"/>
        <v>6</v>
      </c>
      <c r="D814" t="str">
        <f t="shared" si="85"/>
        <v>00006</v>
      </c>
    </row>
    <row r="815" spans="1:4" x14ac:dyDescent="0.25">
      <c r="A815">
        <f t="shared" si="86"/>
        <v>807</v>
      </c>
      <c r="B815" t="str">
        <f t="shared" si="84"/>
        <v>0x327</v>
      </c>
      <c r="C815">
        <f t="shared" si="88"/>
        <v>7</v>
      </c>
      <c r="D815" t="str">
        <f t="shared" si="85"/>
        <v>00007</v>
      </c>
    </row>
    <row r="816" spans="1:4" x14ac:dyDescent="0.25">
      <c r="A816">
        <f t="shared" si="86"/>
        <v>808</v>
      </c>
      <c r="B816" t="str">
        <f t="shared" si="84"/>
        <v>0x328</v>
      </c>
      <c r="C816">
        <f t="shared" si="88"/>
        <v>8</v>
      </c>
      <c r="D816" t="str">
        <f t="shared" si="85"/>
        <v>00008</v>
      </c>
    </row>
    <row r="817" spans="1:4" x14ac:dyDescent="0.25">
      <c r="A817">
        <f t="shared" si="86"/>
        <v>809</v>
      </c>
      <c r="B817" t="str">
        <f t="shared" si="84"/>
        <v>0x329</v>
      </c>
      <c r="C817">
        <f t="shared" si="88"/>
        <v>9</v>
      </c>
      <c r="D817" t="str">
        <f t="shared" si="85"/>
        <v>00009</v>
      </c>
    </row>
    <row r="818" spans="1:4" x14ac:dyDescent="0.25">
      <c r="A818">
        <f t="shared" si="86"/>
        <v>810</v>
      </c>
      <c r="B818" t="str">
        <f t="shared" si="84"/>
        <v>0x32A</v>
      </c>
      <c r="C818">
        <f t="shared" si="88"/>
        <v>10</v>
      </c>
      <c r="D818" t="str">
        <f t="shared" si="85"/>
        <v>0000A</v>
      </c>
    </row>
    <row r="819" spans="1:4" x14ac:dyDescent="0.25">
      <c r="A819">
        <f t="shared" si="86"/>
        <v>811</v>
      </c>
      <c r="B819" t="str">
        <f t="shared" si="84"/>
        <v>0x32B</v>
      </c>
      <c r="C819">
        <f t="shared" si="88"/>
        <v>11</v>
      </c>
      <c r="D819" t="str">
        <f t="shared" si="85"/>
        <v>0000B</v>
      </c>
    </row>
    <row r="820" spans="1:4" x14ac:dyDescent="0.25">
      <c r="A820">
        <f t="shared" si="86"/>
        <v>812</v>
      </c>
      <c r="B820" t="str">
        <f t="shared" si="84"/>
        <v>0x32C</v>
      </c>
      <c r="C820">
        <f t="shared" si="88"/>
        <v>12</v>
      </c>
      <c r="D820" t="str">
        <f t="shared" si="85"/>
        <v>0000C</v>
      </c>
    </row>
    <row r="821" spans="1:4" x14ac:dyDescent="0.25">
      <c r="A821">
        <f t="shared" si="86"/>
        <v>813</v>
      </c>
      <c r="B821" t="str">
        <f t="shared" si="84"/>
        <v>0x32D</v>
      </c>
      <c r="C821">
        <f t="shared" si="88"/>
        <v>13</v>
      </c>
      <c r="D821" t="str">
        <f t="shared" si="85"/>
        <v>0000D</v>
      </c>
    </row>
    <row r="822" spans="1:4" x14ac:dyDescent="0.25">
      <c r="A822">
        <f t="shared" si="86"/>
        <v>814</v>
      </c>
      <c r="B822" t="str">
        <f t="shared" si="84"/>
        <v>0x32E</v>
      </c>
      <c r="C822">
        <f t="shared" si="88"/>
        <v>14</v>
      </c>
      <c r="D822" t="str">
        <f t="shared" si="85"/>
        <v>0000E</v>
      </c>
    </row>
    <row r="823" spans="1:4" x14ac:dyDescent="0.25">
      <c r="A823">
        <f t="shared" si="86"/>
        <v>815</v>
      </c>
      <c r="B823" t="str">
        <f t="shared" si="84"/>
        <v>0x32F</v>
      </c>
      <c r="C823">
        <f t="shared" si="88"/>
        <v>15</v>
      </c>
      <c r="D823" t="str">
        <f t="shared" si="85"/>
        <v>0000F</v>
      </c>
    </row>
    <row r="824" spans="1:4" x14ac:dyDescent="0.25">
      <c r="A824">
        <f t="shared" si="86"/>
        <v>816</v>
      </c>
      <c r="B824" t="str">
        <f t="shared" si="84"/>
        <v>0x330</v>
      </c>
      <c r="C824">
        <f t="shared" si="88"/>
        <v>16</v>
      </c>
      <c r="D824" t="str">
        <f t="shared" si="85"/>
        <v>00010</v>
      </c>
    </row>
    <row r="825" spans="1:4" x14ac:dyDescent="0.25">
      <c r="A825">
        <f t="shared" si="86"/>
        <v>817</v>
      </c>
      <c r="B825" t="str">
        <f t="shared" si="84"/>
        <v>0x331</v>
      </c>
      <c r="C825">
        <f t="shared" si="88"/>
        <v>17</v>
      </c>
      <c r="D825" t="str">
        <f t="shared" si="85"/>
        <v>00011</v>
      </c>
    </row>
    <row r="826" spans="1:4" x14ac:dyDescent="0.25">
      <c r="A826">
        <f t="shared" si="86"/>
        <v>818</v>
      </c>
      <c r="B826" t="str">
        <f t="shared" si="84"/>
        <v>0x332</v>
      </c>
      <c r="C826">
        <f t="shared" si="88"/>
        <v>18</v>
      </c>
      <c r="D826" t="str">
        <f t="shared" si="85"/>
        <v>00012</v>
      </c>
    </row>
    <row r="827" spans="1:4" x14ac:dyDescent="0.25">
      <c r="A827">
        <f t="shared" si="86"/>
        <v>819</v>
      </c>
      <c r="B827" t="str">
        <f t="shared" si="84"/>
        <v>0x333</v>
      </c>
      <c r="C827">
        <f t="shared" si="88"/>
        <v>19</v>
      </c>
      <c r="D827" t="str">
        <f t="shared" si="85"/>
        <v>00013</v>
      </c>
    </row>
    <row r="828" spans="1:4" x14ac:dyDescent="0.25">
      <c r="A828">
        <f t="shared" si="86"/>
        <v>820</v>
      </c>
      <c r="B828" t="str">
        <f t="shared" si="84"/>
        <v>0x334</v>
      </c>
      <c r="C828">
        <f t="shared" si="88"/>
        <v>20</v>
      </c>
      <c r="D828" t="str">
        <f t="shared" si="85"/>
        <v>00014</v>
      </c>
    </row>
    <row r="829" spans="1:4" x14ac:dyDescent="0.25">
      <c r="A829">
        <f t="shared" si="86"/>
        <v>821</v>
      </c>
      <c r="B829" t="str">
        <f t="shared" si="84"/>
        <v>0x335</v>
      </c>
      <c r="C829">
        <f t="shared" si="88"/>
        <v>21</v>
      </c>
      <c r="D829" t="str">
        <f t="shared" si="85"/>
        <v>00015</v>
      </c>
    </row>
    <row r="830" spans="1:4" x14ac:dyDescent="0.25">
      <c r="A830">
        <f t="shared" si="86"/>
        <v>822</v>
      </c>
      <c r="B830" t="str">
        <f t="shared" si="84"/>
        <v>0x336</v>
      </c>
      <c r="C830">
        <f t="shared" si="88"/>
        <v>22</v>
      </c>
      <c r="D830" t="str">
        <f t="shared" si="85"/>
        <v>00016</v>
      </c>
    </row>
    <row r="831" spans="1:4" x14ac:dyDescent="0.25">
      <c r="A831">
        <f t="shared" si="86"/>
        <v>823</v>
      </c>
      <c r="B831" t="str">
        <f t="shared" si="84"/>
        <v>0x337</v>
      </c>
      <c r="C831">
        <f t="shared" si="88"/>
        <v>23</v>
      </c>
      <c r="D831" t="str">
        <f t="shared" si="85"/>
        <v>00017</v>
      </c>
    </row>
    <row r="832" spans="1:4" x14ac:dyDescent="0.25">
      <c r="A832">
        <f t="shared" si="86"/>
        <v>824</v>
      </c>
      <c r="B832" t="str">
        <f t="shared" si="84"/>
        <v>0x338</v>
      </c>
      <c r="C832">
        <f t="shared" si="88"/>
        <v>24</v>
      </c>
      <c r="D832" t="str">
        <f t="shared" si="85"/>
        <v>00018</v>
      </c>
    </row>
    <row r="833" spans="1:4" x14ac:dyDescent="0.25">
      <c r="A833">
        <f t="shared" si="86"/>
        <v>825</v>
      </c>
      <c r="B833" t="str">
        <f t="shared" si="84"/>
        <v>0x339</v>
      </c>
      <c r="C833">
        <f t="shared" si="88"/>
        <v>25</v>
      </c>
      <c r="D833" t="str">
        <f t="shared" si="85"/>
        <v>00019</v>
      </c>
    </row>
    <row r="834" spans="1:4" x14ac:dyDescent="0.25">
      <c r="A834">
        <f t="shared" si="86"/>
        <v>826</v>
      </c>
      <c r="B834" t="str">
        <f t="shared" si="84"/>
        <v>0x33A</v>
      </c>
      <c r="C834">
        <f t="shared" si="88"/>
        <v>26</v>
      </c>
      <c r="D834" t="str">
        <f t="shared" si="85"/>
        <v>0001A</v>
      </c>
    </row>
    <row r="835" spans="1:4" x14ac:dyDescent="0.25">
      <c r="A835">
        <f t="shared" si="86"/>
        <v>827</v>
      </c>
      <c r="B835" t="str">
        <f t="shared" si="84"/>
        <v>0x33B</v>
      </c>
      <c r="C835">
        <f t="shared" si="88"/>
        <v>27</v>
      </c>
      <c r="D835" t="str">
        <f t="shared" si="85"/>
        <v>0001B</v>
      </c>
    </row>
    <row r="836" spans="1:4" x14ac:dyDescent="0.25">
      <c r="A836">
        <f t="shared" si="86"/>
        <v>828</v>
      </c>
      <c r="B836" t="str">
        <f t="shared" si="84"/>
        <v>0x33C</v>
      </c>
      <c r="C836">
        <f t="shared" si="88"/>
        <v>28</v>
      </c>
      <c r="D836" t="str">
        <f t="shared" si="85"/>
        <v>0001C</v>
      </c>
    </row>
    <row r="837" spans="1:4" x14ac:dyDescent="0.25">
      <c r="A837">
        <f t="shared" si="86"/>
        <v>829</v>
      </c>
      <c r="B837" t="str">
        <f t="shared" si="84"/>
        <v>0x33D</v>
      </c>
      <c r="C837">
        <f t="shared" si="88"/>
        <v>29</v>
      </c>
      <c r="D837" t="str">
        <f t="shared" si="85"/>
        <v>0001D</v>
      </c>
    </row>
    <row r="838" spans="1:4" x14ac:dyDescent="0.25">
      <c r="A838">
        <f t="shared" si="86"/>
        <v>830</v>
      </c>
      <c r="B838" t="str">
        <f t="shared" si="84"/>
        <v>0x33E</v>
      </c>
      <c r="C838">
        <f t="shared" si="88"/>
        <v>30</v>
      </c>
      <c r="D838" t="str">
        <f t="shared" si="85"/>
        <v>0001E</v>
      </c>
    </row>
    <row r="839" spans="1:4" x14ac:dyDescent="0.25">
      <c r="A839">
        <f t="shared" si="86"/>
        <v>831</v>
      </c>
      <c r="B839" t="str">
        <f t="shared" si="84"/>
        <v>0x33F</v>
      </c>
      <c r="C839">
        <f t="shared" si="88"/>
        <v>31</v>
      </c>
      <c r="D839" t="str">
        <f t="shared" si="85"/>
        <v>0001F</v>
      </c>
    </row>
    <row r="840" spans="1:4" x14ac:dyDescent="0.25">
      <c r="A840">
        <f t="shared" si="86"/>
        <v>832</v>
      </c>
      <c r="B840" t="str">
        <f t="shared" si="84"/>
        <v>0x340</v>
      </c>
      <c r="C840">
        <v>0</v>
      </c>
      <c r="D840" t="str">
        <f t="shared" si="85"/>
        <v>00000</v>
      </c>
    </row>
    <row r="841" spans="1:4" x14ac:dyDescent="0.25">
      <c r="A841">
        <f t="shared" si="86"/>
        <v>833</v>
      </c>
      <c r="B841" t="str">
        <f t="shared" ref="B841:B904" si="89">CONCATENATE("0x",DEC2HEX(A841,3))</f>
        <v>0x341</v>
      </c>
      <c r="C841">
        <f>C840+1</f>
        <v>1</v>
      </c>
      <c r="D841" t="str">
        <f t="shared" ref="D841:D904" si="90">DEC2HEX(C841,5)</f>
        <v>00001</v>
      </c>
    </row>
    <row r="842" spans="1:4" x14ac:dyDescent="0.25">
      <c r="A842">
        <f t="shared" ref="A842:A905" si="91">A841+1</f>
        <v>834</v>
      </c>
      <c r="B842" t="str">
        <f t="shared" si="89"/>
        <v>0x342</v>
      </c>
      <c r="C842">
        <f t="shared" ref="C842:C871" si="92">C841+1</f>
        <v>2</v>
      </c>
      <c r="D842" t="str">
        <f t="shared" si="90"/>
        <v>00002</v>
      </c>
    </row>
    <row r="843" spans="1:4" x14ac:dyDescent="0.25">
      <c r="A843">
        <f t="shared" si="91"/>
        <v>835</v>
      </c>
      <c r="B843" t="str">
        <f t="shared" si="89"/>
        <v>0x343</v>
      </c>
      <c r="C843">
        <f t="shared" si="92"/>
        <v>3</v>
      </c>
      <c r="D843" t="str">
        <f t="shared" si="90"/>
        <v>00003</v>
      </c>
    </row>
    <row r="844" spans="1:4" x14ac:dyDescent="0.25">
      <c r="A844">
        <f t="shared" si="91"/>
        <v>836</v>
      </c>
      <c r="B844" t="str">
        <f t="shared" si="89"/>
        <v>0x344</v>
      </c>
      <c r="C844">
        <f t="shared" si="92"/>
        <v>4</v>
      </c>
      <c r="D844" t="str">
        <f t="shared" si="90"/>
        <v>00004</v>
      </c>
    </row>
    <row r="845" spans="1:4" x14ac:dyDescent="0.25">
      <c r="A845">
        <f t="shared" si="91"/>
        <v>837</v>
      </c>
      <c r="B845" t="str">
        <f t="shared" si="89"/>
        <v>0x345</v>
      </c>
      <c r="C845">
        <f t="shared" si="92"/>
        <v>5</v>
      </c>
      <c r="D845" t="str">
        <f t="shared" si="90"/>
        <v>00005</v>
      </c>
    </row>
    <row r="846" spans="1:4" x14ac:dyDescent="0.25">
      <c r="A846">
        <f t="shared" si="91"/>
        <v>838</v>
      </c>
      <c r="B846" t="str">
        <f t="shared" si="89"/>
        <v>0x346</v>
      </c>
      <c r="C846">
        <f t="shared" si="92"/>
        <v>6</v>
      </c>
      <c r="D846" t="str">
        <f t="shared" si="90"/>
        <v>00006</v>
      </c>
    </row>
    <row r="847" spans="1:4" x14ac:dyDescent="0.25">
      <c r="A847">
        <f t="shared" si="91"/>
        <v>839</v>
      </c>
      <c r="B847" t="str">
        <f t="shared" si="89"/>
        <v>0x347</v>
      </c>
      <c r="C847">
        <f t="shared" si="92"/>
        <v>7</v>
      </c>
      <c r="D847" t="str">
        <f t="shared" si="90"/>
        <v>00007</v>
      </c>
    </row>
    <row r="848" spans="1:4" x14ac:dyDescent="0.25">
      <c r="A848">
        <f t="shared" si="91"/>
        <v>840</v>
      </c>
      <c r="B848" t="str">
        <f t="shared" si="89"/>
        <v>0x348</v>
      </c>
      <c r="C848">
        <f t="shared" si="92"/>
        <v>8</v>
      </c>
      <c r="D848" t="str">
        <f t="shared" si="90"/>
        <v>00008</v>
      </c>
    </row>
    <row r="849" spans="1:4" x14ac:dyDescent="0.25">
      <c r="A849">
        <f t="shared" si="91"/>
        <v>841</v>
      </c>
      <c r="B849" t="str">
        <f t="shared" si="89"/>
        <v>0x349</v>
      </c>
      <c r="C849">
        <f t="shared" si="92"/>
        <v>9</v>
      </c>
      <c r="D849" t="str">
        <f t="shared" si="90"/>
        <v>00009</v>
      </c>
    </row>
    <row r="850" spans="1:4" x14ac:dyDescent="0.25">
      <c r="A850">
        <f t="shared" si="91"/>
        <v>842</v>
      </c>
      <c r="B850" t="str">
        <f t="shared" si="89"/>
        <v>0x34A</v>
      </c>
      <c r="C850">
        <f t="shared" si="92"/>
        <v>10</v>
      </c>
      <c r="D850" t="str">
        <f t="shared" si="90"/>
        <v>0000A</v>
      </c>
    </row>
    <row r="851" spans="1:4" x14ac:dyDescent="0.25">
      <c r="A851">
        <f t="shared" si="91"/>
        <v>843</v>
      </c>
      <c r="B851" t="str">
        <f t="shared" si="89"/>
        <v>0x34B</v>
      </c>
      <c r="C851">
        <f t="shared" si="92"/>
        <v>11</v>
      </c>
      <c r="D851" t="str">
        <f t="shared" si="90"/>
        <v>0000B</v>
      </c>
    </row>
    <row r="852" spans="1:4" x14ac:dyDescent="0.25">
      <c r="A852">
        <f t="shared" si="91"/>
        <v>844</v>
      </c>
      <c r="B852" t="str">
        <f t="shared" si="89"/>
        <v>0x34C</v>
      </c>
      <c r="C852">
        <f t="shared" si="92"/>
        <v>12</v>
      </c>
      <c r="D852" t="str">
        <f t="shared" si="90"/>
        <v>0000C</v>
      </c>
    </row>
    <row r="853" spans="1:4" x14ac:dyDescent="0.25">
      <c r="A853">
        <f t="shared" si="91"/>
        <v>845</v>
      </c>
      <c r="B853" t="str">
        <f t="shared" si="89"/>
        <v>0x34D</v>
      </c>
      <c r="C853">
        <f t="shared" si="92"/>
        <v>13</v>
      </c>
      <c r="D853" t="str">
        <f t="shared" si="90"/>
        <v>0000D</v>
      </c>
    </row>
    <row r="854" spans="1:4" x14ac:dyDescent="0.25">
      <c r="A854">
        <f t="shared" si="91"/>
        <v>846</v>
      </c>
      <c r="B854" t="str">
        <f t="shared" si="89"/>
        <v>0x34E</v>
      </c>
      <c r="C854">
        <f t="shared" si="92"/>
        <v>14</v>
      </c>
      <c r="D854" t="str">
        <f t="shared" si="90"/>
        <v>0000E</v>
      </c>
    </row>
    <row r="855" spans="1:4" x14ac:dyDescent="0.25">
      <c r="A855">
        <f t="shared" si="91"/>
        <v>847</v>
      </c>
      <c r="B855" t="str">
        <f t="shared" si="89"/>
        <v>0x34F</v>
      </c>
      <c r="C855">
        <f t="shared" si="92"/>
        <v>15</v>
      </c>
      <c r="D855" t="str">
        <f t="shared" si="90"/>
        <v>0000F</v>
      </c>
    </row>
    <row r="856" spans="1:4" x14ac:dyDescent="0.25">
      <c r="A856">
        <f t="shared" si="91"/>
        <v>848</v>
      </c>
      <c r="B856" t="str">
        <f t="shared" si="89"/>
        <v>0x350</v>
      </c>
      <c r="C856">
        <f t="shared" si="92"/>
        <v>16</v>
      </c>
      <c r="D856" t="str">
        <f t="shared" si="90"/>
        <v>00010</v>
      </c>
    </row>
    <row r="857" spans="1:4" x14ac:dyDescent="0.25">
      <c r="A857">
        <f t="shared" si="91"/>
        <v>849</v>
      </c>
      <c r="B857" t="str">
        <f t="shared" si="89"/>
        <v>0x351</v>
      </c>
      <c r="C857">
        <f t="shared" si="92"/>
        <v>17</v>
      </c>
      <c r="D857" t="str">
        <f t="shared" si="90"/>
        <v>00011</v>
      </c>
    </row>
    <row r="858" spans="1:4" x14ac:dyDescent="0.25">
      <c r="A858">
        <f t="shared" si="91"/>
        <v>850</v>
      </c>
      <c r="B858" t="str">
        <f t="shared" si="89"/>
        <v>0x352</v>
      </c>
      <c r="C858">
        <f t="shared" si="92"/>
        <v>18</v>
      </c>
      <c r="D858" t="str">
        <f t="shared" si="90"/>
        <v>00012</v>
      </c>
    </row>
    <row r="859" spans="1:4" x14ac:dyDescent="0.25">
      <c r="A859">
        <f t="shared" si="91"/>
        <v>851</v>
      </c>
      <c r="B859" t="str">
        <f t="shared" si="89"/>
        <v>0x353</v>
      </c>
      <c r="C859">
        <f t="shared" si="92"/>
        <v>19</v>
      </c>
      <c r="D859" t="str">
        <f t="shared" si="90"/>
        <v>00013</v>
      </c>
    </row>
    <row r="860" spans="1:4" x14ac:dyDescent="0.25">
      <c r="A860">
        <f t="shared" si="91"/>
        <v>852</v>
      </c>
      <c r="B860" t="str">
        <f t="shared" si="89"/>
        <v>0x354</v>
      </c>
      <c r="C860">
        <f t="shared" si="92"/>
        <v>20</v>
      </c>
      <c r="D860" t="str">
        <f t="shared" si="90"/>
        <v>00014</v>
      </c>
    </row>
    <row r="861" spans="1:4" x14ac:dyDescent="0.25">
      <c r="A861">
        <f t="shared" si="91"/>
        <v>853</v>
      </c>
      <c r="B861" t="str">
        <f t="shared" si="89"/>
        <v>0x355</v>
      </c>
      <c r="C861">
        <f t="shared" si="92"/>
        <v>21</v>
      </c>
      <c r="D861" t="str">
        <f t="shared" si="90"/>
        <v>00015</v>
      </c>
    </row>
    <row r="862" spans="1:4" x14ac:dyDescent="0.25">
      <c r="A862">
        <f t="shared" si="91"/>
        <v>854</v>
      </c>
      <c r="B862" t="str">
        <f t="shared" si="89"/>
        <v>0x356</v>
      </c>
      <c r="C862">
        <f t="shared" si="92"/>
        <v>22</v>
      </c>
      <c r="D862" t="str">
        <f t="shared" si="90"/>
        <v>00016</v>
      </c>
    </row>
    <row r="863" spans="1:4" x14ac:dyDescent="0.25">
      <c r="A863">
        <f t="shared" si="91"/>
        <v>855</v>
      </c>
      <c r="B863" t="str">
        <f t="shared" si="89"/>
        <v>0x357</v>
      </c>
      <c r="C863">
        <f t="shared" si="92"/>
        <v>23</v>
      </c>
      <c r="D863" t="str">
        <f t="shared" si="90"/>
        <v>00017</v>
      </c>
    </row>
    <row r="864" spans="1:4" x14ac:dyDescent="0.25">
      <c r="A864">
        <f t="shared" si="91"/>
        <v>856</v>
      </c>
      <c r="B864" t="str">
        <f t="shared" si="89"/>
        <v>0x358</v>
      </c>
      <c r="C864">
        <f t="shared" si="92"/>
        <v>24</v>
      </c>
      <c r="D864" t="str">
        <f t="shared" si="90"/>
        <v>00018</v>
      </c>
    </row>
    <row r="865" spans="1:4" x14ac:dyDescent="0.25">
      <c r="A865">
        <f t="shared" si="91"/>
        <v>857</v>
      </c>
      <c r="B865" t="str">
        <f t="shared" si="89"/>
        <v>0x359</v>
      </c>
      <c r="C865">
        <f t="shared" si="92"/>
        <v>25</v>
      </c>
      <c r="D865" t="str">
        <f t="shared" si="90"/>
        <v>00019</v>
      </c>
    </row>
    <row r="866" spans="1:4" x14ac:dyDescent="0.25">
      <c r="A866">
        <f t="shared" si="91"/>
        <v>858</v>
      </c>
      <c r="B866" t="str">
        <f t="shared" si="89"/>
        <v>0x35A</v>
      </c>
      <c r="C866">
        <f t="shared" si="92"/>
        <v>26</v>
      </c>
      <c r="D866" t="str">
        <f t="shared" si="90"/>
        <v>0001A</v>
      </c>
    </row>
    <row r="867" spans="1:4" x14ac:dyDescent="0.25">
      <c r="A867">
        <f t="shared" si="91"/>
        <v>859</v>
      </c>
      <c r="B867" t="str">
        <f t="shared" si="89"/>
        <v>0x35B</v>
      </c>
      <c r="C867">
        <f t="shared" si="92"/>
        <v>27</v>
      </c>
      <c r="D867" t="str">
        <f t="shared" si="90"/>
        <v>0001B</v>
      </c>
    </row>
    <row r="868" spans="1:4" x14ac:dyDescent="0.25">
      <c r="A868">
        <f t="shared" si="91"/>
        <v>860</v>
      </c>
      <c r="B868" t="str">
        <f t="shared" si="89"/>
        <v>0x35C</v>
      </c>
      <c r="C868">
        <f t="shared" si="92"/>
        <v>28</v>
      </c>
      <c r="D868" t="str">
        <f t="shared" si="90"/>
        <v>0001C</v>
      </c>
    </row>
    <row r="869" spans="1:4" x14ac:dyDescent="0.25">
      <c r="A869">
        <f t="shared" si="91"/>
        <v>861</v>
      </c>
      <c r="B869" t="str">
        <f t="shared" si="89"/>
        <v>0x35D</v>
      </c>
      <c r="C869">
        <f t="shared" si="92"/>
        <v>29</v>
      </c>
      <c r="D869" t="str">
        <f t="shared" si="90"/>
        <v>0001D</v>
      </c>
    </row>
    <row r="870" spans="1:4" x14ac:dyDescent="0.25">
      <c r="A870">
        <f t="shared" si="91"/>
        <v>862</v>
      </c>
      <c r="B870" t="str">
        <f t="shared" si="89"/>
        <v>0x35E</v>
      </c>
      <c r="C870">
        <f t="shared" si="92"/>
        <v>30</v>
      </c>
      <c r="D870" t="str">
        <f t="shared" si="90"/>
        <v>0001E</v>
      </c>
    </row>
    <row r="871" spans="1:4" x14ac:dyDescent="0.25">
      <c r="A871">
        <f t="shared" si="91"/>
        <v>863</v>
      </c>
      <c r="B871" t="str">
        <f t="shared" si="89"/>
        <v>0x35F</v>
      </c>
      <c r="C871">
        <f t="shared" si="92"/>
        <v>31</v>
      </c>
      <c r="D871" t="str">
        <f t="shared" si="90"/>
        <v>0001F</v>
      </c>
    </row>
    <row r="872" spans="1:4" x14ac:dyDescent="0.25">
      <c r="A872">
        <f t="shared" si="91"/>
        <v>864</v>
      </c>
      <c r="B872" t="str">
        <f t="shared" si="89"/>
        <v>0x360</v>
      </c>
      <c r="C872">
        <v>0</v>
      </c>
      <c r="D872" t="str">
        <f t="shared" si="90"/>
        <v>00000</v>
      </c>
    </row>
    <row r="873" spans="1:4" x14ac:dyDescent="0.25">
      <c r="A873">
        <f t="shared" si="91"/>
        <v>865</v>
      </c>
      <c r="B873" t="str">
        <f t="shared" si="89"/>
        <v>0x361</v>
      </c>
      <c r="C873">
        <f>C872+1</f>
        <v>1</v>
      </c>
      <c r="D873" t="str">
        <f t="shared" si="90"/>
        <v>00001</v>
      </c>
    </row>
    <row r="874" spans="1:4" x14ac:dyDescent="0.25">
      <c r="A874">
        <f t="shared" si="91"/>
        <v>866</v>
      </c>
      <c r="B874" t="str">
        <f t="shared" si="89"/>
        <v>0x362</v>
      </c>
      <c r="C874">
        <f t="shared" ref="C874:C903" si="93">C873+1</f>
        <v>2</v>
      </c>
      <c r="D874" t="str">
        <f t="shared" si="90"/>
        <v>00002</v>
      </c>
    </row>
    <row r="875" spans="1:4" x14ac:dyDescent="0.25">
      <c r="A875">
        <f t="shared" si="91"/>
        <v>867</v>
      </c>
      <c r="B875" t="str">
        <f t="shared" si="89"/>
        <v>0x363</v>
      </c>
      <c r="C875">
        <f t="shared" si="93"/>
        <v>3</v>
      </c>
      <c r="D875" t="str">
        <f t="shared" si="90"/>
        <v>00003</v>
      </c>
    </row>
    <row r="876" spans="1:4" x14ac:dyDescent="0.25">
      <c r="A876">
        <f t="shared" si="91"/>
        <v>868</v>
      </c>
      <c r="B876" t="str">
        <f t="shared" si="89"/>
        <v>0x364</v>
      </c>
      <c r="C876">
        <f t="shared" si="93"/>
        <v>4</v>
      </c>
      <c r="D876" t="str">
        <f t="shared" si="90"/>
        <v>00004</v>
      </c>
    </row>
    <row r="877" spans="1:4" x14ac:dyDescent="0.25">
      <c r="A877">
        <f t="shared" si="91"/>
        <v>869</v>
      </c>
      <c r="B877" t="str">
        <f t="shared" si="89"/>
        <v>0x365</v>
      </c>
      <c r="C877">
        <f t="shared" si="93"/>
        <v>5</v>
      </c>
      <c r="D877" t="str">
        <f t="shared" si="90"/>
        <v>00005</v>
      </c>
    </row>
    <row r="878" spans="1:4" x14ac:dyDescent="0.25">
      <c r="A878">
        <f t="shared" si="91"/>
        <v>870</v>
      </c>
      <c r="B878" t="str">
        <f t="shared" si="89"/>
        <v>0x366</v>
      </c>
      <c r="C878">
        <f t="shared" si="93"/>
        <v>6</v>
      </c>
      <c r="D878" t="str">
        <f t="shared" si="90"/>
        <v>00006</v>
      </c>
    </row>
    <row r="879" spans="1:4" x14ac:dyDescent="0.25">
      <c r="A879">
        <f t="shared" si="91"/>
        <v>871</v>
      </c>
      <c r="B879" t="str">
        <f t="shared" si="89"/>
        <v>0x367</v>
      </c>
      <c r="C879">
        <f t="shared" si="93"/>
        <v>7</v>
      </c>
      <c r="D879" t="str">
        <f t="shared" si="90"/>
        <v>00007</v>
      </c>
    </row>
    <row r="880" spans="1:4" x14ac:dyDescent="0.25">
      <c r="A880">
        <f t="shared" si="91"/>
        <v>872</v>
      </c>
      <c r="B880" t="str">
        <f t="shared" si="89"/>
        <v>0x368</v>
      </c>
      <c r="C880">
        <f t="shared" si="93"/>
        <v>8</v>
      </c>
      <c r="D880" t="str">
        <f t="shared" si="90"/>
        <v>00008</v>
      </c>
    </row>
    <row r="881" spans="1:4" x14ac:dyDescent="0.25">
      <c r="A881">
        <f t="shared" si="91"/>
        <v>873</v>
      </c>
      <c r="B881" t="str">
        <f t="shared" si="89"/>
        <v>0x369</v>
      </c>
      <c r="C881">
        <f t="shared" si="93"/>
        <v>9</v>
      </c>
      <c r="D881" t="str">
        <f t="shared" si="90"/>
        <v>00009</v>
      </c>
    </row>
    <row r="882" spans="1:4" x14ac:dyDescent="0.25">
      <c r="A882">
        <f t="shared" si="91"/>
        <v>874</v>
      </c>
      <c r="B882" t="str">
        <f t="shared" si="89"/>
        <v>0x36A</v>
      </c>
      <c r="C882">
        <f t="shared" si="93"/>
        <v>10</v>
      </c>
      <c r="D882" t="str">
        <f t="shared" si="90"/>
        <v>0000A</v>
      </c>
    </row>
    <row r="883" spans="1:4" x14ac:dyDescent="0.25">
      <c r="A883">
        <f t="shared" si="91"/>
        <v>875</v>
      </c>
      <c r="B883" t="str">
        <f t="shared" si="89"/>
        <v>0x36B</v>
      </c>
      <c r="C883">
        <f t="shared" si="93"/>
        <v>11</v>
      </c>
      <c r="D883" t="str">
        <f t="shared" si="90"/>
        <v>0000B</v>
      </c>
    </row>
    <row r="884" spans="1:4" x14ac:dyDescent="0.25">
      <c r="A884">
        <f t="shared" si="91"/>
        <v>876</v>
      </c>
      <c r="B884" t="str">
        <f t="shared" si="89"/>
        <v>0x36C</v>
      </c>
      <c r="C884">
        <f t="shared" si="93"/>
        <v>12</v>
      </c>
      <c r="D884" t="str">
        <f t="shared" si="90"/>
        <v>0000C</v>
      </c>
    </row>
    <row r="885" spans="1:4" x14ac:dyDescent="0.25">
      <c r="A885">
        <f t="shared" si="91"/>
        <v>877</v>
      </c>
      <c r="B885" t="str">
        <f t="shared" si="89"/>
        <v>0x36D</v>
      </c>
      <c r="C885">
        <f t="shared" si="93"/>
        <v>13</v>
      </c>
      <c r="D885" t="str">
        <f t="shared" si="90"/>
        <v>0000D</v>
      </c>
    </row>
    <row r="886" spans="1:4" x14ac:dyDescent="0.25">
      <c r="A886">
        <f t="shared" si="91"/>
        <v>878</v>
      </c>
      <c r="B886" t="str">
        <f t="shared" si="89"/>
        <v>0x36E</v>
      </c>
      <c r="C886">
        <f t="shared" si="93"/>
        <v>14</v>
      </c>
      <c r="D886" t="str">
        <f t="shared" si="90"/>
        <v>0000E</v>
      </c>
    </row>
    <row r="887" spans="1:4" x14ac:dyDescent="0.25">
      <c r="A887">
        <f t="shared" si="91"/>
        <v>879</v>
      </c>
      <c r="B887" t="str">
        <f t="shared" si="89"/>
        <v>0x36F</v>
      </c>
      <c r="C887">
        <f t="shared" si="93"/>
        <v>15</v>
      </c>
      <c r="D887" t="str">
        <f t="shared" si="90"/>
        <v>0000F</v>
      </c>
    </row>
    <row r="888" spans="1:4" x14ac:dyDescent="0.25">
      <c r="A888">
        <f t="shared" si="91"/>
        <v>880</v>
      </c>
      <c r="B888" t="str">
        <f t="shared" si="89"/>
        <v>0x370</v>
      </c>
      <c r="C888">
        <f t="shared" si="93"/>
        <v>16</v>
      </c>
      <c r="D888" t="str">
        <f t="shared" si="90"/>
        <v>00010</v>
      </c>
    </row>
    <row r="889" spans="1:4" x14ac:dyDescent="0.25">
      <c r="A889">
        <f t="shared" si="91"/>
        <v>881</v>
      </c>
      <c r="B889" t="str">
        <f t="shared" si="89"/>
        <v>0x371</v>
      </c>
      <c r="C889">
        <f t="shared" si="93"/>
        <v>17</v>
      </c>
      <c r="D889" t="str">
        <f t="shared" si="90"/>
        <v>00011</v>
      </c>
    </row>
    <row r="890" spans="1:4" x14ac:dyDescent="0.25">
      <c r="A890">
        <f t="shared" si="91"/>
        <v>882</v>
      </c>
      <c r="B890" t="str">
        <f t="shared" si="89"/>
        <v>0x372</v>
      </c>
      <c r="C890">
        <f t="shared" si="93"/>
        <v>18</v>
      </c>
      <c r="D890" t="str">
        <f t="shared" si="90"/>
        <v>00012</v>
      </c>
    </row>
    <row r="891" spans="1:4" x14ac:dyDescent="0.25">
      <c r="A891">
        <f t="shared" si="91"/>
        <v>883</v>
      </c>
      <c r="B891" t="str">
        <f t="shared" si="89"/>
        <v>0x373</v>
      </c>
      <c r="C891">
        <f t="shared" si="93"/>
        <v>19</v>
      </c>
      <c r="D891" t="str">
        <f t="shared" si="90"/>
        <v>00013</v>
      </c>
    </row>
    <row r="892" spans="1:4" x14ac:dyDescent="0.25">
      <c r="A892">
        <f t="shared" si="91"/>
        <v>884</v>
      </c>
      <c r="B892" t="str">
        <f t="shared" si="89"/>
        <v>0x374</v>
      </c>
      <c r="C892">
        <f t="shared" si="93"/>
        <v>20</v>
      </c>
      <c r="D892" t="str">
        <f t="shared" si="90"/>
        <v>00014</v>
      </c>
    </row>
    <row r="893" spans="1:4" x14ac:dyDescent="0.25">
      <c r="A893">
        <f t="shared" si="91"/>
        <v>885</v>
      </c>
      <c r="B893" t="str">
        <f t="shared" si="89"/>
        <v>0x375</v>
      </c>
      <c r="C893">
        <f t="shared" si="93"/>
        <v>21</v>
      </c>
      <c r="D893" t="str">
        <f t="shared" si="90"/>
        <v>00015</v>
      </c>
    </row>
    <row r="894" spans="1:4" x14ac:dyDescent="0.25">
      <c r="A894">
        <f t="shared" si="91"/>
        <v>886</v>
      </c>
      <c r="B894" t="str">
        <f t="shared" si="89"/>
        <v>0x376</v>
      </c>
      <c r="C894">
        <f t="shared" si="93"/>
        <v>22</v>
      </c>
      <c r="D894" t="str">
        <f t="shared" si="90"/>
        <v>00016</v>
      </c>
    </row>
    <row r="895" spans="1:4" x14ac:dyDescent="0.25">
      <c r="A895">
        <f t="shared" si="91"/>
        <v>887</v>
      </c>
      <c r="B895" t="str">
        <f t="shared" si="89"/>
        <v>0x377</v>
      </c>
      <c r="C895">
        <f t="shared" si="93"/>
        <v>23</v>
      </c>
      <c r="D895" t="str">
        <f t="shared" si="90"/>
        <v>00017</v>
      </c>
    </row>
    <row r="896" spans="1:4" x14ac:dyDescent="0.25">
      <c r="A896">
        <f t="shared" si="91"/>
        <v>888</v>
      </c>
      <c r="B896" t="str">
        <f t="shared" si="89"/>
        <v>0x378</v>
      </c>
      <c r="C896">
        <f t="shared" si="93"/>
        <v>24</v>
      </c>
      <c r="D896" t="str">
        <f t="shared" si="90"/>
        <v>00018</v>
      </c>
    </row>
    <row r="897" spans="1:4" x14ac:dyDescent="0.25">
      <c r="A897">
        <f t="shared" si="91"/>
        <v>889</v>
      </c>
      <c r="B897" t="str">
        <f t="shared" si="89"/>
        <v>0x379</v>
      </c>
      <c r="C897">
        <f t="shared" si="93"/>
        <v>25</v>
      </c>
      <c r="D897" t="str">
        <f t="shared" si="90"/>
        <v>00019</v>
      </c>
    </row>
    <row r="898" spans="1:4" x14ac:dyDescent="0.25">
      <c r="A898">
        <f t="shared" si="91"/>
        <v>890</v>
      </c>
      <c r="B898" t="str">
        <f t="shared" si="89"/>
        <v>0x37A</v>
      </c>
      <c r="C898">
        <f t="shared" si="93"/>
        <v>26</v>
      </c>
      <c r="D898" t="str">
        <f t="shared" si="90"/>
        <v>0001A</v>
      </c>
    </row>
    <row r="899" spans="1:4" x14ac:dyDescent="0.25">
      <c r="A899">
        <f t="shared" si="91"/>
        <v>891</v>
      </c>
      <c r="B899" t="str">
        <f t="shared" si="89"/>
        <v>0x37B</v>
      </c>
      <c r="C899">
        <f t="shared" si="93"/>
        <v>27</v>
      </c>
      <c r="D899" t="str">
        <f t="shared" si="90"/>
        <v>0001B</v>
      </c>
    </row>
    <row r="900" spans="1:4" x14ac:dyDescent="0.25">
      <c r="A900">
        <f t="shared" si="91"/>
        <v>892</v>
      </c>
      <c r="B900" t="str">
        <f t="shared" si="89"/>
        <v>0x37C</v>
      </c>
      <c r="C900">
        <f t="shared" si="93"/>
        <v>28</v>
      </c>
      <c r="D900" t="str">
        <f t="shared" si="90"/>
        <v>0001C</v>
      </c>
    </row>
    <row r="901" spans="1:4" x14ac:dyDescent="0.25">
      <c r="A901">
        <f t="shared" si="91"/>
        <v>893</v>
      </c>
      <c r="B901" t="str">
        <f t="shared" si="89"/>
        <v>0x37D</v>
      </c>
      <c r="C901">
        <f t="shared" si="93"/>
        <v>29</v>
      </c>
      <c r="D901" t="str">
        <f t="shared" si="90"/>
        <v>0001D</v>
      </c>
    </row>
    <row r="902" spans="1:4" x14ac:dyDescent="0.25">
      <c r="A902">
        <f t="shared" si="91"/>
        <v>894</v>
      </c>
      <c r="B902" t="str">
        <f t="shared" si="89"/>
        <v>0x37E</v>
      </c>
      <c r="C902">
        <f t="shared" si="93"/>
        <v>30</v>
      </c>
      <c r="D902" t="str">
        <f t="shared" si="90"/>
        <v>0001E</v>
      </c>
    </row>
    <row r="903" spans="1:4" x14ac:dyDescent="0.25">
      <c r="A903">
        <f t="shared" si="91"/>
        <v>895</v>
      </c>
      <c r="B903" t="str">
        <f t="shared" si="89"/>
        <v>0x37F</v>
      </c>
      <c r="C903">
        <f t="shared" si="93"/>
        <v>31</v>
      </c>
      <c r="D903" t="str">
        <f t="shared" si="90"/>
        <v>0001F</v>
      </c>
    </row>
    <row r="904" spans="1:4" x14ac:dyDescent="0.25">
      <c r="A904">
        <f t="shared" si="91"/>
        <v>896</v>
      </c>
      <c r="B904" t="str">
        <f t="shared" si="89"/>
        <v>0x380</v>
      </c>
      <c r="C904">
        <v>0</v>
      </c>
      <c r="D904" t="str">
        <f t="shared" si="90"/>
        <v>00000</v>
      </c>
    </row>
    <row r="905" spans="1:4" x14ac:dyDescent="0.25">
      <c r="A905">
        <f t="shared" si="91"/>
        <v>897</v>
      </c>
      <c r="B905" t="str">
        <f t="shared" ref="B905:B968" si="94">CONCATENATE("0x",DEC2HEX(A905,3))</f>
        <v>0x381</v>
      </c>
      <c r="C905">
        <f>C904+1</f>
        <v>1</v>
      </c>
      <c r="D905" t="str">
        <f t="shared" ref="D905:D968" si="95">DEC2HEX(C905,5)</f>
        <v>00001</v>
      </c>
    </row>
    <row r="906" spans="1:4" x14ac:dyDescent="0.25">
      <c r="A906">
        <f t="shared" ref="A906:A969" si="96">A905+1</f>
        <v>898</v>
      </c>
      <c r="B906" t="str">
        <f t="shared" si="94"/>
        <v>0x382</v>
      </c>
      <c r="C906">
        <f t="shared" ref="C906:C935" si="97">C905+1</f>
        <v>2</v>
      </c>
      <c r="D906" t="str">
        <f t="shared" si="95"/>
        <v>00002</v>
      </c>
    </row>
    <row r="907" spans="1:4" x14ac:dyDescent="0.25">
      <c r="A907">
        <f t="shared" si="96"/>
        <v>899</v>
      </c>
      <c r="B907" t="str">
        <f t="shared" si="94"/>
        <v>0x383</v>
      </c>
      <c r="C907">
        <f t="shared" si="97"/>
        <v>3</v>
      </c>
      <c r="D907" t="str">
        <f t="shared" si="95"/>
        <v>00003</v>
      </c>
    </row>
    <row r="908" spans="1:4" x14ac:dyDescent="0.25">
      <c r="A908">
        <f t="shared" si="96"/>
        <v>900</v>
      </c>
      <c r="B908" t="str">
        <f t="shared" si="94"/>
        <v>0x384</v>
      </c>
      <c r="C908">
        <f t="shared" si="97"/>
        <v>4</v>
      </c>
      <c r="D908" t="str">
        <f t="shared" si="95"/>
        <v>00004</v>
      </c>
    </row>
    <row r="909" spans="1:4" x14ac:dyDescent="0.25">
      <c r="A909">
        <f t="shared" si="96"/>
        <v>901</v>
      </c>
      <c r="B909" t="str">
        <f t="shared" si="94"/>
        <v>0x385</v>
      </c>
      <c r="C909">
        <f t="shared" si="97"/>
        <v>5</v>
      </c>
      <c r="D909" t="str">
        <f t="shared" si="95"/>
        <v>00005</v>
      </c>
    </row>
    <row r="910" spans="1:4" x14ac:dyDescent="0.25">
      <c r="A910">
        <f t="shared" si="96"/>
        <v>902</v>
      </c>
      <c r="B910" t="str">
        <f t="shared" si="94"/>
        <v>0x386</v>
      </c>
      <c r="C910">
        <f t="shared" si="97"/>
        <v>6</v>
      </c>
      <c r="D910" t="str">
        <f t="shared" si="95"/>
        <v>00006</v>
      </c>
    </row>
    <row r="911" spans="1:4" x14ac:dyDescent="0.25">
      <c r="A911">
        <f t="shared" si="96"/>
        <v>903</v>
      </c>
      <c r="B911" t="str">
        <f t="shared" si="94"/>
        <v>0x387</v>
      </c>
      <c r="C911">
        <f t="shared" si="97"/>
        <v>7</v>
      </c>
      <c r="D911" t="str">
        <f t="shared" si="95"/>
        <v>00007</v>
      </c>
    </row>
    <row r="912" spans="1:4" x14ac:dyDescent="0.25">
      <c r="A912">
        <f t="shared" si="96"/>
        <v>904</v>
      </c>
      <c r="B912" t="str">
        <f t="shared" si="94"/>
        <v>0x388</v>
      </c>
      <c r="C912">
        <f t="shared" si="97"/>
        <v>8</v>
      </c>
      <c r="D912" t="str">
        <f t="shared" si="95"/>
        <v>00008</v>
      </c>
    </row>
    <row r="913" spans="1:4" x14ac:dyDescent="0.25">
      <c r="A913">
        <f t="shared" si="96"/>
        <v>905</v>
      </c>
      <c r="B913" t="str">
        <f t="shared" si="94"/>
        <v>0x389</v>
      </c>
      <c r="C913">
        <f t="shared" si="97"/>
        <v>9</v>
      </c>
      <c r="D913" t="str">
        <f t="shared" si="95"/>
        <v>00009</v>
      </c>
    </row>
    <row r="914" spans="1:4" x14ac:dyDescent="0.25">
      <c r="A914">
        <f t="shared" si="96"/>
        <v>906</v>
      </c>
      <c r="B914" t="str">
        <f t="shared" si="94"/>
        <v>0x38A</v>
      </c>
      <c r="C914">
        <f t="shared" si="97"/>
        <v>10</v>
      </c>
      <c r="D914" t="str">
        <f t="shared" si="95"/>
        <v>0000A</v>
      </c>
    </row>
    <row r="915" spans="1:4" x14ac:dyDescent="0.25">
      <c r="A915">
        <f t="shared" si="96"/>
        <v>907</v>
      </c>
      <c r="B915" t="str">
        <f t="shared" si="94"/>
        <v>0x38B</v>
      </c>
      <c r="C915">
        <f t="shared" si="97"/>
        <v>11</v>
      </c>
      <c r="D915" t="str">
        <f t="shared" si="95"/>
        <v>0000B</v>
      </c>
    </row>
    <row r="916" spans="1:4" x14ac:dyDescent="0.25">
      <c r="A916">
        <f t="shared" si="96"/>
        <v>908</v>
      </c>
      <c r="B916" t="str">
        <f t="shared" si="94"/>
        <v>0x38C</v>
      </c>
      <c r="C916">
        <f t="shared" si="97"/>
        <v>12</v>
      </c>
      <c r="D916" t="str">
        <f t="shared" si="95"/>
        <v>0000C</v>
      </c>
    </row>
    <row r="917" spans="1:4" x14ac:dyDescent="0.25">
      <c r="A917">
        <f t="shared" si="96"/>
        <v>909</v>
      </c>
      <c r="B917" t="str">
        <f t="shared" si="94"/>
        <v>0x38D</v>
      </c>
      <c r="C917">
        <f t="shared" si="97"/>
        <v>13</v>
      </c>
      <c r="D917" t="str">
        <f t="shared" si="95"/>
        <v>0000D</v>
      </c>
    </row>
    <row r="918" spans="1:4" x14ac:dyDescent="0.25">
      <c r="A918">
        <f t="shared" si="96"/>
        <v>910</v>
      </c>
      <c r="B918" t="str">
        <f t="shared" si="94"/>
        <v>0x38E</v>
      </c>
      <c r="C918">
        <f t="shared" si="97"/>
        <v>14</v>
      </c>
      <c r="D918" t="str">
        <f t="shared" si="95"/>
        <v>0000E</v>
      </c>
    </row>
    <row r="919" spans="1:4" x14ac:dyDescent="0.25">
      <c r="A919">
        <f t="shared" si="96"/>
        <v>911</v>
      </c>
      <c r="B919" t="str">
        <f t="shared" si="94"/>
        <v>0x38F</v>
      </c>
      <c r="C919">
        <f t="shared" si="97"/>
        <v>15</v>
      </c>
      <c r="D919" t="str">
        <f t="shared" si="95"/>
        <v>0000F</v>
      </c>
    </row>
    <row r="920" spans="1:4" x14ac:dyDescent="0.25">
      <c r="A920">
        <f t="shared" si="96"/>
        <v>912</v>
      </c>
      <c r="B920" t="str">
        <f t="shared" si="94"/>
        <v>0x390</v>
      </c>
      <c r="C920">
        <f t="shared" si="97"/>
        <v>16</v>
      </c>
      <c r="D920" t="str">
        <f t="shared" si="95"/>
        <v>00010</v>
      </c>
    </row>
    <row r="921" spans="1:4" x14ac:dyDescent="0.25">
      <c r="A921">
        <f t="shared" si="96"/>
        <v>913</v>
      </c>
      <c r="B921" t="str">
        <f t="shared" si="94"/>
        <v>0x391</v>
      </c>
      <c r="C921">
        <f t="shared" si="97"/>
        <v>17</v>
      </c>
      <c r="D921" t="str">
        <f t="shared" si="95"/>
        <v>00011</v>
      </c>
    </row>
    <row r="922" spans="1:4" x14ac:dyDescent="0.25">
      <c r="A922">
        <f t="shared" si="96"/>
        <v>914</v>
      </c>
      <c r="B922" t="str">
        <f t="shared" si="94"/>
        <v>0x392</v>
      </c>
      <c r="C922">
        <f t="shared" si="97"/>
        <v>18</v>
      </c>
      <c r="D922" t="str">
        <f t="shared" si="95"/>
        <v>00012</v>
      </c>
    </row>
    <row r="923" spans="1:4" x14ac:dyDescent="0.25">
      <c r="A923">
        <f t="shared" si="96"/>
        <v>915</v>
      </c>
      <c r="B923" t="str">
        <f t="shared" si="94"/>
        <v>0x393</v>
      </c>
      <c r="C923">
        <f t="shared" si="97"/>
        <v>19</v>
      </c>
      <c r="D923" t="str">
        <f t="shared" si="95"/>
        <v>00013</v>
      </c>
    </row>
    <row r="924" spans="1:4" x14ac:dyDescent="0.25">
      <c r="A924">
        <f t="shared" si="96"/>
        <v>916</v>
      </c>
      <c r="B924" t="str">
        <f t="shared" si="94"/>
        <v>0x394</v>
      </c>
      <c r="C924">
        <f t="shared" si="97"/>
        <v>20</v>
      </c>
      <c r="D924" t="str">
        <f t="shared" si="95"/>
        <v>00014</v>
      </c>
    </row>
    <row r="925" spans="1:4" x14ac:dyDescent="0.25">
      <c r="A925">
        <f t="shared" si="96"/>
        <v>917</v>
      </c>
      <c r="B925" t="str">
        <f t="shared" si="94"/>
        <v>0x395</v>
      </c>
      <c r="C925">
        <f t="shared" si="97"/>
        <v>21</v>
      </c>
      <c r="D925" t="str">
        <f t="shared" si="95"/>
        <v>00015</v>
      </c>
    </row>
    <row r="926" spans="1:4" x14ac:dyDescent="0.25">
      <c r="A926">
        <f t="shared" si="96"/>
        <v>918</v>
      </c>
      <c r="B926" t="str">
        <f t="shared" si="94"/>
        <v>0x396</v>
      </c>
      <c r="C926">
        <f t="shared" si="97"/>
        <v>22</v>
      </c>
      <c r="D926" t="str">
        <f t="shared" si="95"/>
        <v>00016</v>
      </c>
    </row>
    <row r="927" spans="1:4" x14ac:dyDescent="0.25">
      <c r="A927">
        <f t="shared" si="96"/>
        <v>919</v>
      </c>
      <c r="B927" t="str">
        <f t="shared" si="94"/>
        <v>0x397</v>
      </c>
      <c r="C927">
        <f t="shared" si="97"/>
        <v>23</v>
      </c>
      <c r="D927" t="str">
        <f t="shared" si="95"/>
        <v>00017</v>
      </c>
    </row>
    <row r="928" spans="1:4" x14ac:dyDescent="0.25">
      <c r="A928">
        <f t="shared" si="96"/>
        <v>920</v>
      </c>
      <c r="B928" t="str">
        <f t="shared" si="94"/>
        <v>0x398</v>
      </c>
      <c r="C928">
        <f t="shared" si="97"/>
        <v>24</v>
      </c>
      <c r="D928" t="str">
        <f t="shared" si="95"/>
        <v>00018</v>
      </c>
    </row>
    <row r="929" spans="1:4" x14ac:dyDescent="0.25">
      <c r="A929">
        <f t="shared" si="96"/>
        <v>921</v>
      </c>
      <c r="B929" t="str">
        <f t="shared" si="94"/>
        <v>0x399</v>
      </c>
      <c r="C929">
        <f t="shared" si="97"/>
        <v>25</v>
      </c>
      <c r="D929" t="str">
        <f t="shared" si="95"/>
        <v>00019</v>
      </c>
    </row>
    <row r="930" spans="1:4" x14ac:dyDescent="0.25">
      <c r="A930">
        <f t="shared" si="96"/>
        <v>922</v>
      </c>
      <c r="B930" t="str">
        <f t="shared" si="94"/>
        <v>0x39A</v>
      </c>
      <c r="C930">
        <f t="shared" si="97"/>
        <v>26</v>
      </c>
      <c r="D930" t="str">
        <f t="shared" si="95"/>
        <v>0001A</v>
      </c>
    </row>
    <row r="931" spans="1:4" x14ac:dyDescent="0.25">
      <c r="A931">
        <f t="shared" si="96"/>
        <v>923</v>
      </c>
      <c r="B931" t="str">
        <f t="shared" si="94"/>
        <v>0x39B</v>
      </c>
      <c r="C931">
        <f t="shared" si="97"/>
        <v>27</v>
      </c>
      <c r="D931" t="str">
        <f t="shared" si="95"/>
        <v>0001B</v>
      </c>
    </row>
    <row r="932" spans="1:4" x14ac:dyDescent="0.25">
      <c r="A932">
        <f t="shared" si="96"/>
        <v>924</v>
      </c>
      <c r="B932" t="str">
        <f t="shared" si="94"/>
        <v>0x39C</v>
      </c>
      <c r="C932">
        <f t="shared" si="97"/>
        <v>28</v>
      </c>
      <c r="D932" t="str">
        <f t="shared" si="95"/>
        <v>0001C</v>
      </c>
    </row>
    <row r="933" spans="1:4" x14ac:dyDescent="0.25">
      <c r="A933">
        <f t="shared" si="96"/>
        <v>925</v>
      </c>
      <c r="B933" t="str">
        <f t="shared" si="94"/>
        <v>0x39D</v>
      </c>
      <c r="C933">
        <f t="shared" si="97"/>
        <v>29</v>
      </c>
      <c r="D933" t="str">
        <f t="shared" si="95"/>
        <v>0001D</v>
      </c>
    </row>
    <row r="934" spans="1:4" x14ac:dyDescent="0.25">
      <c r="A934">
        <f t="shared" si="96"/>
        <v>926</v>
      </c>
      <c r="B934" t="str">
        <f t="shared" si="94"/>
        <v>0x39E</v>
      </c>
      <c r="C934">
        <f t="shared" si="97"/>
        <v>30</v>
      </c>
      <c r="D934" t="str">
        <f t="shared" si="95"/>
        <v>0001E</v>
      </c>
    </row>
    <row r="935" spans="1:4" x14ac:dyDescent="0.25">
      <c r="A935">
        <f t="shared" si="96"/>
        <v>927</v>
      </c>
      <c r="B935" t="str">
        <f t="shared" si="94"/>
        <v>0x39F</v>
      </c>
      <c r="C935">
        <f t="shared" si="97"/>
        <v>31</v>
      </c>
      <c r="D935" t="str">
        <f t="shared" si="95"/>
        <v>0001F</v>
      </c>
    </row>
    <row r="936" spans="1:4" x14ac:dyDescent="0.25">
      <c r="A936">
        <f t="shared" si="96"/>
        <v>928</v>
      </c>
      <c r="B936" t="str">
        <f t="shared" si="94"/>
        <v>0x3A0</v>
      </c>
      <c r="C936">
        <v>0</v>
      </c>
      <c r="D936" t="str">
        <f t="shared" si="95"/>
        <v>00000</v>
      </c>
    </row>
    <row r="937" spans="1:4" x14ac:dyDescent="0.25">
      <c r="A937">
        <f t="shared" si="96"/>
        <v>929</v>
      </c>
      <c r="B937" t="str">
        <f t="shared" si="94"/>
        <v>0x3A1</v>
      </c>
      <c r="C937">
        <f>C936+1</f>
        <v>1</v>
      </c>
      <c r="D937" t="str">
        <f t="shared" si="95"/>
        <v>00001</v>
      </c>
    </row>
    <row r="938" spans="1:4" x14ac:dyDescent="0.25">
      <c r="A938">
        <f t="shared" si="96"/>
        <v>930</v>
      </c>
      <c r="B938" t="str">
        <f t="shared" si="94"/>
        <v>0x3A2</v>
      </c>
      <c r="C938">
        <f t="shared" ref="C938:C967" si="98">C937+1</f>
        <v>2</v>
      </c>
      <c r="D938" t="str">
        <f t="shared" si="95"/>
        <v>00002</v>
      </c>
    </row>
    <row r="939" spans="1:4" x14ac:dyDescent="0.25">
      <c r="A939">
        <f t="shared" si="96"/>
        <v>931</v>
      </c>
      <c r="B939" t="str">
        <f t="shared" si="94"/>
        <v>0x3A3</v>
      </c>
      <c r="C939">
        <f t="shared" si="98"/>
        <v>3</v>
      </c>
      <c r="D939" t="str">
        <f t="shared" si="95"/>
        <v>00003</v>
      </c>
    </row>
    <row r="940" spans="1:4" x14ac:dyDescent="0.25">
      <c r="A940">
        <f t="shared" si="96"/>
        <v>932</v>
      </c>
      <c r="B940" t="str">
        <f t="shared" si="94"/>
        <v>0x3A4</v>
      </c>
      <c r="C940">
        <f t="shared" si="98"/>
        <v>4</v>
      </c>
      <c r="D940" t="str">
        <f t="shared" si="95"/>
        <v>00004</v>
      </c>
    </row>
    <row r="941" spans="1:4" x14ac:dyDescent="0.25">
      <c r="A941">
        <f t="shared" si="96"/>
        <v>933</v>
      </c>
      <c r="B941" t="str">
        <f t="shared" si="94"/>
        <v>0x3A5</v>
      </c>
      <c r="C941">
        <f t="shared" si="98"/>
        <v>5</v>
      </c>
      <c r="D941" t="str">
        <f t="shared" si="95"/>
        <v>00005</v>
      </c>
    </row>
    <row r="942" spans="1:4" x14ac:dyDescent="0.25">
      <c r="A942">
        <f t="shared" si="96"/>
        <v>934</v>
      </c>
      <c r="B942" t="str">
        <f t="shared" si="94"/>
        <v>0x3A6</v>
      </c>
      <c r="C942">
        <f t="shared" si="98"/>
        <v>6</v>
      </c>
      <c r="D942" t="str">
        <f t="shared" si="95"/>
        <v>00006</v>
      </c>
    </row>
    <row r="943" spans="1:4" x14ac:dyDescent="0.25">
      <c r="A943">
        <f t="shared" si="96"/>
        <v>935</v>
      </c>
      <c r="B943" t="str">
        <f t="shared" si="94"/>
        <v>0x3A7</v>
      </c>
      <c r="C943">
        <f t="shared" si="98"/>
        <v>7</v>
      </c>
      <c r="D943" t="str">
        <f t="shared" si="95"/>
        <v>00007</v>
      </c>
    </row>
    <row r="944" spans="1:4" x14ac:dyDescent="0.25">
      <c r="A944">
        <f t="shared" si="96"/>
        <v>936</v>
      </c>
      <c r="B944" t="str">
        <f t="shared" si="94"/>
        <v>0x3A8</v>
      </c>
      <c r="C944">
        <f t="shared" si="98"/>
        <v>8</v>
      </c>
      <c r="D944" t="str">
        <f t="shared" si="95"/>
        <v>00008</v>
      </c>
    </row>
    <row r="945" spans="1:4" x14ac:dyDescent="0.25">
      <c r="A945">
        <f t="shared" si="96"/>
        <v>937</v>
      </c>
      <c r="B945" t="str">
        <f t="shared" si="94"/>
        <v>0x3A9</v>
      </c>
      <c r="C945">
        <f t="shared" si="98"/>
        <v>9</v>
      </c>
      <c r="D945" t="str">
        <f t="shared" si="95"/>
        <v>00009</v>
      </c>
    </row>
    <row r="946" spans="1:4" x14ac:dyDescent="0.25">
      <c r="A946">
        <f t="shared" si="96"/>
        <v>938</v>
      </c>
      <c r="B946" t="str">
        <f t="shared" si="94"/>
        <v>0x3AA</v>
      </c>
      <c r="C946">
        <f t="shared" si="98"/>
        <v>10</v>
      </c>
      <c r="D946" t="str">
        <f t="shared" si="95"/>
        <v>0000A</v>
      </c>
    </row>
    <row r="947" spans="1:4" x14ac:dyDescent="0.25">
      <c r="A947">
        <f t="shared" si="96"/>
        <v>939</v>
      </c>
      <c r="B947" t="str">
        <f t="shared" si="94"/>
        <v>0x3AB</v>
      </c>
      <c r="C947">
        <f t="shared" si="98"/>
        <v>11</v>
      </c>
      <c r="D947" t="str">
        <f t="shared" si="95"/>
        <v>0000B</v>
      </c>
    </row>
    <row r="948" spans="1:4" x14ac:dyDescent="0.25">
      <c r="A948">
        <f t="shared" si="96"/>
        <v>940</v>
      </c>
      <c r="B948" t="str">
        <f t="shared" si="94"/>
        <v>0x3AC</v>
      </c>
      <c r="C948">
        <f t="shared" si="98"/>
        <v>12</v>
      </c>
      <c r="D948" t="str">
        <f t="shared" si="95"/>
        <v>0000C</v>
      </c>
    </row>
    <row r="949" spans="1:4" x14ac:dyDescent="0.25">
      <c r="A949">
        <f t="shared" si="96"/>
        <v>941</v>
      </c>
      <c r="B949" t="str">
        <f t="shared" si="94"/>
        <v>0x3AD</v>
      </c>
      <c r="C949">
        <f t="shared" si="98"/>
        <v>13</v>
      </c>
      <c r="D949" t="str">
        <f t="shared" si="95"/>
        <v>0000D</v>
      </c>
    </row>
    <row r="950" spans="1:4" x14ac:dyDescent="0.25">
      <c r="A950">
        <f t="shared" si="96"/>
        <v>942</v>
      </c>
      <c r="B950" t="str">
        <f t="shared" si="94"/>
        <v>0x3AE</v>
      </c>
      <c r="C950">
        <f t="shared" si="98"/>
        <v>14</v>
      </c>
      <c r="D950" t="str">
        <f t="shared" si="95"/>
        <v>0000E</v>
      </c>
    </row>
    <row r="951" spans="1:4" x14ac:dyDescent="0.25">
      <c r="A951">
        <f t="shared" si="96"/>
        <v>943</v>
      </c>
      <c r="B951" t="str">
        <f t="shared" si="94"/>
        <v>0x3AF</v>
      </c>
      <c r="C951">
        <f t="shared" si="98"/>
        <v>15</v>
      </c>
      <c r="D951" t="str">
        <f t="shared" si="95"/>
        <v>0000F</v>
      </c>
    </row>
    <row r="952" spans="1:4" x14ac:dyDescent="0.25">
      <c r="A952">
        <f t="shared" si="96"/>
        <v>944</v>
      </c>
      <c r="B952" t="str">
        <f t="shared" si="94"/>
        <v>0x3B0</v>
      </c>
      <c r="C952">
        <f t="shared" si="98"/>
        <v>16</v>
      </c>
      <c r="D952" t="str">
        <f t="shared" si="95"/>
        <v>00010</v>
      </c>
    </row>
    <row r="953" spans="1:4" x14ac:dyDescent="0.25">
      <c r="A953">
        <f t="shared" si="96"/>
        <v>945</v>
      </c>
      <c r="B953" t="str">
        <f t="shared" si="94"/>
        <v>0x3B1</v>
      </c>
      <c r="C953">
        <f t="shared" si="98"/>
        <v>17</v>
      </c>
      <c r="D953" t="str">
        <f t="shared" si="95"/>
        <v>00011</v>
      </c>
    </row>
    <row r="954" spans="1:4" x14ac:dyDescent="0.25">
      <c r="A954">
        <f t="shared" si="96"/>
        <v>946</v>
      </c>
      <c r="B954" t="str">
        <f t="shared" si="94"/>
        <v>0x3B2</v>
      </c>
      <c r="C954">
        <f t="shared" si="98"/>
        <v>18</v>
      </c>
      <c r="D954" t="str">
        <f t="shared" si="95"/>
        <v>00012</v>
      </c>
    </row>
    <row r="955" spans="1:4" x14ac:dyDescent="0.25">
      <c r="A955">
        <f t="shared" si="96"/>
        <v>947</v>
      </c>
      <c r="B955" t="str">
        <f t="shared" si="94"/>
        <v>0x3B3</v>
      </c>
      <c r="C955">
        <f t="shared" si="98"/>
        <v>19</v>
      </c>
      <c r="D955" t="str">
        <f t="shared" si="95"/>
        <v>00013</v>
      </c>
    </row>
    <row r="956" spans="1:4" x14ac:dyDescent="0.25">
      <c r="A956">
        <f t="shared" si="96"/>
        <v>948</v>
      </c>
      <c r="B956" t="str">
        <f t="shared" si="94"/>
        <v>0x3B4</v>
      </c>
      <c r="C956">
        <f t="shared" si="98"/>
        <v>20</v>
      </c>
      <c r="D956" t="str">
        <f t="shared" si="95"/>
        <v>00014</v>
      </c>
    </row>
    <row r="957" spans="1:4" x14ac:dyDescent="0.25">
      <c r="A957">
        <f t="shared" si="96"/>
        <v>949</v>
      </c>
      <c r="B957" t="str">
        <f t="shared" si="94"/>
        <v>0x3B5</v>
      </c>
      <c r="C957">
        <f t="shared" si="98"/>
        <v>21</v>
      </c>
      <c r="D957" t="str">
        <f t="shared" si="95"/>
        <v>00015</v>
      </c>
    </row>
    <row r="958" spans="1:4" x14ac:dyDescent="0.25">
      <c r="A958">
        <f t="shared" si="96"/>
        <v>950</v>
      </c>
      <c r="B958" t="str">
        <f t="shared" si="94"/>
        <v>0x3B6</v>
      </c>
      <c r="C958">
        <f t="shared" si="98"/>
        <v>22</v>
      </c>
      <c r="D958" t="str">
        <f t="shared" si="95"/>
        <v>00016</v>
      </c>
    </row>
    <row r="959" spans="1:4" x14ac:dyDescent="0.25">
      <c r="A959">
        <f t="shared" si="96"/>
        <v>951</v>
      </c>
      <c r="B959" t="str">
        <f t="shared" si="94"/>
        <v>0x3B7</v>
      </c>
      <c r="C959">
        <f t="shared" si="98"/>
        <v>23</v>
      </c>
      <c r="D959" t="str">
        <f t="shared" si="95"/>
        <v>00017</v>
      </c>
    </row>
    <row r="960" spans="1:4" x14ac:dyDescent="0.25">
      <c r="A960">
        <f t="shared" si="96"/>
        <v>952</v>
      </c>
      <c r="B960" t="str">
        <f t="shared" si="94"/>
        <v>0x3B8</v>
      </c>
      <c r="C960">
        <f t="shared" si="98"/>
        <v>24</v>
      </c>
      <c r="D960" t="str">
        <f t="shared" si="95"/>
        <v>00018</v>
      </c>
    </row>
    <row r="961" spans="1:4" x14ac:dyDescent="0.25">
      <c r="A961">
        <f t="shared" si="96"/>
        <v>953</v>
      </c>
      <c r="B961" t="str">
        <f t="shared" si="94"/>
        <v>0x3B9</v>
      </c>
      <c r="C961">
        <f t="shared" si="98"/>
        <v>25</v>
      </c>
      <c r="D961" t="str">
        <f t="shared" si="95"/>
        <v>00019</v>
      </c>
    </row>
    <row r="962" spans="1:4" x14ac:dyDescent="0.25">
      <c r="A962">
        <f t="shared" si="96"/>
        <v>954</v>
      </c>
      <c r="B962" t="str">
        <f t="shared" si="94"/>
        <v>0x3BA</v>
      </c>
      <c r="C962">
        <f t="shared" si="98"/>
        <v>26</v>
      </c>
      <c r="D962" t="str">
        <f t="shared" si="95"/>
        <v>0001A</v>
      </c>
    </row>
    <row r="963" spans="1:4" x14ac:dyDescent="0.25">
      <c r="A963">
        <f t="shared" si="96"/>
        <v>955</v>
      </c>
      <c r="B963" t="str">
        <f t="shared" si="94"/>
        <v>0x3BB</v>
      </c>
      <c r="C963">
        <f t="shared" si="98"/>
        <v>27</v>
      </c>
      <c r="D963" t="str">
        <f t="shared" si="95"/>
        <v>0001B</v>
      </c>
    </row>
    <row r="964" spans="1:4" x14ac:dyDescent="0.25">
      <c r="A964">
        <f t="shared" si="96"/>
        <v>956</v>
      </c>
      <c r="B964" t="str">
        <f t="shared" si="94"/>
        <v>0x3BC</v>
      </c>
      <c r="C964">
        <f t="shared" si="98"/>
        <v>28</v>
      </c>
      <c r="D964" t="str">
        <f t="shared" si="95"/>
        <v>0001C</v>
      </c>
    </row>
    <row r="965" spans="1:4" x14ac:dyDescent="0.25">
      <c r="A965">
        <f t="shared" si="96"/>
        <v>957</v>
      </c>
      <c r="B965" t="str">
        <f t="shared" si="94"/>
        <v>0x3BD</v>
      </c>
      <c r="C965">
        <f t="shared" si="98"/>
        <v>29</v>
      </c>
      <c r="D965" t="str">
        <f t="shared" si="95"/>
        <v>0001D</v>
      </c>
    </row>
    <row r="966" spans="1:4" x14ac:dyDescent="0.25">
      <c r="A966">
        <f t="shared" si="96"/>
        <v>958</v>
      </c>
      <c r="B966" t="str">
        <f t="shared" si="94"/>
        <v>0x3BE</v>
      </c>
      <c r="C966">
        <f t="shared" si="98"/>
        <v>30</v>
      </c>
      <c r="D966" t="str">
        <f t="shared" si="95"/>
        <v>0001E</v>
      </c>
    </row>
    <row r="967" spans="1:4" x14ac:dyDescent="0.25">
      <c r="A967">
        <f t="shared" si="96"/>
        <v>959</v>
      </c>
      <c r="B967" t="str">
        <f t="shared" si="94"/>
        <v>0x3BF</v>
      </c>
      <c r="C967">
        <f t="shared" si="98"/>
        <v>31</v>
      </c>
      <c r="D967" t="str">
        <f t="shared" si="95"/>
        <v>0001F</v>
      </c>
    </row>
    <row r="968" spans="1:4" x14ac:dyDescent="0.25">
      <c r="A968">
        <f t="shared" si="96"/>
        <v>960</v>
      </c>
      <c r="B968" t="str">
        <f t="shared" si="94"/>
        <v>0x3C0</v>
      </c>
      <c r="C968">
        <v>0</v>
      </c>
      <c r="D968" t="str">
        <f t="shared" si="95"/>
        <v>00000</v>
      </c>
    </row>
    <row r="969" spans="1:4" x14ac:dyDescent="0.25">
      <c r="A969">
        <f t="shared" si="96"/>
        <v>961</v>
      </c>
      <c r="B969" t="str">
        <f t="shared" ref="B969:B1031" si="99">CONCATENATE("0x",DEC2HEX(A969,3))</f>
        <v>0x3C1</v>
      </c>
      <c r="C969">
        <f>C968+1</f>
        <v>1</v>
      </c>
      <c r="D969" t="str">
        <f t="shared" ref="D969:D1031" si="100">DEC2HEX(C969,5)</f>
        <v>00001</v>
      </c>
    </row>
    <row r="970" spans="1:4" x14ac:dyDescent="0.25">
      <c r="A970">
        <f t="shared" ref="A970:A1024" si="101">A969+1</f>
        <v>962</v>
      </c>
      <c r="B970" t="str">
        <f t="shared" si="99"/>
        <v>0x3C2</v>
      </c>
      <c r="C970">
        <f t="shared" ref="C970:C999" si="102">C969+1</f>
        <v>2</v>
      </c>
      <c r="D970" t="str">
        <f t="shared" si="100"/>
        <v>00002</v>
      </c>
    </row>
    <row r="971" spans="1:4" x14ac:dyDescent="0.25">
      <c r="A971">
        <f t="shared" si="101"/>
        <v>963</v>
      </c>
      <c r="B971" t="str">
        <f t="shared" si="99"/>
        <v>0x3C3</v>
      </c>
      <c r="C971">
        <f t="shared" si="102"/>
        <v>3</v>
      </c>
      <c r="D971" t="str">
        <f t="shared" si="100"/>
        <v>00003</v>
      </c>
    </row>
    <row r="972" spans="1:4" x14ac:dyDescent="0.25">
      <c r="A972">
        <f t="shared" si="101"/>
        <v>964</v>
      </c>
      <c r="B972" t="str">
        <f t="shared" si="99"/>
        <v>0x3C4</v>
      </c>
      <c r="C972">
        <f t="shared" si="102"/>
        <v>4</v>
      </c>
      <c r="D972" t="str">
        <f t="shared" si="100"/>
        <v>00004</v>
      </c>
    </row>
    <row r="973" spans="1:4" x14ac:dyDescent="0.25">
      <c r="A973">
        <f t="shared" si="101"/>
        <v>965</v>
      </c>
      <c r="B973" t="str">
        <f t="shared" si="99"/>
        <v>0x3C5</v>
      </c>
      <c r="C973">
        <f t="shared" si="102"/>
        <v>5</v>
      </c>
      <c r="D973" t="str">
        <f t="shared" si="100"/>
        <v>00005</v>
      </c>
    </row>
    <row r="974" spans="1:4" x14ac:dyDescent="0.25">
      <c r="A974">
        <f t="shared" si="101"/>
        <v>966</v>
      </c>
      <c r="B974" t="str">
        <f t="shared" si="99"/>
        <v>0x3C6</v>
      </c>
      <c r="C974">
        <f t="shared" si="102"/>
        <v>6</v>
      </c>
      <c r="D974" t="str">
        <f t="shared" si="100"/>
        <v>00006</v>
      </c>
    </row>
    <row r="975" spans="1:4" x14ac:dyDescent="0.25">
      <c r="A975">
        <f t="shared" si="101"/>
        <v>967</v>
      </c>
      <c r="B975" t="str">
        <f t="shared" si="99"/>
        <v>0x3C7</v>
      </c>
      <c r="C975">
        <f t="shared" si="102"/>
        <v>7</v>
      </c>
      <c r="D975" t="str">
        <f t="shared" si="100"/>
        <v>00007</v>
      </c>
    </row>
    <row r="976" spans="1:4" x14ac:dyDescent="0.25">
      <c r="A976">
        <f t="shared" si="101"/>
        <v>968</v>
      </c>
      <c r="B976" t="str">
        <f t="shared" si="99"/>
        <v>0x3C8</v>
      </c>
      <c r="C976">
        <f t="shared" si="102"/>
        <v>8</v>
      </c>
      <c r="D976" t="str">
        <f t="shared" si="100"/>
        <v>00008</v>
      </c>
    </row>
    <row r="977" spans="1:4" x14ac:dyDescent="0.25">
      <c r="A977">
        <f t="shared" si="101"/>
        <v>969</v>
      </c>
      <c r="B977" t="str">
        <f t="shared" si="99"/>
        <v>0x3C9</v>
      </c>
      <c r="C977">
        <f t="shared" si="102"/>
        <v>9</v>
      </c>
      <c r="D977" t="str">
        <f t="shared" si="100"/>
        <v>00009</v>
      </c>
    </row>
    <row r="978" spans="1:4" x14ac:dyDescent="0.25">
      <c r="A978">
        <f t="shared" si="101"/>
        <v>970</v>
      </c>
      <c r="B978" t="str">
        <f t="shared" si="99"/>
        <v>0x3CA</v>
      </c>
      <c r="C978">
        <f t="shared" si="102"/>
        <v>10</v>
      </c>
      <c r="D978" t="str">
        <f t="shared" si="100"/>
        <v>0000A</v>
      </c>
    </row>
    <row r="979" spans="1:4" x14ac:dyDescent="0.25">
      <c r="A979">
        <f t="shared" si="101"/>
        <v>971</v>
      </c>
      <c r="B979" t="str">
        <f t="shared" si="99"/>
        <v>0x3CB</v>
      </c>
      <c r="C979">
        <f t="shared" si="102"/>
        <v>11</v>
      </c>
      <c r="D979" t="str">
        <f t="shared" si="100"/>
        <v>0000B</v>
      </c>
    </row>
    <row r="980" spans="1:4" x14ac:dyDescent="0.25">
      <c r="A980">
        <f t="shared" si="101"/>
        <v>972</v>
      </c>
      <c r="B980" t="str">
        <f t="shared" si="99"/>
        <v>0x3CC</v>
      </c>
      <c r="C980">
        <f t="shared" si="102"/>
        <v>12</v>
      </c>
      <c r="D980" t="str">
        <f t="shared" si="100"/>
        <v>0000C</v>
      </c>
    </row>
    <row r="981" spans="1:4" x14ac:dyDescent="0.25">
      <c r="A981">
        <f t="shared" si="101"/>
        <v>973</v>
      </c>
      <c r="B981" t="str">
        <f t="shared" si="99"/>
        <v>0x3CD</v>
      </c>
      <c r="C981">
        <f t="shared" si="102"/>
        <v>13</v>
      </c>
      <c r="D981" t="str">
        <f t="shared" si="100"/>
        <v>0000D</v>
      </c>
    </row>
    <row r="982" spans="1:4" x14ac:dyDescent="0.25">
      <c r="A982">
        <f t="shared" si="101"/>
        <v>974</v>
      </c>
      <c r="B982" t="str">
        <f t="shared" si="99"/>
        <v>0x3CE</v>
      </c>
      <c r="C982">
        <f t="shared" si="102"/>
        <v>14</v>
      </c>
      <c r="D982" t="str">
        <f t="shared" si="100"/>
        <v>0000E</v>
      </c>
    </row>
    <row r="983" spans="1:4" x14ac:dyDescent="0.25">
      <c r="A983">
        <f t="shared" si="101"/>
        <v>975</v>
      </c>
      <c r="B983" t="str">
        <f t="shared" si="99"/>
        <v>0x3CF</v>
      </c>
      <c r="C983">
        <f t="shared" si="102"/>
        <v>15</v>
      </c>
      <c r="D983" t="str">
        <f t="shared" si="100"/>
        <v>0000F</v>
      </c>
    </row>
    <row r="984" spans="1:4" x14ac:dyDescent="0.25">
      <c r="A984">
        <f t="shared" si="101"/>
        <v>976</v>
      </c>
      <c r="B984" t="str">
        <f t="shared" si="99"/>
        <v>0x3D0</v>
      </c>
      <c r="C984">
        <f t="shared" si="102"/>
        <v>16</v>
      </c>
      <c r="D984" t="str">
        <f t="shared" si="100"/>
        <v>00010</v>
      </c>
    </row>
    <row r="985" spans="1:4" x14ac:dyDescent="0.25">
      <c r="A985">
        <f t="shared" si="101"/>
        <v>977</v>
      </c>
      <c r="B985" t="str">
        <f t="shared" si="99"/>
        <v>0x3D1</v>
      </c>
      <c r="C985">
        <f t="shared" si="102"/>
        <v>17</v>
      </c>
      <c r="D985" t="str">
        <f t="shared" si="100"/>
        <v>00011</v>
      </c>
    </row>
    <row r="986" spans="1:4" x14ac:dyDescent="0.25">
      <c r="A986">
        <f t="shared" si="101"/>
        <v>978</v>
      </c>
      <c r="B986" t="str">
        <f t="shared" si="99"/>
        <v>0x3D2</v>
      </c>
      <c r="C986">
        <f t="shared" si="102"/>
        <v>18</v>
      </c>
      <c r="D986" t="str">
        <f t="shared" si="100"/>
        <v>00012</v>
      </c>
    </row>
    <row r="987" spans="1:4" x14ac:dyDescent="0.25">
      <c r="A987">
        <f t="shared" si="101"/>
        <v>979</v>
      </c>
      <c r="B987" t="str">
        <f t="shared" si="99"/>
        <v>0x3D3</v>
      </c>
      <c r="C987">
        <f t="shared" si="102"/>
        <v>19</v>
      </c>
      <c r="D987" t="str">
        <f t="shared" si="100"/>
        <v>00013</v>
      </c>
    </row>
    <row r="988" spans="1:4" x14ac:dyDescent="0.25">
      <c r="A988">
        <f t="shared" si="101"/>
        <v>980</v>
      </c>
      <c r="B988" t="str">
        <f t="shared" si="99"/>
        <v>0x3D4</v>
      </c>
      <c r="C988">
        <f t="shared" si="102"/>
        <v>20</v>
      </c>
      <c r="D988" t="str">
        <f t="shared" si="100"/>
        <v>00014</v>
      </c>
    </row>
    <row r="989" spans="1:4" x14ac:dyDescent="0.25">
      <c r="A989">
        <f t="shared" si="101"/>
        <v>981</v>
      </c>
      <c r="B989" t="str">
        <f t="shared" si="99"/>
        <v>0x3D5</v>
      </c>
      <c r="C989">
        <f t="shared" si="102"/>
        <v>21</v>
      </c>
      <c r="D989" t="str">
        <f t="shared" si="100"/>
        <v>00015</v>
      </c>
    </row>
    <row r="990" spans="1:4" x14ac:dyDescent="0.25">
      <c r="A990">
        <f t="shared" si="101"/>
        <v>982</v>
      </c>
      <c r="B990" t="str">
        <f t="shared" si="99"/>
        <v>0x3D6</v>
      </c>
      <c r="C990">
        <f t="shared" si="102"/>
        <v>22</v>
      </c>
      <c r="D990" t="str">
        <f t="shared" si="100"/>
        <v>00016</v>
      </c>
    </row>
    <row r="991" spans="1:4" x14ac:dyDescent="0.25">
      <c r="A991">
        <f t="shared" si="101"/>
        <v>983</v>
      </c>
      <c r="B991" t="str">
        <f t="shared" si="99"/>
        <v>0x3D7</v>
      </c>
      <c r="C991">
        <f t="shared" si="102"/>
        <v>23</v>
      </c>
      <c r="D991" t="str">
        <f t="shared" si="100"/>
        <v>00017</v>
      </c>
    </row>
    <row r="992" spans="1:4" x14ac:dyDescent="0.25">
      <c r="A992">
        <f t="shared" si="101"/>
        <v>984</v>
      </c>
      <c r="B992" t="str">
        <f t="shared" si="99"/>
        <v>0x3D8</v>
      </c>
      <c r="C992">
        <f t="shared" si="102"/>
        <v>24</v>
      </c>
      <c r="D992" t="str">
        <f t="shared" si="100"/>
        <v>00018</v>
      </c>
    </row>
    <row r="993" spans="1:5" x14ac:dyDescent="0.25">
      <c r="A993">
        <f t="shared" si="101"/>
        <v>985</v>
      </c>
      <c r="B993" t="str">
        <f t="shared" si="99"/>
        <v>0x3D9</v>
      </c>
      <c r="C993">
        <f t="shared" si="102"/>
        <v>25</v>
      </c>
      <c r="D993" t="str">
        <f t="shared" si="100"/>
        <v>00019</v>
      </c>
    </row>
    <row r="994" spans="1:5" x14ac:dyDescent="0.25">
      <c r="A994">
        <f t="shared" si="101"/>
        <v>986</v>
      </c>
      <c r="B994" t="str">
        <f t="shared" si="99"/>
        <v>0x3DA</v>
      </c>
      <c r="C994">
        <f t="shared" si="102"/>
        <v>26</v>
      </c>
      <c r="D994" t="str">
        <f t="shared" si="100"/>
        <v>0001A</v>
      </c>
    </row>
    <row r="995" spans="1:5" x14ac:dyDescent="0.25">
      <c r="A995">
        <f t="shared" si="101"/>
        <v>987</v>
      </c>
      <c r="B995" t="str">
        <f t="shared" si="99"/>
        <v>0x3DB</v>
      </c>
      <c r="C995">
        <f t="shared" si="102"/>
        <v>27</v>
      </c>
      <c r="D995" t="str">
        <f t="shared" si="100"/>
        <v>0001B</v>
      </c>
    </row>
    <row r="996" spans="1:5" x14ac:dyDescent="0.25">
      <c r="A996">
        <f t="shared" si="101"/>
        <v>988</v>
      </c>
      <c r="B996" t="str">
        <f t="shared" si="99"/>
        <v>0x3DC</v>
      </c>
      <c r="C996">
        <f t="shared" si="102"/>
        <v>28</v>
      </c>
      <c r="D996" t="str">
        <f t="shared" si="100"/>
        <v>0001C</v>
      </c>
    </row>
    <row r="997" spans="1:5" x14ac:dyDescent="0.25">
      <c r="A997">
        <f t="shared" si="101"/>
        <v>989</v>
      </c>
      <c r="B997" t="str">
        <f t="shared" si="99"/>
        <v>0x3DD</v>
      </c>
      <c r="C997">
        <f t="shared" si="102"/>
        <v>29</v>
      </c>
      <c r="D997" t="str">
        <f t="shared" si="100"/>
        <v>0001D</v>
      </c>
    </row>
    <row r="998" spans="1:5" x14ac:dyDescent="0.25">
      <c r="A998">
        <f t="shared" si="101"/>
        <v>990</v>
      </c>
      <c r="B998" t="str">
        <f t="shared" si="99"/>
        <v>0x3DE</v>
      </c>
      <c r="C998">
        <f t="shared" si="102"/>
        <v>30</v>
      </c>
      <c r="D998" t="str">
        <f t="shared" si="100"/>
        <v>0001E</v>
      </c>
    </row>
    <row r="999" spans="1:5" x14ac:dyDescent="0.25">
      <c r="A999">
        <f t="shared" si="101"/>
        <v>991</v>
      </c>
      <c r="B999" t="str">
        <f t="shared" si="99"/>
        <v>0x3DF</v>
      </c>
      <c r="C999">
        <f t="shared" si="102"/>
        <v>31</v>
      </c>
      <c r="D999" t="str">
        <f t="shared" si="100"/>
        <v>0001F</v>
      </c>
    </row>
    <row r="1000" spans="1:5" x14ac:dyDescent="0.25">
      <c r="A1000">
        <f t="shared" si="101"/>
        <v>992</v>
      </c>
      <c r="B1000" t="str">
        <f t="shared" si="99"/>
        <v>0x3E0</v>
      </c>
      <c r="C1000">
        <v>0</v>
      </c>
      <c r="D1000" t="str">
        <f t="shared" si="100"/>
        <v>00000</v>
      </c>
      <c r="E1000" t="s">
        <v>70</v>
      </c>
    </row>
    <row r="1001" spans="1:5" x14ac:dyDescent="0.25">
      <c r="A1001">
        <f t="shared" si="101"/>
        <v>993</v>
      </c>
      <c r="B1001" t="str">
        <f t="shared" si="99"/>
        <v>0x3E1</v>
      </c>
      <c r="C1001">
        <f>C1000+1</f>
        <v>1</v>
      </c>
      <c r="D1001" t="str">
        <f t="shared" si="100"/>
        <v>00001</v>
      </c>
      <c r="E1001" t="s">
        <v>71</v>
      </c>
    </row>
    <row r="1002" spans="1:5" x14ac:dyDescent="0.25">
      <c r="A1002">
        <f t="shared" si="101"/>
        <v>994</v>
      </c>
      <c r="B1002" t="str">
        <f t="shared" si="99"/>
        <v>0x3E2</v>
      </c>
      <c r="C1002">
        <f t="shared" ref="C1002:C1031" si="103">C1001+1</f>
        <v>2</v>
      </c>
      <c r="D1002" t="str">
        <f t="shared" si="100"/>
        <v>00002</v>
      </c>
      <c r="E1002" t="s">
        <v>72</v>
      </c>
    </row>
    <row r="1003" spans="1:5" x14ac:dyDescent="0.25">
      <c r="A1003">
        <f t="shared" si="101"/>
        <v>995</v>
      </c>
      <c r="B1003" t="str">
        <f t="shared" si="99"/>
        <v>0x3E3</v>
      </c>
      <c r="C1003">
        <f t="shared" si="103"/>
        <v>3</v>
      </c>
      <c r="D1003" t="str">
        <f t="shared" si="100"/>
        <v>00003</v>
      </c>
      <c r="E1003" t="s">
        <v>73</v>
      </c>
    </row>
    <row r="1004" spans="1:5" x14ac:dyDescent="0.25">
      <c r="A1004">
        <f t="shared" si="101"/>
        <v>996</v>
      </c>
      <c r="B1004" t="str">
        <f t="shared" si="99"/>
        <v>0x3E4</v>
      </c>
      <c r="C1004">
        <f t="shared" si="103"/>
        <v>4</v>
      </c>
      <c r="D1004" t="str">
        <f t="shared" si="100"/>
        <v>00004</v>
      </c>
      <c r="E1004" t="s">
        <v>74</v>
      </c>
    </row>
    <row r="1005" spans="1:5" x14ac:dyDescent="0.25">
      <c r="A1005">
        <f t="shared" si="101"/>
        <v>997</v>
      </c>
      <c r="B1005" t="str">
        <f t="shared" si="99"/>
        <v>0x3E5</v>
      </c>
      <c r="C1005">
        <f t="shared" si="103"/>
        <v>5</v>
      </c>
      <c r="D1005" t="str">
        <f t="shared" si="100"/>
        <v>00005</v>
      </c>
      <c r="E1005" t="s">
        <v>75</v>
      </c>
    </row>
    <row r="1006" spans="1:5" x14ac:dyDescent="0.25">
      <c r="A1006">
        <f t="shared" si="101"/>
        <v>998</v>
      </c>
      <c r="B1006" t="str">
        <f t="shared" si="99"/>
        <v>0x3E6</v>
      </c>
      <c r="C1006">
        <f t="shared" si="103"/>
        <v>6</v>
      </c>
      <c r="D1006" t="str">
        <f t="shared" si="100"/>
        <v>00006</v>
      </c>
      <c r="E1006" t="s">
        <v>76</v>
      </c>
    </row>
    <row r="1007" spans="1:5" x14ac:dyDescent="0.25">
      <c r="A1007">
        <f t="shared" si="101"/>
        <v>999</v>
      </c>
      <c r="B1007" t="str">
        <f t="shared" si="99"/>
        <v>0x3E7</v>
      </c>
      <c r="C1007">
        <f t="shared" si="103"/>
        <v>7</v>
      </c>
      <c r="D1007" t="str">
        <f t="shared" si="100"/>
        <v>00007</v>
      </c>
      <c r="E1007" t="s">
        <v>77</v>
      </c>
    </row>
    <row r="1008" spans="1:5" x14ac:dyDescent="0.25">
      <c r="A1008">
        <f t="shared" si="101"/>
        <v>1000</v>
      </c>
      <c r="B1008" t="str">
        <f t="shared" si="99"/>
        <v>0x3E8</v>
      </c>
      <c r="C1008">
        <f t="shared" si="103"/>
        <v>8</v>
      </c>
      <c r="D1008" t="str">
        <f t="shared" si="100"/>
        <v>00008</v>
      </c>
      <c r="E1008" t="s">
        <v>78</v>
      </c>
    </row>
    <row r="1009" spans="1:5" x14ac:dyDescent="0.25">
      <c r="A1009">
        <f t="shared" si="101"/>
        <v>1001</v>
      </c>
      <c r="B1009" t="str">
        <f t="shared" si="99"/>
        <v>0x3E9</v>
      </c>
      <c r="C1009">
        <f t="shared" si="103"/>
        <v>9</v>
      </c>
      <c r="D1009" t="str">
        <f t="shared" si="100"/>
        <v>00009</v>
      </c>
      <c r="E1009" t="s">
        <v>79</v>
      </c>
    </row>
    <row r="1010" spans="1:5" x14ac:dyDescent="0.25">
      <c r="A1010">
        <f t="shared" si="101"/>
        <v>1002</v>
      </c>
      <c r="B1010" t="str">
        <f t="shared" si="99"/>
        <v>0x3EA</v>
      </c>
      <c r="C1010">
        <f t="shared" si="103"/>
        <v>10</v>
      </c>
      <c r="D1010" t="str">
        <f t="shared" si="100"/>
        <v>0000A</v>
      </c>
      <c r="E1010" t="s">
        <v>80</v>
      </c>
    </row>
    <row r="1011" spans="1:5" x14ac:dyDescent="0.25">
      <c r="A1011">
        <f t="shared" si="101"/>
        <v>1003</v>
      </c>
      <c r="B1011" t="str">
        <f t="shared" si="99"/>
        <v>0x3EB</v>
      </c>
      <c r="C1011">
        <f t="shared" si="103"/>
        <v>11</v>
      </c>
      <c r="D1011" t="str">
        <f t="shared" si="100"/>
        <v>0000B</v>
      </c>
      <c r="E1011" t="s">
        <v>81</v>
      </c>
    </row>
    <row r="1012" spans="1:5" x14ac:dyDescent="0.25">
      <c r="A1012">
        <f t="shared" si="101"/>
        <v>1004</v>
      </c>
      <c r="B1012" t="str">
        <f t="shared" si="99"/>
        <v>0x3EC</v>
      </c>
      <c r="C1012">
        <f t="shared" si="103"/>
        <v>12</v>
      </c>
      <c r="D1012" t="str">
        <f t="shared" si="100"/>
        <v>0000C</v>
      </c>
      <c r="E1012" t="s">
        <v>82</v>
      </c>
    </row>
    <row r="1013" spans="1:5" x14ac:dyDescent="0.25">
      <c r="A1013">
        <f t="shared" si="101"/>
        <v>1005</v>
      </c>
      <c r="B1013" t="str">
        <f t="shared" si="99"/>
        <v>0x3ED</v>
      </c>
      <c r="C1013">
        <f t="shared" si="103"/>
        <v>13</v>
      </c>
      <c r="D1013" t="str">
        <f t="shared" si="100"/>
        <v>0000D</v>
      </c>
      <c r="E1013" t="s">
        <v>83</v>
      </c>
    </row>
    <row r="1014" spans="1:5" x14ac:dyDescent="0.25">
      <c r="A1014">
        <f t="shared" si="101"/>
        <v>1006</v>
      </c>
      <c r="B1014" t="str">
        <f t="shared" si="99"/>
        <v>0x3EE</v>
      </c>
      <c r="C1014">
        <f t="shared" si="103"/>
        <v>14</v>
      </c>
      <c r="D1014" t="str">
        <f t="shared" si="100"/>
        <v>0000E</v>
      </c>
      <c r="E1014" t="s">
        <v>84</v>
      </c>
    </row>
    <row r="1015" spans="1:5" x14ac:dyDescent="0.25">
      <c r="A1015">
        <f t="shared" si="101"/>
        <v>1007</v>
      </c>
      <c r="B1015" t="str">
        <f t="shared" si="99"/>
        <v>0x3EF</v>
      </c>
      <c r="C1015">
        <f t="shared" si="103"/>
        <v>15</v>
      </c>
      <c r="D1015" t="str">
        <f t="shared" si="100"/>
        <v>0000F</v>
      </c>
      <c r="E1015" t="s">
        <v>85</v>
      </c>
    </row>
    <row r="1016" spans="1:5" x14ac:dyDescent="0.25">
      <c r="A1016">
        <f t="shared" si="101"/>
        <v>1008</v>
      </c>
      <c r="B1016" t="str">
        <f t="shared" si="99"/>
        <v>0x3F0</v>
      </c>
      <c r="C1016">
        <f t="shared" si="103"/>
        <v>16</v>
      </c>
      <c r="D1016" t="str">
        <f t="shared" si="100"/>
        <v>00010</v>
      </c>
      <c r="E1016" t="s">
        <v>86</v>
      </c>
    </row>
    <row r="1017" spans="1:5" x14ac:dyDescent="0.25">
      <c r="A1017">
        <f t="shared" si="101"/>
        <v>1009</v>
      </c>
      <c r="B1017" t="str">
        <f t="shared" si="99"/>
        <v>0x3F1</v>
      </c>
      <c r="C1017">
        <f t="shared" si="103"/>
        <v>17</v>
      </c>
      <c r="D1017" t="str">
        <f t="shared" si="100"/>
        <v>00011</v>
      </c>
      <c r="E1017" t="s">
        <v>87</v>
      </c>
    </row>
    <row r="1018" spans="1:5" x14ac:dyDescent="0.25">
      <c r="A1018">
        <f t="shared" si="101"/>
        <v>1010</v>
      </c>
      <c r="B1018" t="str">
        <f t="shared" si="99"/>
        <v>0x3F2</v>
      </c>
      <c r="C1018">
        <f t="shared" si="103"/>
        <v>18</v>
      </c>
      <c r="D1018" t="str">
        <f t="shared" si="100"/>
        <v>00012</v>
      </c>
      <c r="E1018" t="s">
        <v>88</v>
      </c>
    </row>
    <row r="1019" spans="1:5" x14ac:dyDescent="0.25">
      <c r="A1019">
        <f t="shared" si="101"/>
        <v>1011</v>
      </c>
      <c r="B1019" t="str">
        <f t="shared" si="99"/>
        <v>0x3F3</v>
      </c>
      <c r="C1019">
        <f t="shared" si="103"/>
        <v>19</v>
      </c>
      <c r="D1019" t="str">
        <f t="shared" si="100"/>
        <v>00013</v>
      </c>
      <c r="E1019" t="s">
        <v>89</v>
      </c>
    </row>
    <row r="1020" spans="1:5" x14ac:dyDescent="0.25">
      <c r="A1020">
        <f t="shared" si="101"/>
        <v>1012</v>
      </c>
      <c r="B1020" t="str">
        <f t="shared" si="99"/>
        <v>0x3F4</v>
      </c>
      <c r="C1020">
        <f t="shared" si="103"/>
        <v>20</v>
      </c>
      <c r="D1020" t="str">
        <f t="shared" si="100"/>
        <v>00014</v>
      </c>
      <c r="E1020" t="s">
        <v>90</v>
      </c>
    </row>
    <row r="1021" spans="1:5" x14ac:dyDescent="0.25">
      <c r="A1021">
        <f t="shared" si="101"/>
        <v>1013</v>
      </c>
      <c r="B1021" t="str">
        <f t="shared" si="99"/>
        <v>0x3F5</v>
      </c>
      <c r="C1021">
        <f t="shared" si="103"/>
        <v>21</v>
      </c>
      <c r="D1021" t="str">
        <f t="shared" si="100"/>
        <v>00015</v>
      </c>
      <c r="E1021" t="s">
        <v>91</v>
      </c>
    </row>
    <row r="1022" spans="1:5" x14ac:dyDescent="0.25">
      <c r="A1022">
        <f t="shared" si="101"/>
        <v>1014</v>
      </c>
      <c r="B1022" t="str">
        <f t="shared" si="99"/>
        <v>0x3F6</v>
      </c>
      <c r="C1022">
        <f t="shared" si="103"/>
        <v>22</v>
      </c>
      <c r="D1022" t="str">
        <f t="shared" si="100"/>
        <v>00016</v>
      </c>
      <c r="E1022" t="s">
        <v>92</v>
      </c>
    </row>
    <row r="1023" spans="1:5" x14ac:dyDescent="0.25">
      <c r="A1023">
        <f t="shared" si="101"/>
        <v>1015</v>
      </c>
      <c r="B1023" t="str">
        <f t="shared" si="99"/>
        <v>0x3F7</v>
      </c>
      <c r="C1023">
        <f t="shared" si="103"/>
        <v>23</v>
      </c>
      <c r="D1023" t="str">
        <f t="shared" si="100"/>
        <v>00017</v>
      </c>
      <c r="E1023" t="s">
        <v>93</v>
      </c>
    </row>
    <row r="1024" spans="1:5" x14ac:dyDescent="0.25">
      <c r="A1024">
        <f t="shared" si="101"/>
        <v>1016</v>
      </c>
      <c r="B1024" t="str">
        <f t="shared" si="99"/>
        <v>0x3F8</v>
      </c>
      <c r="C1024">
        <f t="shared" si="103"/>
        <v>24</v>
      </c>
      <c r="D1024" t="str">
        <f t="shared" si="100"/>
        <v>00018</v>
      </c>
      <c r="E1024" t="s">
        <v>94</v>
      </c>
    </row>
    <row r="1025" spans="1:5" x14ac:dyDescent="0.25">
      <c r="A1025">
        <f>A1024+1</f>
        <v>1017</v>
      </c>
      <c r="B1025" t="str">
        <f t="shared" si="99"/>
        <v>0x3F9</v>
      </c>
      <c r="C1025">
        <f t="shared" si="103"/>
        <v>25</v>
      </c>
      <c r="D1025" t="str">
        <f t="shared" si="100"/>
        <v>00019</v>
      </c>
      <c r="E1025" t="s">
        <v>95</v>
      </c>
    </row>
    <row r="1026" spans="1:5" x14ac:dyDescent="0.25">
      <c r="A1026">
        <f t="shared" ref="A1026:A1031" si="104">A1025+1</f>
        <v>1018</v>
      </c>
      <c r="B1026" t="str">
        <f t="shared" si="99"/>
        <v>0x3FA</v>
      </c>
      <c r="C1026">
        <f t="shared" si="103"/>
        <v>26</v>
      </c>
      <c r="D1026" t="str">
        <f t="shared" si="100"/>
        <v>0001A</v>
      </c>
      <c r="E1026" t="s">
        <v>96</v>
      </c>
    </row>
    <row r="1027" spans="1:5" x14ac:dyDescent="0.25">
      <c r="A1027">
        <f t="shared" si="104"/>
        <v>1019</v>
      </c>
      <c r="B1027" t="str">
        <f t="shared" si="99"/>
        <v>0x3FB</v>
      </c>
      <c r="C1027">
        <f t="shared" si="103"/>
        <v>27</v>
      </c>
      <c r="D1027" t="str">
        <f t="shared" si="100"/>
        <v>0001B</v>
      </c>
      <c r="E1027" t="s">
        <v>97</v>
      </c>
    </row>
    <row r="1028" spans="1:5" x14ac:dyDescent="0.25">
      <c r="A1028">
        <f t="shared" si="104"/>
        <v>1020</v>
      </c>
      <c r="B1028" t="str">
        <f t="shared" si="99"/>
        <v>0x3FC</v>
      </c>
      <c r="C1028">
        <f t="shared" si="103"/>
        <v>28</v>
      </c>
      <c r="D1028" t="str">
        <f t="shared" si="100"/>
        <v>0001C</v>
      </c>
      <c r="E1028" t="s">
        <v>98</v>
      </c>
    </row>
    <row r="1029" spans="1:5" x14ac:dyDescent="0.25">
      <c r="A1029">
        <f t="shared" si="104"/>
        <v>1021</v>
      </c>
      <c r="B1029" t="str">
        <f t="shared" si="99"/>
        <v>0x3FD</v>
      </c>
      <c r="C1029">
        <f t="shared" si="103"/>
        <v>29</v>
      </c>
      <c r="D1029" t="str">
        <f t="shared" si="100"/>
        <v>0001D</v>
      </c>
      <c r="E1029" t="s">
        <v>99</v>
      </c>
    </row>
    <row r="1030" spans="1:5" x14ac:dyDescent="0.25">
      <c r="A1030">
        <f t="shared" si="104"/>
        <v>1022</v>
      </c>
      <c r="B1030" t="str">
        <f t="shared" si="99"/>
        <v>0x3FE</v>
      </c>
      <c r="C1030">
        <f t="shared" si="103"/>
        <v>30</v>
      </c>
      <c r="D1030" t="str">
        <f t="shared" si="100"/>
        <v>0001E</v>
      </c>
      <c r="E1030" t="s">
        <v>100</v>
      </c>
    </row>
    <row r="1031" spans="1:5" x14ac:dyDescent="0.25">
      <c r="A1031">
        <f t="shared" si="104"/>
        <v>1023</v>
      </c>
      <c r="B1031" t="str">
        <f t="shared" si="99"/>
        <v>0x3FF</v>
      </c>
      <c r="C1031">
        <f t="shared" si="103"/>
        <v>31</v>
      </c>
      <c r="D1031" t="str">
        <f t="shared" si="100"/>
        <v>0001F</v>
      </c>
      <c r="E1031" t="s">
        <v>101</v>
      </c>
    </row>
  </sheetData>
  <mergeCells count="1">
    <mergeCell ref="C6:D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9"/>
  <sheetViews>
    <sheetView topLeftCell="A112" workbookViewId="0">
      <selection activeCell="F148" sqref="F148"/>
    </sheetView>
  </sheetViews>
  <sheetFormatPr defaultRowHeight="15" x14ac:dyDescent="0.25"/>
  <cols>
    <col min="1" max="1" width="9.140625" style="61"/>
    <col min="2" max="2" width="6.28515625" style="61" customWidth="1"/>
    <col min="3" max="3" width="6.28515625" style="61" bestFit="1" customWidth="1"/>
    <col min="4" max="4" width="9.140625" style="61"/>
    <col min="5" max="5" width="8.140625" style="61" customWidth="1"/>
    <col min="6" max="6" width="38.140625" bestFit="1" customWidth="1"/>
  </cols>
  <sheetData>
    <row r="1" spans="1:6" s="79" customFormat="1" ht="15.75" thickBot="1" x14ac:dyDescent="0.3">
      <c r="A1" s="80" t="s">
        <v>171</v>
      </c>
      <c r="B1" s="80" t="s">
        <v>363</v>
      </c>
      <c r="C1" s="80" t="s">
        <v>332</v>
      </c>
      <c r="D1" s="80" t="s">
        <v>350</v>
      </c>
      <c r="E1" s="80" t="s">
        <v>362</v>
      </c>
      <c r="F1" s="80" t="s">
        <v>30</v>
      </c>
    </row>
    <row r="2" spans="1:6" s="67" customFormat="1" x14ac:dyDescent="0.25">
      <c r="A2" s="84">
        <v>0</v>
      </c>
      <c r="B2" s="85">
        <v>0</v>
      </c>
      <c r="C2" s="85">
        <v>0</v>
      </c>
      <c r="D2" s="85" t="str">
        <f>DEC2BIN(A2,5)</f>
        <v>00000</v>
      </c>
      <c r="E2" s="85" t="str">
        <f t="shared" ref="E2:E33" si="0">CONCATENATE(B2,C2,D2)</f>
        <v>0000000</v>
      </c>
      <c r="F2" s="67" t="s">
        <v>353</v>
      </c>
    </row>
    <row r="3" spans="1:6" s="64" customFormat="1" x14ac:dyDescent="0.25">
      <c r="A3" s="86">
        <f>A2+1</f>
        <v>1</v>
      </c>
      <c r="B3" s="87">
        <v>0</v>
      </c>
      <c r="C3" s="87">
        <v>0</v>
      </c>
      <c r="D3" s="87" t="str">
        <f t="shared" ref="D3:D67" si="1">DEC2BIN(A3,5)</f>
        <v>00001</v>
      </c>
      <c r="E3" s="87" t="str">
        <f t="shared" si="0"/>
        <v>0000001</v>
      </c>
      <c r="F3" s="64" t="s">
        <v>353</v>
      </c>
    </row>
    <row r="4" spans="1:6" s="64" customFormat="1" x14ac:dyDescent="0.25">
      <c r="A4" s="86">
        <f t="shared" ref="A4:A33" si="2">A3+1</f>
        <v>2</v>
      </c>
      <c r="B4" s="87">
        <v>0</v>
      </c>
      <c r="C4" s="87">
        <v>0</v>
      </c>
      <c r="D4" s="87" t="str">
        <f t="shared" si="1"/>
        <v>00010</v>
      </c>
      <c r="E4" s="87" t="str">
        <f t="shared" si="0"/>
        <v>0000010</v>
      </c>
      <c r="F4" s="64" t="s">
        <v>353</v>
      </c>
    </row>
    <row r="5" spans="1:6" s="64" customFormat="1" x14ac:dyDescent="0.25">
      <c r="A5" s="86">
        <f t="shared" si="2"/>
        <v>3</v>
      </c>
      <c r="B5" s="87">
        <v>0</v>
      </c>
      <c r="C5" s="87">
        <v>0</v>
      </c>
      <c r="D5" s="87" t="str">
        <f t="shared" si="1"/>
        <v>00011</v>
      </c>
      <c r="E5" s="87" t="str">
        <f t="shared" si="0"/>
        <v>0000011</v>
      </c>
      <c r="F5" s="64" t="s">
        <v>353</v>
      </c>
    </row>
    <row r="6" spans="1:6" s="64" customFormat="1" x14ac:dyDescent="0.25">
      <c r="A6" s="86">
        <f t="shared" si="2"/>
        <v>4</v>
      </c>
      <c r="B6" s="87">
        <v>0</v>
      </c>
      <c r="C6" s="87">
        <v>0</v>
      </c>
      <c r="D6" s="87" t="str">
        <f t="shared" si="1"/>
        <v>00100</v>
      </c>
      <c r="E6" s="87" t="str">
        <f t="shared" si="0"/>
        <v>0000100</v>
      </c>
      <c r="F6" s="64" t="s">
        <v>353</v>
      </c>
    </row>
    <row r="7" spans="1:6" s="64" customFormat="1" x14ac:dyDescent="0.25">
      <c r="A7" s="86">
        <f t="shared" si="2"/>
        <v>5</v>
      </c>
      <c r="B7" s="87">
        <v>0</v>
      </c>
      <c r="C7" s="87">
        <v>0</v>
      </c>
      <c r="D7" s="87" t="str">
        <f t="shared" si="1"/>
        <v>00101</v>
      </c>
      <c r="E7" s="87" t="str">
        <f t="shared" si="0"/>
        <v>0000101</v>
      </c>
      <c r="F7" s="64" t="s">
        <v>353</v>
      </c>
    </row>
    <row r="8" spans="1:6" s="64" customFormat="1" x14ac:dyDescent="0.25">
      <c r="A8" s="86">
        <f t="shared" si="2"/>
        <v>6</v>
      </c>
      <c r="B8" s="87">
        <v>0</v>
      </c>
      <c r="C8" s="87">
        <v>0</v>
      </c>
      <c r="D8" s="87" t="str">
        <f t="shared" si="1"/>
        <v>00110</v>
      </c>
      <c r="E8" s="87" t="str">
        <f t="shared" si="0"/>
        <v>0000110</v>
      </c>
      <c r="F8" s="64" t="s">
        <v>353</v>
      </c>
    </row>
    <row r="9" spans="1:6" s="64" customFormat="1" x14ac:dyDescent="0.25">
      <c r="A9" s="86">
        <f t="shared" si="2"/>
        <v>7</v>
      </c>
      <c r="B9" s="87">
        <v>0</v>
      </c>
      <c r="C9" s="87">
        <v>0</v>
      </c>
      <c r="D9" s="87" t="str">
        <f t="shared" si="1"/>
        <v>00111</v>
      </c>
      <c r="E9" s="87" t="str">
        <f t="shared" si="0"/>
        <v>0000111</v>
      </c>
      <c r="F9" s="64" t="s">
        <v>353</v>
      </c>
    </row>
    <row r="10" spans="1:6" s="64" customFormat="1" x14ac:dyDescent="0.25">
      <c r="A10" s="86">
        <f t="shared" si="2"/>
        <v>8</v>
      </c>
      <c r="B10" s="87">
        <v>0</v>
      </c>
      <c r="C10" s="87">
        <v>0</v>
      </c>
      <c r="D10" s="87" t="str">
        <f t="shared" si="1"/>
        <v>01000</v>
      </c>
      <c r="E10" s="87" t="str">
        <f t="shared" si="0"/>
        <v>0001000</v>
      </c>
      <c r="F10" s="64" t="s">
        <v>353</v>
      </c>
    </row>
    <row r="11" spans="1:6" s="64" customFormat="1" x14ac:dyDescent="0.25">
      <c r="A11" s="86">
        <f t="shared" si="2"/>
        <v>9</v>
      </c>
      <c r="B11" s="87">
        <v>0</v>
      </c>
      <c r="C11" s="87">
        <v>0</v>
      </c>
      <c r="D11" s="87" t="str">
        <f t="shared" si="1"/>
        <v>01001</v>
      </c>
      <c r="E11" s="87" t="str">
        <f t="shared" si="0"/>
        <v>0001001</v>
      </c>
      <c r="F11" s="64" t="s">
        <v>353</v>
      </c>
    </row>
    <row r="12" spans="1:6" s="64" customFormat="1" x14ac:dyDescent="0.25">
      <c r="A12" s="86">
        <f t="shared" si="2"/>
        <v>10</v>
      </c>
      <c r="B12" s="87">
        <v>0</v>
      </c>
      <c r="C12" s="87">
        <v>0</v>
      </c>
      <c r="D12" s="87" t="str">
        <f t="shared" si="1"/>
        <v>01010</v>
      </c>
      <c r="E12" s="87" t="str">
        <f t="shared" si="0"/>
        <v>0001010</v>
      </c>
      <c r="F12" s="64" t="s">
        <v>353</v>
      </c>
    </row>
    <row r="13" spans="1:6" s="64" customFormat="1" x14ac:dyDescent="0.25">
      <c r="A13" s="86">
        <f t="shared" si="2"/>
        <v>11</v>
      </c>
      <c r="B13" s="87">
        <v>0</v>
      </c>
      <c r="C13" s="87">
        <v>0</v>
      </c>
      <c r="D13" s="87" t="str">
        <f t="shared" si="1"/>
        <v>01011</v>
      </c>
      <c r="E13" s="87" t="str">
        <f t="shared" si="0"/>
        <v>0001011</v>
      </c>
      <c r="F13" s="64" t="s">
        <v>353</v>
      </c>
    </row>
    <row r="14" spans="1:6" s="64" customFormat="1" x14ac:dyDescent="0.25">
      <c r="A14" s="86">
        <f t="shared" si="2"/>
        <v>12</v>
      </c>
      <c r="B14" s="87">
        <v>0</v>
      </c>
      <c r="C14" s="87">
        <v>0</v>
      </c>
      <c r="D14" s="87" t="str">
        <f t="shared" si="1"/>
        <v>01100</v>
      </c>
      <c r="E14" s="87" t="str">
        <f t="shared" si="0"/>
        <v>0001100</v>
      </c>
      <c r="F14" s="64" t="s">
        <v>353</v>
      </c>
    </row>
    <row r="15" spans="1:6" s="64" customFormat="1" x14ac:dyDescent="0.25">
      <c r="A15" s="86">
        <f t="shared" si="2"/>
        <v>13</v>
      </c>
      <c r="B15" s="87">
        <v>0</v>
      </c>
      <c r="C15" s="87">
        <v>0</v>
      </c>
      <c r="D15" s="87" t="str">
        <f t="shared" si="1"/>
        <v>01101</v>
      </c>
      <c r="E15" s="87" t="str">
        <f t="shared" si="0"/>
        <v>0001101</v>
      </c>
      <c r="F15" s="64" t="s">
        <v>353</v>
      </c>
    </row>
    <row r="16" spans="1:6" s="64" customFormat="1" x14ac:dyDescent="0.25">
      <c r="A16" s="86">
        <f t="shared" si="2"/>
        <v>14</v>
      </c>
      <c r="B16" s="87">
        <v>0</v>
      </c>
      <c r="C16" s="87">
        <v>0</v>
      </c>
      <c r="D16" s="87" t="str">
        <f t="shared" si="1"/>
        <v>01110</v>
      </c>
      <c r="E16" s="87" t="str">
        <f t="shared" si="0"/>
        <v>0001110</v>
      </c>
      <c r="F16" s="64" t="s">
        <v>353</v>
      </c>
    </row>
    <row r="17" spans="1:6" s="90" customFormat="1" ht="15.75" thickBot="1" x14ac:dyDescent="0.3">
      <c r="A17" s="88">
        <f t="shared" si="2"/>
        <v>15</v>
      </c>
      <c r="B17" s="89">
        <v>0</v>
      </c>
      <c r="C17" s="89">
        <v>0</v>
      </c>
      <c r="D17" s="89" t="str">
        <f t="shared" si="1"/>
        <v>01111</v>
      </c>
      <c r="E17" s="89" t="str">
        <f t="shared" si="0"/>
        <v>0001111</v>
      </c>
      <c r="F17" s="90" t="s">
        <v>353</v>
      </c>
    </row>
    <row r="18" spans="1:6" s="67" customFormat="1" x14ac:dyDescent="0.25">
      <c r="A18" s="84">
        <f t="shared" si="2"/>
        <v>16</v>
      </c>
      <c r="B18" s="85">
        <v>0</v>
      </c>
      <c r="C18" s="85">
        <v>0</v>
      </c>
      <c r="D18" s="85" t="str">
        <f t="shared" si="1"/>
        <v>10000</v>
      </c>
      <c r="E18" s="85" t="str">
        <f t="shared" si="0"/>
        <v>0010000</v>
      </c>
      <c r="F18" s="67" t="s">
        <v>353</v>
      </c>
    </row>
    <row r="19" spans="1:6" s="64" customFormat="1" x14ac:dyDescent="0.25">
      <c r="A19" s="86">
        <f t="shared" si="2"/>
        <v>17</v>
      </c>
      <c r="B19" s="87">
        <v>0</v>
      </c>
      <c r="C19" s="87">
        <v>0</v>
      </c>
      <c r="D19" s="87" t="str">
        <f t="shared" si="1"/>
        <v>10001</v>
      </c>
      <c r="E19" s="87" t="str">
        <f t="shared" si="0"/>
        <v>0010001</v>
      </c>
      <c r="F19" s="64" t="s">
        <v>112</v>
      </c>
    </row>
    <row r="20" spans="1:6" s="64" customFormat="1" x14ac:dyDescent="0.25">
      <c r="A20" s="86">
        <f t="shared" si="2"/>
        <v>18</v>
      </c>
      <c r="B20" s="87">
        <v>0</v>
      </c>
      <c r="C20" s="87">
        <v>0</v>
      </c>
      <c r="D20" s="87" t="str">
        <f t="shared" si="1"/>
        <v>10010</v>
      </c>
      <c r="E20" s="87" t="str">
        <f t="shared" si="0"/>
        <v>0010010</v>
      </c>
      <c r="F20" s="64" t="s">
        <v>353</v>
      </c>
    </row>
    <row r="21" spans="1:6" s="64" customFormat="1" x14ac:dyDescent="0.25">
      <c r="A21" s="86">
        <f t="shared" si="2"/>
        <v>19</v>
      </c>
      <c r="B21" s="87">
        <v>0</v>
      </c>
      <c r="C21" s="87">
        <v>0</v>
      </c>
      <c r="D21" s="87" t="str">
        <f t="shared" si="1"/>
        <v>10011</v>
      </c>
      <c r="E21" s="87" t="str">
        <f t="shared" si="0"/>
        <v>0010011</v>
      </c>
      <c r="F21" s="64" t="s">
        <v>353</v>
      </c>
    </row>
    <row r="22" spans="1:6" s="64" customFormat="1" x14ac:dyDescent="0.25">
      <c r="A22" s="86">
        <f t="shared" si="2"/>
        <v>20</v>
      </c>
      <c r="B22" s="87">
        <v>0</v>
      </c>
      <c r="C22" s="87">
        <v>0</v>
      </c>
      <c r="D22" s="87" t="str">
        <f t="shared" si="1"/>
        <v>10100</v>
      </c>
      <c r="E22" s="87" t="str">
        <f t="shared" si="0"/>
        <v>0010100</v>
      </c>
      <c r="F22" s="64" t="s">
        <v>351</v>
      </c>
    </row>
    <row r="23" spans="1:6" s="64" customFormat="1" x14ac:dyDescent="0.25">
      <c r="A23" s="86">
        <f t="shared" si="2"/>
        <v>21</v>
      </c>
      <c r="B23" s="87">
        <v>0</v>
      </c>
      <c r="C23" s="87">
        <v>0</v>
      </c>
      <c r="D23" s="87" t="str">
        <f t="shared" si="1"/>
        <v>10101</v>
      </c>
      <c r="E23" s="87" t="str">
        <f t="shared" si="0"/>
        <v>0010101</v>
      </c>
      <c r="F23" s="64" t="s">
        <v>352</v>
      </c>
    </row>
    <row r="24" spans="1:6" s="64" customFormat="1" x14ac:dyDescent="0.25">
      <c r="A24" s="86">
        <f t="shared" si="2"/>
        <v>22</v>
      </c>
      <c r="B24" s="87">
        <v>0</v>
      </c>
      <c r="C24" s="87">
        <v>0</v>
      </c>
      <c r="D24" s="87" t="str">
        <f t="shared" si="1"/>
        <v>10110</v>
      </c>
      <c r="E24" s="87" t="str">
        <f t="shared" si="0"/>
        <v>0010110</v>
      </c>
      <c r="F24" s="64" t="s">
        <v>353</v>
      </c>
    </row>
    <row r="25" spans="1:6" s="64" customFormat="1" x14ac:dyDescent="0.25">
      <c r="A25" s="86">
        <f t="shared" si="2"/>
        <v>23</v>
      </c>
      <c r="B25" s="87">
        <v>0</v>
      </c>
      <c r="C25" s="87">
        <v>0</v>
      </c>
      <c r="D25" s="87" t="str">
        <f t="shared" si="1"/>
        <v>10111</v>
      </c>
      <c r="E25" s="87" t="str">
        <f t="shared" si="0"/>
        <v>0010111</v>
      </c>
      <c r="F25" s="64" t="s">
        <v>353</v>
      </c>
    </row>
    <row r="26" spans="1:6" s="64" customFormat="1" x14ac:dyDescent="0.25">
      <c r="A26" s="86">
        <f t="shared" si="2"/>
        <v>24</v>
      </c>
      <c r="B26" s="87">
        <v>0</v>
      </c>
      <c r="C26" s="87">
        <v>0</v>
      </c>
      <c r="D26" s="87" t="str">
        <f t="shared" si="1"/>
        <v>11000</v>
      </c>
      <c r="E26" s="87" t="str">
        <f t="shared" si="0"/>
        <v>0011000</v>
      </c>
      <c r="F26" s="64" t="s">
        <v>353</v>
      </c>
    </row>
    <row r="27" spans="1:6" s="64" customFormat="1" x14ac:dyDescent="0.25">
      <c r="A27" s="86">
        <f t="shared" si="2"/>
        <v>25</v>
      </c>
      <c r="B27" s="87">
        <v>0</v>
      </c>
      <c r="C27" s="87">
        <v>0</v>
      </c>
      <c r="D27" s="87" t="str">
        <f t="shared" si="1"/>
        <v>11001</v>
      </c>
      <c r="E27" s="87" t="str">
        <f t="shared" si="0"/>
        <v>0011001</v>
      </c>
      <c r="F27" s="64" t="s">
        <v>353</v>
      </c>
    </row>
    <row r="28" spans="1:6" s="64" customFormat="1" x14ac:dyDescent="0.25">
      <c r="A28" s="86">
        <f t="shared" si="2"/>
        <v>26</v>
      </c>
      <c r="B28" s="87">
        <v>0</v>
      </c>
      <c r="C28" s="87">
        <v>0</v>
      </c>
      <c r="D28" s="87" t="str">
        <f t="shared" si="1"/>
        <v>11010</v>
      </c>
      <c r="E28" s="87" t="str">
        <f t="shared" si="0"/>
        <v>0011010</v>
      </c>
      <c r="F28" s="64" t="s">
        <v>353</v>
      </c>
    </row>
    <row r="29" spans="1:6" s="64" customFormat="1" x14ac:dyDescent="0.25">
      <c r="A29" s="86">
        <f t="shared" si="2"/>
        <v>27</v>
      </c>
      <c r="B29" s="87">
        <v>0</v>
      </c>
      <c r="C29" s="87">
        <v>0</v>
      </c>
      <c r="D29" s="87" t="str">
        <f t="shared" si="1"/>
        <v>11011</v>
      </c>
      <c r="E29" s="87" t="str">
        <f t="shared" si="0"/>
        <v>0011011</v>
      </c>
      <c r="F29" s="64" t="s">
        <v>353</v>
      </c>
    </row>
    <row r="30" spans="1:6" s="64" customFormat="1" x14ac:dyDescent="0.25">
      <c r="A30" s="86">
        <f t="shared" si="2"/>
        <v>28</v>
      </c>
      <c r="B30" s="87">
        <v>0</v>
      </c>
      <c r="C30" s="87">
        <v>0</v>
      </c>
      <c r="D30" s="87" t="str">
        <f t="shared" si="1"/>
        <v>11100</v>
      </c>
      <c r="E30" s="87" t="str">
        <f t="shared" si="0"/>
        <v>0011100</v>
      </c>
      <c r="F30" s="64" t="s">
        <v>353</v>
      </c>
    </row>
    <row r="31" spans="1:6" s="64" customFormat="1" x14ac:dyDescent="0.25">
      <c r="A31" s="86">
        <f t="shared" si="2"/>
        <v>29</v>
      </c>
      <c r="B31" s="87">
        <v>0</v>
      </c>
      <c r="C31" s="87">
        <v>0</v>
      </c>
      <c r="D31" s="87" t="str">
        <f t="shared" si="1"/>
        <v>11101</v>
      </c>
      <c r="E31" s="87" t="str">
        <f t="shared" si="0"/>
        <v>0011101</v>
      </c>
      <c r="F31" s="64" t="s">
        <v>353</v>
      </c>
    </row>
    <row r="32" spans="1:6" s="64" customFormat="1" x14ac:dyDescent="0.25">
      <c r="A32" s="86">
        <f t="shared" si="2"/>
        <v>30</v>
      </c>
      <c r="B32" s="87">
        <v>0</v>
      </c>
      <c r="C32" s="87">
        <v>0</v>
      </c>
      <c r="D32" s="87" t="str">
        <f t="shared" si="1"/>
        <v>11110</v>
      </c>
      <c r="E32" s="87" t="str">
        <f t="shared" si="0"/>
        <v>0011110</v>
      </c>
      <c r="F32" s="64" t="s">
        <v>353</v>
      </c>
    </row>
    <row r="33" spans="1:6" s="90" customFormat="1" ht="15.75" thickBot="1" x14ac:dyDescent="0.3">
      <c r="A33" s="88">
        <f t="shared" si="2"/>
        <v>31</v>
      </c>
      <c r="B33" s="89">
        <v>0</v>
      </c>
      <c r="C33" s="89">
        <v>0</v>
      </c>
      <c r="D33" s="89" t="str">
        <f t="shared" si="1"/>
        <v>11111</v>
      </c>
      <c r="E33" s="89" t="str">
        <f t="shared" si="0"/>
        <v>0011111</v>
      </c>
      <c r="F33" s="90" t="s">
        <v>353</v>
      </c>
    </row>
    <row r="34" spans="1:6" s="69" customFormat="1" x14ac:dyDescent="0.25">
      <c r="A34" s="91">
        <v>0</v>
      </c>
      <c r="B34" s="92">
        <v>0</v>
      </c>
      <c r="C34" s="92">
        <v>1</v>
      </c>
      <c r="D34" s="92" t="str">
        <f>DEC2BIN(A34,5)</f>
        <v>00000</v>
      </c>
      <c r="E34" s="92" t="str">
        <f t="shared" ref="E34:E65" si="3">CONCATENATE(B34,C34,D34)</f>
        <v>0100000</v>
      </c>
      <c r="F34" s="69" t="s">
        <v>335</v>
      </c>
    </row>
    <row r="35" spans="1:6" s="70" customFormat="1" x14ac:dyDescent="0.25">
      <c r="A35" s="93">
        <f>A34+1</f>
        <v>1</v>
      </c>
      <c r="B35" s="94">
        <v>0</v>
      </c>
      <c r="C35" s="94">
        <v>1</v>
      </c>
      <c r="D35" s="94" t="str">
        <f t="shared" si="1"/>
        <v>00001</v>
      </c>
      <c r="E35" s="94" t="str">
        <f t="shared" si="3"/>
        <v>0100001</v>
      </c>
      <c r="F35" s="70" t="s">
        <v>197</v>
      </c>
    </row>
    <row r="36" spans="1:6" s="70" customFormat="1" x14ac:dyDescent="0.25">
      <c r="A36" s="93">
        <f t="shared" ref="A36:A65" si="4">A35+1</f>
        <v>2</v>
      </c>
      <c r="B36" s="94">
        <v>0</v>
      </c>
      <c r="C36" s="94">
        <v>1</v>
      </c>
      <c r="D36" s="94" t="str">
        <f t="shared" si="1"/>
        <v>00010</v>
      </c>
      <c r="E36" s="94" t="str">
        <f t="shared" si="3"/>
        <v>0100010</v>
      </c>
      <c r="F36" s="70" t="s">
        <v>354</v>
      </c>
    </row>
    <row r="37" spans="1:6" s="70" customFormat="1" x14ac:dyDescent="0.25">
      <c r="A37" s="93">
        <f t="shared" si="4"/>
        <v>3</v>
      </c>
      <c r="B37" s="94">
        <v>0</v>
      </c>
      <c r="C37" s="94">
        <v>1</v>
      </c>
      <c r="D37" s="94" t="str">
        <f t="shared" si="1"/>
        <v>00011</v>
      </c>
      <c r="E37" s="94" t="str">
        <f t="shared" si="3"/>
        <v>0100011</v>
      </c>
      <c r="F37" s="70" t="s">
        <v>355</v>
      </c>
    </row>
    <row r="38" spans="1:6" s="70" customFormat="1" x14ac:dyDescent="0.25">
      <c r="A38" s="93">
        <f t="shared" si="4"/>
        <v>4</v>
      </c>
      <c r="B38" s="94">
        <v>0</v>
      </c>
      <c r="C38" s="94">
        <v>1</v>
      </c>
      <c r="D38" s="94" t="str">
        <f t="shared" si="1"/>
        <v>00100</v>
      </c>
      <c r="E38" s="94" t="str">
        <f t="shared" si="3"/>
        <v>0100100</v>
      </c>
      <c r="F38" s="70" t="s">
        <v>356</v>
      </c>
    </row>
    <row r="39" spans="1:6" s="70" customFormat="1" x14ac:dyDescent="0.25">
      <c r="A39" s="93">
        <f t="shared" si="4"/>
        <v>5</v>
      </c>
      <c r="B39" s="94">
        <v>0</v>
      </c>
      <c r="C39" s="94">
        <v>1</v>
      </c>
      <c r="D39" s="94" t="str">
        <f t="shared" si="1"/>
        <v>00101</v>
      </c>
      <c r="E39" s="94" t="str">
        <f t="shared" si="3"/>
        <v>0100101</v>
      </c>
      <c r="F39" s="70" t="s">
        <v>357</v>
      </c>
    </row>
    <row r="40" spans="1:6" s="70" customFormat="1" x14ac:dyDescent="0.25">
      <c r="A40" s="93">
        <f t="shared" si="4"/>
        <v>6</v>
      </c>
      <c r="B40" s="94">
        <v>0</v>
      </c>
      <c r="C40" s="94">
        <v>1</v>
      </c>
      <c r="D40" s="94" t="str">
        <f t="shared" si="1"/>
        <v>00110</v>
      </c>
      <c r="E40" s="94" t="str">
        <f t="shared" si="3"/>
        <v>0100110</v>
      </c>
      <c r="F40" s="70" t="s">
        <v>358</v>
      </c>
    </row>
    <row r="41" spans="1:6" s="70" customFormat="1" x14ac:dyDescent="0.25">
      <c r="A41" s="93">
        <f t="shared" si="4"/>
        <v>7</v>
      </c>
      <c r="B41" s="94">
        <v>0</v>
      </c>
      <c r="C41" s="94">
        <v>1</v>
      </c>
      <c r="D41" s="94" t="str">
        <f t="shared" si="1"/>
        <v>00111</v>
      </c>
      <c r="E41" s="94" t="str">
        <f t="shared" si="3"/>
        <v>0100111</v>
      </c>
      <c r="F41" s="70" t="s">
        <v>359</v>
      </c>
    </row>
    <row r="42" spans="1:6" s="70" customFormat="1" x14ac:dyDescent="0.25">
      <c r="A42" s="93">
        <f t="shared" si="4"/>
        <v>8</v>
      </c>
      <c r="B42" s="94">
        <v>0</v>
      </c>
      <c r="C42" s="94">
        <v>1</v>
      </c>
      <c r="D42" s="94" t="str">
        <f t="shared" si="1"/>
        <v>01000</v>
      </c>
      <c r="E42" s="94" t="str">
        <f t="shared" si="3"/>
        <v>0101000</v>
      </c>
      <c r="F42" s="70" t="s">
        <v>342</v>
      </c>
    </row>
    <row r="43" spans="1:6" s="70" customFormat="1" x14ac:dyDescent="0.25">
      <c r="A43" s="93">
        <f t="shared" si="4"/>
        <v>9</v>
      </c>
      <c r="B43" s="94">
        <v>0</v>
      </c>
      <c r="C43" s="94">
        <v>1</v>
      </c>
      <c r="D43" s="94" t="str">
        <f t="shared" si="1"/>
        <v>01001</v>
      </c>
      <c r="E43" s="94" t="str">
        <f t="shared" si="3"/>
        <v>0101001</v>
      </c>
      <c r="F43" s="70" t="s">
        <v>353</v>
      </c>
    </row>
    <row r="44" spans="1:6" s="70" customFormat="1" x14ac:dyDescent="0.25">
      <c r="A44" s="93">
        <f t="shared" si="4"/>
        <v>10</v>
      </c>
      <c r="B44" s="94">
        <v>0</v>
      </c>
      <c r="C44" s="94">
        <v>1</v>
      </c>
      <c r="D44" s="94" t="str">
        <f t="shared" si="1"/>
        <v>01010</v>
      </c>
      <c r="E44" s="94" t="str">
        <f t="shared" si="3"/>
        <v>0101010</v>
      </c>
      <c r="F44" s="70" t="s">
        <v>353</v>
      </c>
    </row>
    <row r="45" spans="1:6" s="70" customFormat="1" x14ac:dyDescent="0.25">
      <c r="A45" s="93">
        <f t="shared" si="4"/>
        <v>11</v>
      </c>
      <c r="B45" s="94">
        <v>0</v>
      </c>
      <c r="C45" s="94">
        <v>1</v>
      </c>
      <c r="D45" s="94" t="str">
        <f t="shared" si="1"/>
        <v>01011</v>
      </c>
      <c r="E45" s="94" t="str">
        <f t="shared" si="3"/>
        <v>0101011</v>
      </c>
      <c r="F45" s="70" t="s">
        <v>353</v>
      </c>
    </row>
    <row r="46" spans="1:6" s="70" customFormat="1" x14ac:dyDescent="0.25">
      <c r="A46" s="93">
        <f t="shared" si="4"/>
        <v>12</v>
      </c>
      <c r="B46" s="94">
        <v>0</v>
      </c>
      <c r="C46" s="94">
        <v>1</v>
      </c>
      <c r="D46" s="94" t="str">
        <f t="shared" si="1"/>
        <v>01100</v>
      </c>
      <c r="E46" s="94" t="str">
        <f t="shared" si="3"/>
        <v>0101100</v>
      </c>
      <c r="F46" s="70" t="s">
        <v>353</v>
      </c>
    </row>
    <row r="47" spans="1:6" s="70" customFormat="1" x14ac:dyDescent="0.25">
      <c r="A47" s="93">
        <f t="shared" si="4"/>
        <v>13</v>
      </c>
      <c r="B47" s="94">
        <v>0</v>
      </c>
      <c r="C47" s="94">
        <v>1</v>
      </c>
      <c r="D47" s="94" t="str">
        <f t="shared" si="1"/>
        <v>01101</v>
      </c>
      <c r="E47" s="94" t="str">
        <f t="shared" si="3"/>
        <v>0101101</v>
      </c>
      <c r="F47" s="70" t="s">
        <v>353</v>
      </c>
    </row>
    <row r="48" spans="1:6" s="70" customFormat="1" x14ac:dyDescent="0.25">
      <c r="A48" s="93">
        <f t="shared" si="4"/>
        <v>14</v>
      </c>
      <c r="B48" s="94">
        <v>0</v>
      </c>
      <c r="C48" s="94">
        <v>1</v>
      </c>
      <c r="D48" s="94" t="str">
        <f t="shared" si="1"/>
        <v>01110</v>
      </c>
      <c r="E48" s="94" t="str">
        <f t="shared" si="3"/>
        <v>0101110</v>
      </c>
      <c r="F48" s="70" t="s">
        <v>353</v>
      </c>
    </row>
    <row r="49" spans="1:6" s="71" customFormat="1" ht="15.75" thickBot="1" x14ac:dyDescent="0.3">
      <c r="A49" s="95">
        <f t="shared" si="4"/>
        <v>15</v>
      </c>
      <c r="B49" s="96">
        <v>0</v>
      </c>
      <c r="C49" s="96">
        <v>1</v>
      </c>
      <c r="D49" s="96" t="str">
        <f t="shared" si="1"/>
        <v>01111</v>
      </c>
      <c r="E49" s="96" t="str">
        <f t="shared" si="3"/>
        <v>0101111</v>
      </c>
      <c r="F49" s="71" t="s">
        <v>353</v>
      </c>
    </row>
    <row r="50" spans="1:6" s="69" customFormat="1" x14ac:dyDescent="0.25">
      <c r="A50" s="91">
        <f t="shared" si="4"/>
        <v>16</v>
      </c>
      <c r="B50" s="92">
        <v>0</v>
      </c>
      <c r="C50" s="92">
        <v>1</v>
      </c>
      <c r="D50" s="92" t="str">
        <f t="shared" si="1"/>
        <v>10000</v>
      </c>
      <c r="E50" s="92" t="str">
        <f t="shared" si="3"/>
        <v>0110000</v>
      </c>
      <c r="F50" s="69" t="s">
        <v>114</v>
      </c>
    </row>
    <row r="51" spans="1:6" s="70" customFormat="1" x14ac:dyDescent="0.25">
      <c r="A51" s="93">
        <f t="shared" si="4"/>
        <v>17</v>
      </c>
      <c r="B51" s="94">
        <v>0</v>
      </c>
      <c r="C51" s="94">
        <v>1</v>
      </c>
      <c r="D51" s="94" t="str">
        <f t="shared" si="1"/>
        <v>10001</v>
      </c>
      <c r="E51" s="94" t="str">
        <f t="shared" si="3"/>
        <v>0110001</v>
      </c>
      <c r="F51" s="70" t="s">
        <v>353</v>
      </c>
    </row>
    <row r="52" spans="1:6" s="70" customFormat="1" x14ac:dyDescent="0.25">
      <c r="A52" s="93">
        <f t="shared" si="4"/>
        <v>18</v>
      </c>
      <c r="B52" s="94">
        <v>0</v>
      </c>
      <c r="C52" s="94">
        <v>1</v>
      </c>
      <c r="D52" s="94" t="str">
        <f t="shared" si="1"/>
        <v>10010</v>
      </c>
      <c r="E52" s="94" t="str">
        <f t="shared" si="3"/>
        <v>0110010</v>
      </c>
      <c r="F52" s="70" t="s">
        <v>360</v>
      </c>
    </row>
    <row r="53" spans="1:6" s="70" customFormat="1" x14ac:dyDescent="0.25">
      <c r="A53" s="93">
        <f t="shared" si="4"/>
        <v>19</v>
      </c>
      <c r="B53" s="94">
        <v>0</v>
      </c>
      <c r="C53" s="94">
        <v>1</v>
      </c>
      <c r="D53" s="94" t="str">
        <f t="shared" si="1"/>
        <v>10011</v>
      </c>
      <c r="E53" s="94" t="str">
        <f t="shared" si="3"/>
        <v>0110011</v>
      </c>
      <c r="F53" s="70" t="s">
        <v>361</v>
      </c>
    </row>
    <row r="54" spans="1:6" s="70" customFormat="1" x14ac:dyDescent="0.25">
      <c r="A54" s="93">
        <f t="shared" si="4"/>
        <v>20</v>
      </c>
      <c r="B54" s="94">
        <v>0</v>
      </c>
      <c r="C54" s="94">
        <v>1</v>
      </c>
      <c r="D54" s="94" t="str">
        <f t="shared" si="1"/>
        <v>10100</v>
      </c>
      <c r="E54" s="94" t="str">
        <f t="shared" si="3"/>
        <v>0110100</v>
      </c>
      <c r="F54" s="70" t="s">
        <v>353</v>
      </c>
    </row>
    <row r="55" spans="1:6" s="70" customFormat="1" x14ac:dyDescent="0.25">
      <c r="A55" s="93">
        <f t="shared" si="4"/>
        <v>21</v>
      </c>
      <c r="B55" s="94">
        <v>0</v>
      </c>
      <c r="C55" s="94">
        <v>1</v>
      </c>
      <c r="D55" s="94" t="str">
        <f t="shared" si="1"/>
        <v>10101</v>
      </c>
      <c r="E55" s="94" t="str">
        <f t="shared" si="3"/>
        <v>0110101</v>
      </c>
      <c r="F55" s="70" t="s">
        <v>353</v>
      </c>
    </row>
    <row r="56" spans="1:6" s="70" customFormat="1" x14ac:dyDescent="0.25">
      <c r="A56" s="93">
        <f t="shared" si="4"/>
        <v>22</v>
      </c>
      <c r="B56" s="94">
        <v>0</v>
      </c>
      <c r="C56" s="94">
        <v>1</v>
      </c>
      <c r="D56" s="94" t="str">
        <f t="shared" si="1"/>
        <v>10110</v>
      </c>
      <c r="E56" s="94" t="str">
        <f t="shared" si="3"/>
        <v>0110110</v>
      </c>
      <c r="F56" s="70" t="s">
        <v>353</v>
      </c>
    </row>
    <row r="57" spans="1:6" s="70" customFormat="1" x14ac:dyDescent="0.25">
      <c r="A57" s="93">
        <f t="shared" si="4"/>
        <v>23</v>
      </c>
      <c r="B57" s="94">
        <v>0</v>
      </c>
      <c r="C57" s="94">
        <v>1</v>
      </c>
      <c r="D57" s="94" t="str">
        <f t="shared" si="1"/>
        <v>10111</v>
      </c>
      <c r="E57" s="94" t="str">
        <f t="shared" si="3"/>
        <v>0110111</v>
      </c>
      <c r="F57" s="70" t="s">
        <v>353</v>
      </c>
    </row>
    <row r="58" spans="1:6" s="70" customFormat="1" x14ac:dyDescent="0.25">
      <c r="A58" s="93">
        <f t="shared" si="4"/>
        <v>24</v>
      </c>
      <c r="B58" s="94">
        <v>0</v>
      </c>
      <c r="C58" s="94">
        <v>1</v>
      </c>
      <c r="D58" s="94" t="str">
        <f t="shared" si="1"/>
        <v>11000</v>
      </c>
      <c r="E58" s="94" t="str">
        <f t="shared" si="3"/>
        <v>0111000</v>
      </c>
      <c r="F58" s="70" t="s">
        <v>353</v>
      </c>
    </row>
    <row r="59" spans="1:6" s="70" customFormat="1" x14ac:dyDescent="0.25">
      <c r="A59" s="93">
        <f t="shared" si="4"/>
        <v>25</v>
      </c>
      <c r="B59" s="94">
        <v>0</v>
      </c>
      <c r="C59" s="94">
        <v>1</v>
      </c>
      <c r="D59" s="94" t="str">
        <f t="shared" si="1"/>
        <v>11001</v>
      </c>
      <c r="E59" s="94" t="str">
        <f t="shared" si="3"/>
        <v>0111001</v>
      </c>
      <c r="F59" s="70" t="s">
        <v>353</v>
      </c>
    </row>
    <row r="60" spans="1:6" s="70" customFormat="1" x14ac:dyDescent="0.25">
      <c r="A60" s="93">
        <f t="shared" si="4"/>
        <v>26</v>
      </c>
      <c r="B60" s="94">
        <v>0</v>
      </c>
      <c r="C60" s="94">
        <v>1</v>
      </c>
      <c r="D60" s="94" t="str">
        <f t="shared" si="1"/>
        <v>11010</v>
      </c>
      <c r="E60" s="94" t="str">
        <f t="shared" si="3"/>
        <v>0111010</v>
      </c>
      <c r="F60" s="70" t="s">
        <v>353</v>
      </c>
    </row>
    <row r="61" spans="1:6" s="70" customFormat="1" x14ac:dyDescent="0.25">
      <c r="A61" s="93">
        <f t="shared" si="4"/>
        <v>27</v>
      </c>
      <c r="B61" s="94">
        <v>0</v>
      </c>
      <c r="C61" s="94">
        <v>1</v>
      </c>
      <c r="D61" s="94" t="str">
        <f t="shared" si="1"/>
        <v>11011</v>
      </c>
      <c r="E61" s="94" t="str">
        <f t="shared" si="3"/>
        <v>0111011</v>
      </c>
      <c r="F61" s="70" t="s">
        <v>353</v>
      </c>
    </row>
    <row r="62" spans="1:6" s="70" customFormat="1" x14ac:dyDescent="0.25">
      <c r="A62" s="93">
        <f t="shared" si="4"/>
        <v>28</v>
      </c>
      <c r="B62" s="94">
        <v>0</v>
      </c>
      <c r="C62" s="94">
        <v>1</v>
      </c>
      <c r="D62" s="94" t="str">
        <f t="shared" si="1"/>
        <v>11100</v>
      </c>
      <c r="E62" s="94" t="str">
        <f t="shared" si="3"/>
        <v>0111100</v>
      </c>
      <c r="F62" s="70" t="s">
        <v>353</v>
      </c>
    </row>
    <row r="63" spans="1:6" s="70" customFormat="1" x14ac:dyDescent="0.25">
      <c r="A63" s="93">
        <f t="shared" si="4"/>
        <v>29</v>
      </c>
      <c r="B63" s="94">
        <v>0</v>
      </c>
      <c r="C63" s="94">
        <v>1</v>
      </c>
      <c r="D63" s="94" t="str">
        <f t="shared" si="1"/>
        <v>11101</v>
      </c>
      <c r="E63" s="94" t="str">
        <f t="shared" si="3"/>
        <v>0111101</v>
      </c>
      <c r="F63" s="70" t="s">
        <v>353</v>
      </c>
    </row>
    <row r="64" spans="1:6" s="70" customFormat="1" x14ac:dyDescent="0.25">
      <c r="A64" s="93">
        <f t="shared" si="4"/>
        <v>30</v>
      </c>
      <c r="B64" s="94">
        <v>0</v>
      </c>
      <c r="C64" s="94">
        <v>1</v>
      </c>
      <c r="D64" s="94" t="str">
        <f t="shared" si="1"/>
        <v>11110</v>
      </c>
      <c r="E64" s="94" t="str">
        <f t="shared" si="3"/>
        <v>0111110</v>
      </c>
      <c r="F64" s="70" t="s">
        <v>353</v>
      </c>
    </row>
    <row r="65" spans="1:6" s="71" customFormat="1" ht="15.75" thickBot="1" x14ac:dyDescent="0.3">
      <c r="A65" s="95">
        <f t="shared" si="4"/>
        <v>31</v>
      </c>
      <c r="B65" s="96">
        <v>0</v>
      </c>
      <c r="C65" s="96">
        <v>1</v>
      </c>
      <c r="D65" s="96" t="str">
        <f t="shared" si="1"/>
        <v>11111</v>
      </c>
      <c r="E65" s="96" t="str">
        <f t="shared" si="3"/>
        <v>0111111</v>
      </c>
      <c r="F65" s="71" t="s">
        <v>353</v>
      </c>
    </row>
    <row r="66" spans="1:6" s="15" customFormat="1" x14ac:dyDescent="0.25">
      <c r="A66" s="97">
        <v>0</v>
      </c>
      <c r="B66" s="98">
        <v>1</v>
      </c>
      <c r="C66" s="98">
        <v>0</v>
      </c>
      <c r="D66" s="98" t="str">
        <f>DEC2BIN(A66,5)</f>
        <v>00000</v>
      </c>
      <c r="E66" s="98" t="str">
        <f t="shared" ref="E66:E97" si="5">CONCATENATE(B66,C66,D66)</f>
        <v>1000000</v>
      </c>
      <c r="F66" s="15" t="s">
        <v>353</v>
      </c>
    </row>
    <row r="67" spans="1:6" s="18" customFormat="1" x14ac:dyDescent="0.25">
      <c r="A67" s="99">
        <f>A66+1</f>
        <v>1</v>
      </c>
      <c r="B67" s="81">
        <v>1</v>
      </c>
      <c r="C67" s="81">
        <v>0</v>
      </c>
      <c r="D67" s="81" t="str">
        <f t="shared" si="1"/>
        <v>00001</v>
      </c>
      <c r="E67" s="81" t="str">
        <f t="shared" si="5"/>
        <v>1000001</v>
      </c>
      <c r="F67" s="18" t="s">
        <v>353</v>
      </c>
    </row>
    <row r="68" spans="1:6" s="18" customFormat="1" x14ac:dyDescent="0.25">
      <c r="A68" s="99">
        <f t="shared" ref="A68:A97" si="6">A67+1</f>
        <v>2</v>
      </c>
      <c r="B68" s="81">
        <v>1</v>
      </c>
      <c r="C68" s="81">
        <v>0</v>
      </c>
      <c r="D68" s="81" t="str">
        <f t="shared" ref="D68:D129" si="7">DEC2BIN(A68,5)</f>
        <v>00010</v>
      </c>
      <c r="E68" s="81" t="str">
        <f t="shared" si="5"/>
        <v>1000010</v>
      </c>
      <c r="F68" s="18" t="s">
        <v>353</v>
      </c>
    </row>
    <row r="69" spans="1:6" s="18" customFormat="1" x14ac:dyDescent="0.25">
      <c r="A69" s="99">
        <f t="shared" si="6"/>
        <v>3</v>
      </c>
      <c r="B69" s="81">
        <v>1</v>
      </c>
      <c r="C69" s="81">
        <v>0</v>
      </c>
      <c r="D69" s="81" t="str">
        <f t="shared" si="7"/>
        <v>00011</v>
      </c>
      <c r="E69" s="81" t="str">
        <f t="shared" si="5"/>
        <v>1000011</v>
      </c>
      <c r="F69" s="18" t="s">
        <v>353</v>
      </c>
    </row>
    <row r="70" spans="1:6" s="18" customFormat="1" x14ac:dyDescent="0.25">
      <c r="A70" s="99">
        <f t="shared" si="6"/>
        <v>4</v>
      </c>
      <c r="B70" s="81">
        <v>1</v>
      </c>
      <c r="C70" s="81">
        <v>0</v>
      </c>
      <c r="D70" s="81" t="str">
        <f t="shared" si="7"/>
        <v>00100</v>
      </c>
      <c r="E70" s="81" t="str">
        <f t="shared" si="5"/>
        <v>1000100</v>
      </c>
      <c r="F70" s="18" t="s">
        <v>353</v>
      </c>
    </row>
    <row r="71" spans="1:6" s="18" customFormat="1" x14ac:dyDescent="0.25">
      <c r="A71" s="99">
        <f t="shared" si="6"/>
        <v>5</v>
      </c>
      <c r="B71" s="81">
        <v>1</v>
      </c>
      <c r="C71" s="81">
        <v>0</v>
      </c>
      <c r="D71" s="81" t="str">
        <f t="shared" si="7"/>
        <v>00101</v>
      </c>
      <c r="E71" s="81" t="str">
        <f t="shared" si="5"/>
        <v>1000101</v>
      </c>
      <c r="F71" s="18" t="s">
        <v>353</v>
      </c>
    </row>
    <row r="72" spans="1:6" s="18" customFormat="1" x14ac:dyDescent="0.25">
      <c r="A72" s="99">
        <f t="shared" si="6"/>
        <v>6</v>
      </c>
      <c r="B72" s="81">
        <v>1</v>
      </c>
      <c r="C72" s="81">
        <v>0</v>
      </c>
      <c r="D72" s="81" t="str">
        <f t="shared" si="7"/>
        <v>00110</v>
      </c>
      <c r="E72" s="81" t="str">
        <f t="shared" si="5"/>
        <v>1000110</v>
      </c>
      <c r="F72" s="18" t="s">
        <v>353</v>
      </c>
    </row>
    <row r="73" spans="1:6" s="18" customFormat="1" x14ac:dyDescent="0.25">
      <c r="A73" s="99">
        <f t="shared" si="6"/>
        <v>7</v>
      </c>
      <c r="B73" s="81">
        <v>1</v>
      </c>
      <c r="C73" s="81">
        <v>0</v>
      </c>
      <c r="D73" s="81" t="str">
        <f t="shared" si="7"/>
        <v>00111</v>
      </c>
      <c r="E73" s="81" t="str">
        <f t="shared" si="5"/>
        <v>1000111</v>
      </c>
      <c r="F73" s="18" t="s">
        <v>353</v>
      </c>
    </row>
    <row r="74" spans="1:6" s="18" customFormat="1" x14ac:dyDescent="0.25">
      <c r="A74" s="99">
        <f t="shared" si="6"/>
        <v>8</v>
      </c>
      <c r="B74" s="81">
        <v>1</v>
      </c>
      <c r="C74" s="81">
        <v>0</v>
      </c>
      <c r="D74" s="81" t="str">
        <f t="shared" si="7"/>
        <v>01000</v>
      </c>
      <c r="E74" s="81" t="str">
        <f t="shared" si="5"/>
        <v>1001000</v>
      </c>
      <c r="F74" s="18" t="s">
        <v>353</v>
      </c>
    </row>
    <row r="75" spans="1:6" s="18" customFormat="1" x14ac:dyDescent="0.25">
      <c r="A75" s="99">
        <f t="shared" si="6"/>
        <v>9</v>
      </c>
      <c r="B75" s="81">
        <v>1</v>
      </c>
      <c r="C75" s="81">
        <v>0</v>
      </c>
      <c r="D75" s="81" t="str">
        <f t="shared" si="7"/>
        <v>01001</v>
      </c>
      <c r="E75" s="81" t="str">
        <f t="shared" si="5"/>
        <v>1001001</v>
      </c>
      <c r="F75" s="18" t="s">
        <v>353</v>
      </c>
    </row>
    <row r="76" spans="1:6" s="18" customFormat="1" x14ac:dyDescent="0.25">
      <c r="A76" s="99">
        <f t="shared" si="6"/>
        <v>10</v>
      </c>
      <c r="B76" s="81">
        <v>1</v>
      </c>
      <c r="C76" s="81">
        <v>0</v>
      </c>
      <c r="D76" s="81" t="str">
        <f t="shared" si="7"/>
        <v>01010</v>
      </c>
      <c r="E76" s="81" t="str">
        <f t="shared" si="5"/>
        <v>1001010</v>
      </c>
      <c r="F76" s="18" t="s">
        <v>353</v>
      </c>
    </row>
    <row r="77" spans="1:6" s="18" customFormat="1" x14ac:dyDescent="0.25">
      <c r="A77" s="99">
        <f t="shared" si="6"/>
        <v>11</v>
      </c>
      <c r="B77" s="81">
        <v>1</v>
      </c>
      <c r="C77" s="81">
        <v>0</v>
      </c>
      <c r="D77" s="81" t="str">
        <f t="shared" si="7"/>
        <v>01011</v>
      </c>
      <c r="E77" s="81" t="str">
        <f t="shared" si="5"/>
        <v>1001011</v>
      </c>
      <c r="F77" s="18" t="s">
        <v>353</v>
      </c>
    </row>
    <row r="78" spans="1:6" s="18" customFormat="1" x14ac:dyDescent="0.25">
      <c r="A78" s="99">
        <f t="shared" si="6"/>
        <v>12</v>
      </c>
      <c r="B78" s="81">
        <v>1</v>
      </c>
      <c r="C78" s="81">
        <v>0</v>
      </c>
      <c r="D78" s="81" t="str">
        <f t="shared" si="7"/>
        <v>01100</v>
      </c>
      <c r="E78" s="81" t="str">
        <f t="shared" si="5"/>
        <v>1001100</v>
      </c>
      <c r="F78" s="18" t="s">
        <v>353</v>
      </c>
    </row>
    <row r="79" spans="1:6" s="18" customFormat="1" x14ac:dyDescent="0.25">
      <c r="A79" s="99">
        <f t="shared" si="6"/>
        <v>13</v>
      </c>
      <c r="B79" s="81">
        <v>1</v>
      </c>
      <c r="C79" s="81">
        <v>0</v>
      </c>
      <c r="D79" s="81" t="str">
        <f t="shared" si="7"/>
        <v>01101</v>
      </c>
      <c r="E79" s="81" t="str">
        <f t="shared" si="5"/>
        <v>1001101</v>
      </c>
      <c r="F79" s="18" t="s">
        <v>353</v>
      </c>
    </row>
    <row r="80" spans="1:6" s="18" customFormat="1" x14ac:dyDescent="0.25">
      <c r="A80" s="99">
        <f t="shared" si="6"/>
        <v>14</v>
      </c>
      <c r="B80" s="81">
        <v>1</v>
      </c>
      <c r="C80" s="81">
        <v>0</v>
      </c>
      <c r="D80" s="81" t="str">
        <f t="shared" si="7"/>
        <v>01110</v>
      </c>
      <c r="E80" s="81" t="str">
        <f t="shared" si="5"/>
        <v>1001110</v>
      </c>
      <c r="F80" s="18" t="s">
        <v>353</v>
      </c>
    </row>
    <row r="81" spans="1:6" s="73" customFormat="1" ht="15.75" thickBot="1" x14ac:dyDescent="0.3">
      <c r="A81" s="100">
        <f t="shared" si="6"/>
        <v>15</v>
      </c>
      <c r="B81" s="101">
        <v>1</v>
      </c>
      <c r="C81" s="101">
        <v>0</v>
      </c>
      <c r="D81" s="101" t="str">
        <f t="shared" si="7"/>
        <v>01111</v>
      </c>
      <c r="E81" s="101" t="str">
        <f t="shared" si="5"/>
        <v>1001111</v>
      </c>
      <c r="F81" s="73" t="s">
        <v>353</v>
      </c>
    </row>
    <row r="82" spans="1:6" s="83" customFormat="1" x14ac:dyDescent="0.25">
      <c r="A82" s="82">
        <f t="shared" si="6"/>
        <v>16</v>
      </c>
      <c r="B82" s="82">
        <v>1</v>
      </c>
      <c r="C82" s="82">
        <v>0</v>
      </c>
      <c r="D82" s="82" t="str">
        <f t="shared" si="7"/>
        <v>10000</v>
      </c>
      <c r="E82" s="82" t="str">
        <f t="shared" si="5"/>
        <v>1010000</v>
      </c>
      <c r="F82" s="83" t="s">
        <v>353</v>
      </c>
    </row>
    <row r="83" spans="1:6" s="83" customFormat="1" x14ac:dyDescent="0.25">
      <c r="A83" s="82">
        <f t="shared" si="6"/>
        <v>17</v>
      </c>
      <c r="B83" s="82">
        <v>1</v>
      </c>
      <c r="C83" s="82">
        <v>0</v>
      </c>
      <c r="D83" s="82" t="str">
        <f t="shared" si="7"/>
        <v>10001</v>
      </c>
      <c r="E83" s="82" t="str">
        <f t="shared" si="5"/>
        <v>1010001</v>
      </c>
      <c r="F83" s="83" t="s">
        <v>112</v>
      </c>
    </row>
    <row r="84" spans="1:6" s="83" customFormat="1" x14ac:dyDescent="0.25">
      <c r="A84" s="82">
        <f t="shared" si="6"/>
        <v>18</v>
      </c>
      <c r="B84" s="82">
        <v>1</v>
      </c>
      <c r="C84" s="82">
        <v>0</v>
      </c>
      <c r="D84" s="82" t="str">
        <f t="shared" si="7"/>
        <v>10010</v>
      </c>
      <c r="E84" s="82" t="str">
        <f t="shared" si="5"/>
        <v>1010010</v>
      </c>
      <c r="F84" s="83" t="s">
        <v>353</v>
      </c>
    </row>
    <row r="85" spans="1:6" s="83" customFormat="1" x14ac:dyDescent="0.25">
      <c r="A85" s="82">
        <f t="shared" si="6"/>
        <v>19</v>
      </c>
      <c r="B85" s="82">
        <v>1</v>
      </c>
      <c r="C85" s="82">
        <v>0</v>
      </c>
      <c r="D85" s="82" t="str">
        <f t="shared" si="7"/>
        <v>10011</v>
      </c>
      <c r="E85" s="82" t="str">
        <f t="shared" si="5"/>
        <v>1010011</v>
      </c>
      <c r="F85" s="83" t="s">
        <v>353</v>
      </c>
    </row>
    <row r="86" spans="1:6" s="83" customFormat="1" x14ac:dyDescent="0.25">
      <c r="A86" s="82">
        <f t="shared" si="6"/>
        <v>20</v>
      </c>
      <c r="B86" s="82">
        <v>1</v>
      </c>
      <c r="C86" s="82">
        <v>0</v>
      </c>
      <c r="D86" s="82" t="str">
        <f t="shared" si="7"/>
        <v>10100</v>
      </c>
      <c r="E86" s="82" t="str">
        <f t="shared" si="5"/>
        <v>1010100</v>
      </c>
      <c r="F86" s="83" t="s">
        <v>351</v>
      </c>
    </row>
    <row r="87" spans="1:6" s="83" customFormat="1" x14ac:dyDescent="0.25">
      <c r="A87" s="82">
        <f t="shared" si="6"/>
        <v>21</v>
      </c>
      <c r="B87" s="82">
        <v>1</v>
      </c>
      <c r="C87" s="82">
        <v>0</v>
      </c>
      <c r="D87" s="82" t="str">
        <f t="shared" si="7"/>
        <v>10101</v>
      </c>
      <c r="E87" s="82" t="str">
        <f t="shared" si="5"/>
        <v>1010101</v>
      </c>
      <c r="F87" s="83" t="s">
        <v>352</v>
      </c>
    </row>
    <row r="88" spans="1:6" s="83" customFormat="1" x14ac:dyDescent="0.25">
      <c r="A88" s="82">
        <f t="shared" si="6"/>
        <v>22</v>
      </c>
      <c r="B88" s="82">
        <v>1</v>
      </c>
      <c r="C88" s="82">
        <v>0</v>
      </c>
      <c r="D88" s="82" t="str">
        <f t="shared" si="7"/>
        <v>10110</v>
      </c>
      <c r="E88" s="82" t="str">
        <f t="shared" si="5"/>
        <v>1010110</v>
      </c>
      <c r="F88" s="83" t="s">
        <v>353</v>
      </c>
    </row>
    <row r="89" spans="1:6" s="83" customFormat="1" x14ac:dyDescent="0.25">
      <c r="A89" s="82">
        <f t="shared" si="6"/>
        <v>23</v>
      </c>
      <c r="B89" s="82">
        <v>1</v>
      </c>
      <c r="C89" s="82">
        <v>0</v>
      </c>
      <c r="D89" s="82" t="str">
        <f t="shared" si="7"/>
        <v>10111</v>
      </c>
      <c r="E89" s="82" t="str">
        <f t="shared" si="5"/>
        <v>1010111</v>
      </c>
      <c r="F89" s="83" t="s">
        <v>353</v>
      </c>
    </row>
    <row r="90" spans="1:6" s="83" customFormat="1" x14ac:dyDescent="0.25">
      <c r="A90" s="82">
        <f t="shared" si="6"/>
        <v>24</v>
      </c>
      <c r="B90" s="82">
        <v>1</v>
      </c>
      <c r="C90" s="82">
        <v>0</v>
      </c>
      <c r="D90" s="82" t="str">
        <f t="shared" si="7"/>
        <v>11000</v>
      </c>
      <c r="E90" s="82" t="str">
        <f t="shared" si="5"/>
        <v>1011000</v>
      </c>
      <c r="F90" s="83" t="s">
        <v>353</v>
      </c>
    </row>
    <row r="91" spans="1:6" s="83" customFormat="1" x14ac:dyDescent="0.25">
      <c r="A91" s="82">
        <f t="shared" si="6"/>
        <v>25</v>
      </c>
      <c r="B91" s="82">
        <v>1</v>
      </c>
      <c r="C91" s="82">
        <v>0</v>
      </c>
      <c r="D91" s="82" t="str">
        <f t="shared" si="7"/>
        <v>11001</v>
      </c>
      <c r="E91" s="82" t="str">
        <f t="shared" si="5"/>
        <v>1011001</v>
      </c>
      <c r="F91" s="83" t="s">
        <v>353</v>
      </c>
    </row>
    <row r="92" spans="1:6" s="83" customFormat="1" x14ac:dyDescent="0.25">
      <c r="A92" s="82">
        <f t="shared" si="6"/>
        <v>26</v>
      </c>
      <c r="B92" s="82">
        <v>1</v>
      </c>
      <c r="C92" s="82">
        <v>0</v>
      </c>
      <c r="D92" s="82" t="str">
        <f t="shared" si="7"/>
        <v>11010</v>
      </c>
      <c r="E92" s="82" t="str">
        <f t="shared" si="5"/>
        <v>1011010</v>
      </c>
      <c r="F92" s="83" t="s">
        <v>353</v>
      </c>
    </row>
    <row r="93" spans="1:6" s="83" customFormat="1" x14ac:dyDescent="0.25">
      <c r="A93" s="82">
        <f t="shared" si="6"/>
        <v>27</v>
      </c>
      <c r="B93" s="82">
        <v>1</v>
      </c>
      <c r="C93" s="82">
        <v>0</v>
      </c>
      <c r="D93" s="82" t="str">
        <f t="shared" si="7"/>
        <v>11011</v>
      </c>
      <c r="E93" s="82" t="str">
        <f t="shared" si="5"/>
        <v>1011011</v>
      </c>
      <c r="F93" s="83" t="s">
        <v>353</v>
      </c>
    </row>
    <row r="94" spans="1:6" s="83" customFormat="1" x14ac:dyDescent="0.25">
      <c r="A94" s="82">
        <f t="shared" si="6"/>
        <v>28</v>
      </c>
      <c r="B94" s="82">
        <v>1</v>
      </c>
      <c r="C94" s="82">
        <v>0</v>
      </c>
      <c r="D94" s="82" t="str">
        <f t="shared" si="7"/>
        <v>11100</v>
      </c>
      <c r="E94" s="82" t="str">
        <f t="shared" si="5"/>
        <v>1011100</v>
      </c>
      <c r="F94" s="83" t="s">
        <v>353</v>
      </c>
    </row>
    <row r="95" spans="1:6" s="83" customFormat="1" x14ac:dyDescent="0.25">
      <c r="A95" s="82">
        <f t="shared" si="6"/>
        <v>29</v>
      </c>
      <c r="B95" s="82">
        <v>1</v>
      </c>
      <c r="C95" s="82">
        <v>0</v>
      </c>
      <c r="D95" s="82" t="str">
        <f t="shared" si="7"/>
        <v>11101</v>
      </c>
      <c r="E95" s="82" t="str">
        <f t="shared" si="5"/>
        <v>1011101</v>
      </c>
      <c r="F95" s="83" t="s">
        <v>353</v>
      </c>
    </row>
    <row r="96" spans="1:6" s="83" customFormat="1" x14ac:dyDescent="0.25">
      <c r="A96" s="82">
        <f t="shared" si="6"/>
        <v>30</v>
      </c>
      <c r="B96" s="82">
        <v>1</v>
      </c>
      <c r="C96" s="82">
        <v>0</v>
      </c>
      <c r="D96" s="82" t="str">
        <f t="shared" si="7"/>
        <v>11110</v>
      </c>
      <c r="E96" s="82" t="str">
        <f t="shared" si="5"/>
        <v>1011110</v>
      </c>
      <c r="F96" s="83" t="s">
        <v>353</v>
      </c>
    </row>
    <row r="97" spans="1:6" s="83" customFormat="1" ht="15.75" thickBot="1" x14ac:dyDescent="0.3">
      <c r="A97" s="82">
        <f t="shared" si="6"/>
        <v>31</v>
      </c>
      <c r="B97" s="82">
        <v>1</v>
      </c>
      <c r="C97" s="82">
        <v>0</v>
      </c>
      <c r="D97" s="82" t="str">
        <f t="shared" si="7"/>
        <v>11111</v>
      </c>
      <c r="E97" s="82" t="str">
        <f t="shared" si="5"/>
        <v>1011111</v>
      </c>
      <c r="F97" s="83" t="s">
        <v>353</v>
      </c>
    </row>
    <row r="98" spans="1:6" s="104" customFormat="1" x14ac:dyDescent="0.25">
      <c r="A98" s="102">
        <v>0</v>
      </c>
      <c r="B98" s="103">
        <v>1</v>
      </c>
      <c r="C98" s="103">
        <v>1</v>
      </c>
      <c r="D98" s="103" t="str">
        <f>DEC2BIN(A98,5)</f>
        <v>00000</v>
      </c>
      <c r="E98" s="103" t="str">
        <f t="shared" ref="E98:E129" si="8">CONCATENATE(B98,C98,D98)</f>
        <v>1100000</v>
      </c>
      <c r="F98" s="104" t="s">
        <v>353</v>
      </c>
    </row>
    <row r="99" spans="1:6" s="107" customFormat="1" x14ac:dyDescent="0.25">
      <c r="A99" s="105">
        <f>A98+1</f>
        <v>1</v>
      </c>
      <c r="B99" s="106">
        <v>1</v>
      </c>
      <c r="C99" s="106">
        <v>1</v>
      </c>
      <c r="D99" s="106" t="str">
        <f t="shared" si="7"/>
        <v>00001</v>
      </c>
      <c r="E99" s="106" t="str">
        <f t="shared" si="8"/>
        <v>1100001</v>
      </c>
      <c r="F99" s="107" t="s">
        <v>197</v>
      </c>
    </row>
    <row r="100" spans="1:6" s="107" customFormat="1" x14ac:dyDescent="0.25">
      <c r="A100" s="105">
        <f t="shared" ref="A100:A129" si="9">A99+1</f>
        <v>2</v>
      </c>
      <c r="B100" s="106">
        <v>1</v>
      </c>
      <c r="C100" s="106">
        <v>1</v>
      </c>
      <c r="D100" s="106" t="str">
        <f t="shared" si="7"/>
        <v>00010</v>
      </c>
      <c r="E100" s="106" t="str">
        <f t="shared" si="8"/>
        <v>1100010</v>
      </c>
      <c r="F100" s="107" t="s">
        <v>353</v>
      </c>
    </row>
    <row r="101" spans="1:6" s="107" customFormat="1" x14ac:dyDescent="0.25">
      <c r="A101" s="105">
        <f t="shared" si="9"/>
        <v>3</v>
      </c>
      <c r="B101" s="106">
        <v>1</v>
      </c>
      <c r="C101" s="106">
        <v>1</v>
      </c>
      <c r="D101" s="106" t="str">
        <f t="shared" si="7"/>
        <v>00011</v>
      </c>
      <c r="E101" s="106" t="str">
        <f t="shared" si="8"/>
        <v>1100011</v>
      </c>
      <c r="F101" s="107" t="s">
        <v>355</v>
      </c>
    </row>
    <row r="102" spans="1:6" s="107" customFormat="1" x14ac:dyDescent="0.25">
      <c r="A102" s="105">
        <f t="shared" si="9"/>
        <v>4</v>
      </c>
      <c r="B102" s="106">
        <v>1</v>
      </c>
      <c r="C102" s="106">
        <v>1</v>
      </c>
      <c r="D102" s="106" t="str">
        <f t="shared" si="7"/>
        <v>00100</v>
      </c>
      <c r="E102" s="106" t="str">
        <f t="shared" si="8"/>
        <v>1100100</v>
      </c>
      <c r="F102" s="107" t="s">
        <v>356</v>
      </c>
    </row>
    <row r="103" spans="1:6" s="107" customFormat="1" x14ac:dyDescent="0.25">
      <c r="A103" s="105">
        <f t="shared" si="9"/>
        <v>5</v>
      </c>
      <c r="B103" s="106">
        <v>1</v>
      </c>
      <c r="C103" s="106">
        <v>1</v>
      </c>
      <c r="D103" s="106" t="str">
        <f t="shared" si="7"/>
        <v>00101</v>
      </c>
      <c r="E103" s="106" t="str">
        <f t="shared" si="8"/>
        <v>1100101</v>
      </c>
      <c r="F103" s="107" t="s">
        <v>357</v>
      </c>
    </row>
    <row r="104" spans="1:6" s="107" customFormat="1" x14ac:dyDescent="0.25">
      <c r="A104" s="105">
        <f t="shared" si="9"/>
        <v>6</v>
      </c>
      <c r="B104" s="106">
        <v>1</v>
      </c>
      <c r="C104" s="106">
        <v>1</v>
      </c>
      <c r="D104" s="106" t="str">
        <f t="shared" si="7"/>
        <v>00110</v>
      </c>
      <c r="E104" s="106" t="str">
        <f t="shared" si="8"/>
        <v>1100110</v>
      </c>
      <c r="F104" s="107" t="s">
        <v>358</v>
      </c>
    </row>
    <row r="105" spans="1:6" s="107" customFormat="1" x14ac:dyDescent="0.25">
      <c r="A105" s="105">
        <f t="shared" si="9"/>
        <v>7</v>
      </c>
      <c r="B105" s="106">
        <v>1</v>
      </c>
      <c r="C105" s="106">
        <v>1</v>
      </c>
      <c r="D105" s="106" t="str">
        <f t="shared" si="7"/>
        <v>00111</v>
      </c>
      <c r="E105" s="106" t="str">
        <f t="shared" si="8"/>
        <v>1100111</v>
      </c>
      <c r="F105" s="107" t="s">
        <v>359</v>
      </c>
    </row>
    <row r="106" spans="1:6" s="107" customFormat="1" x14ac:dyDescent="0.25">
      <c r="A106" s="105">
        <f t="shared" si="9"/>
        <v>8</v>
      </c>
      <c r="B106" s="106">
        <v>1</v>
      </c>
      <c r="C106" s="106">
        <v>1</v>
      </c>
      <c r="D106" s="106" t="str">
        <f t="shared" si="7"/>
        <v>01000</v>
      </c>
      <c r="E106" s="106" t="str">
        <f t="shared" si="8"/>
        <v>1101000</v>
      </c>
      <c r="F106" s="107" t="s">
        <v>342</v>
      </c>
    </row>
    <row r="107" spans="1:6" s="107" customFormat="1" x14ac:dyDescent="0.25">
      <c r="A107" s="105">
        <f t="shared" si="9"/>
        <v>9</v>
      </c>
      <c r="B107" s="106">
        <v>1</v>
      </c>
      <c r="C107" s="106">
        <v>1</v>
      </c>
      <c r="D107" s="106" t="str">
        <f t="shared" si="7"/>
        <v>01001</v>
      </c>
      <c r="E107" s="106" t="str">
        <f t="shared" si="8"/>
        <v>1101001</v>
      </c>
      <c r="F107" s="107" t="s">
        <v>353</v>
      </c>
    </row>
    <row r="108" spans="1:6" s="107" customFormat="1" x14ac:dyDescent="0.25">
      <c r="A108" s="105">
        <f t="shared" si="9"/>
        <v>10</v>
      </c>
      <c r="B108" s="106">
        <v>1</v>
      </c>
      <c r="C108" s="106">
        <v>1</v>
      </c>
      <c r="D108" s="106" t="str">
        <f t="shared" si="7"/>
        <v>01010</v>
      </c>
      <c r="E108" s="106" t="str">
        <f t="shared" si="8"/>
        <v>1101010</v>
      </c>
      <c r="F108" s="107" t="s">
        <v>353</v>
      </c>
    </row>
    <row r="109" spans="1:6" s="107" customFormat="1" x14ac:dyDescent="0.25">
      <c r="A109" s="105">
        <f t="shared" si="9"/>
        <v>11</v>
      </c>
      <c r="B109" s="106">
        <v>1</v>
      </c>
      <c r="C109" s="106">
        <v>1</v>
      </c>
      <c r="D109" s="106" t="str">
        <f t="shared" si="7"/>
        <v>01011</v>
      </c>
      <c r="E109" s="106" t="str">
        <f t="shared" si="8"/>
        <v>1101011</v>
      </c>
      <c r="F109" s="107" t="s">
        <v>353</v>
      </c>
    </row>
    <row r="110" spans="1:6" s="107" customFormat="1" x14ac:dyDescent="0.25">
      <c r="A110" s="105">
        <f t="shared" si="9"/>
        <v>12</v>
      </c>
      <c r="B110" s="106">
        <v>1</v>
      </c>
      <c r="C110" s="106">
        <v>1</v>
      </c>
      <c r="D110" s="106" t="str">
        <f t="shared" si="7"/>
        <v>01100</v>
      </c>
      <c r="E110" s="106" t="str">
        <f t="shared" si="8"/>
        <v>1101100</v>
      </c>
      <c r="F110" s="107" t="s">
        <v>353</v>
      </c>
    </row>
    <row r="111" spans="1:6" s="107" customFormat="1" x14ac:dyDescent="0.25">
      <c r="A111" s="105">
        <f t="shared" si="9"/>
        <v>13</v>
      </c>
      <c r="B111" s="106">
        <v>1</v>
      </c>
      <c r="C111" s="106">
        <v>1</v>
      </c>
      <c r="D111" s="106" t="str">
        <f t="shared" si="7"/>
        <v>01101</v>
      </c>
      <c r="E111" s="106" t="str">
        <f t="shared" si="8"/>
        <v>1101101</v>
      </c>
      <c r="F111" s="107" t="s">
        <v>353</v>
      </c>
    </row>
    <row r="112" spans="1:6" s="107" customFormat="1" x14ac:dyDescent="0.25">
      <c r="A112" s="105">
        <f t="shared" si="9"/>
        <v>14</v>
      </c>
      <c r="B112" s="106">
        <v>1</v>
      </c>
      <c r="C112" s="106">
        <v>1</v>
      </c>
      <c r="D112" s="106" t="str">
        <f t="shared" si="7"/>
        <v>01110</v>
      </c>
      <c r="E112" s="106" t="str">
        <f t="shared" si="8"/>
        <v>1101110</v>
      </c>
      <c r="F112" s="107" t="s">
        <v>353</v>
      </c>
    </row>
    <row r="113" spans="1:6" s="110" customFormat="1" ht="15.75" thickBot="1" x14ac:dyDescent="0.3">
      <c r="A113" s="108">
        <f t="shared" si="9"/>
        <v>15</v>
      </c>
      <c r="B113" s="109">
        <v>1</v>
      </c>
      <c r="C113" s="109">
        <v>1</v>
      </c>
      <c r="D113" s="109" t="str">
        <f t="shared" si="7"/>
        <v>01111</v>
      </c>
      <c r="E113" s="109" t="str">
        <f t="shared" si="8"/>
        <v>1101111</v>
      </c>
      <c r="F113" s="110" t="s">
        <v>353</v>
      </c>
    </row>
    <row r="114" spans="1:6" s="104" customFormat="1" x14ac:dyDescent="0.25">
      <c r="A114" s="102">
        <f t="shared" si="9"/>
        <v>16</v>
      </c>
      <c r="B114" s="103">
        <v>1</v>
      </c>
      <c r="C114" s="103">
        <v>1</v>
      </c>
      <c r="D114" s="103" t="str">
        <f t="shared" si="7"/>
        <v>10000</v>
      </c>
      <c r="E114" s="103" t="str">
        <f t="shared" si="8"/>
        <v>1110000</v>
      </c>
      <c r="F114" s="107" t="s">
        <v>353</v>
      </c>
    </row>
    <row r="115" spans="1:6" s="107" customFormat="1" x14ac:dyDescent="0.25">
      <c r="A115" s="105">
        <f t="shared" si="9"/>
        <v>17</v>
      </c>
      <c r="B115" s="106">
        <v>1</v>
      </c>
      <c r="C115" s="106">
        <v>1</v>
      </c>
      <c r="D115" s="106" t="str">
        <f t="shared" si="7"/>
        <v>10001</v>
      </c>
      <c r="E115" s="106" t="str">
        <f t="shared" si="8"/>
        <v>1110001</v>
      </c>
      <c r="F115" s="107" t="s">
        <v>197</v>
      </c>
    </row>
    <row r="116" spans="1:6" s="107" customFormat="1" x14ac:dyDescent="0.25">
      <c r="A116" s="105">
        <f t="shared" si="9"/>
        <v>18</v>
      </c>
      <c r="B116" s="106">
        <v>1</v>
      </c>
      <c r="C116" s="106">
        <v>1</v>
      </c>
      <c r="D116" s="106" t="str">
        <f t="shared" si="7"/>
        <v>10010</v>
      </c>
      <c r="E116" s="106" t="str">
        <f t="shared" si="8"/>
        <v>1110010</v>
      </c>
      <c r="F116" s="107" t="s">
        <v>353</v>
      </c>
    </row>
    <row r="117" spans="1:6" s="107" customFormat="1" x14ac:dyDescent="0.25">
      <c r="A117" s="105">
        <f t="shared" si="9"/>
        <v>19</v>
      </c>
      <c r="B117" s="106">
        <v>1</v>
      </c>
      <c r="C117" s="106">
        <v>1</v>
      </c>
      <c r="D117" s="106" t="str">
        <f t="shared" si="7"/>
        <v>10011</v>
      </c>
      <c r="E117" s="106" t="str">
        <f t="shared" si="8"/>
        <v>1110011</v>
      </c>
      <c r="F117" s="107" t="s">
        <v>353</v>
      </c>
    </row>
    <row r="118" spans="1:6" s="107" customFormat="1" x14ac:dyDescent="0.25">
      <c r="A118" s="105">
        <f t="shared" si="9"/>
        <v>20</v>
      </c>
      <c r="B118" s="106">
        <v>1</v>
      </c>
      <c r="C118" s="106">
        <v>1</v>
      </c>
      <c r="D118" s="106" t="str">
        <f t="shared" si="7"/>
        <v>10100</v>
      </c>
      <c r="E118" s="106" t="str">
        <f t="shared" si="8"/>
        <v>1110100</v>
      </c>
      <c r="F118" s="107" t="s">
        <v>351</v>
      </c>
    </row>
    <row r="119" spans="1:6" s="107" customFormat="1" x14ac:dyDescent="0.25">
      <c r="A119" s="105">
        <f t="shared" si="9"/>
        <v>21</v>
      </c>
      <c r="B119" s="106">
        <v>1</v>
      </c>
      <c r="C119" s="106">
        <v>1</v>
      </c>
      <c r="D119" s="106" t="str">
        <f t="shared" si="7"/>
        <v>10101</v>
      </c>
      <c r="E119" s="106" t="str">
        <f t="shared" si="8"/>
        <v>1110101</v>
      </c>
      <c r="F119" s="107" t="s">
        <v>352</v>
      </c>
    </row>
    <row r="120" spans="1:6" s="107" customFormat="1" x14ac:dyDescent="0.25">
      <c r="A120" s="105">
        <f t="shared" si="9"/>
        <v>22</v>
      </c>
      <c r="B120" s="106">
        <v>1</v>
      </c>
      <c r="C120" s="106">
        <v>1</v>
      </c>
      <c r="D120" s="106" t="str">
        <f t="shared" si="7"/>
        <v>10110</v>
      </c>
      <c r="E120" s="106" t="str">
        <f t="shared" si="8"/>
        <v>1110110</v>
      </c>
      <c r="F120" s="107" t="s">
        <v>353</v>
      </c>
    </row>
    <row r="121" spans="1:6" s="107" customFormat="1" x14ac:dyDescent="0.25">
      <c r="A121" s="105">
        <f t="shared" si="9"/>
        <v>23</v>
      </c>
      <c r="B121" s="106">
        <v>1</v>
      </c>
      <c r="C121" s="106">
        <v>1</v>
      </c>
      <c r="D121" s="106" t="str">
        <f t="shared" si="7"/>
        <v>10111</v>
      </c>
      <c r="E121" s="106" t="str">
        <f t="shared" si="8"/>
        <v>1110111</v>
      </c>
      <c r="F121" s="107" t="s">
        <v>353</v>
      </c>
    </row>
    <row r="122" spans="1:6" s="107" customFormat="1" x14ac:dyDescent="0.25">
      <c r="A122" s="105">
        <f t="shared" si="9"/>
        <v>24</v>
      </c>
      <c r="B122" s="106">
        <v>1</v>
      </c>
      <c r="C122" s="106">
        <v>1</v>
      </c>
      <c r="D122" s="106" t="str">
        <f t="shared" si="7"/>
        <v>11000</v>
      </c>
      <c r="E122" s="106" t="str">
        <f t="shared" si="8"/>
        <v>1111000</v>
      </c>
      <c r="F122" s="107" t="s">
        <v>353</v>
      </c>
    </row>
    <row r="123" spans="1:6" s="107" customFormat="1" x14ac:dyDescent="0.25">
      <c r="A123" s="105">
        <f t="shared" si="9"/>
        <v>25</v>
      </c>
      <c r="B123" s="106">
        <v>1</v>
      </c>
      <c r="C123" s="106">
        <v>1</v>
      </c>
      <c r="D123" s="106" t="str">
        <f t="shared" si="7"/>
        <v>11001</v>
      </c>
      <c r="E123" s="106" t="str">
        <f t="shared" si="8"/>
        <v>1111001</v>
      </c>
      <c r="F123" s="107" t="s">
        <v>353</v>
      </c>
    </row>
    <row r="124" spans="1:6" s="107" customFormat="1" x14ac:dyDescent="0.25">
      <c r="A124" s="105">
        <f t="shared" si="9"/>
        <v>26</v>
      </c>
      <c r="B124" s="106">
        <v>1</v>
      </c>
      <c r="C124" s="106">
        <v>1</v>
      </c>
      <c r="D124" s="106" t="str">
        <f t="shared" si="7"/>
        <v>11010</v>
      </c>
      <c r="E124" s="106" t="str">
        <f t="shared" si="8"/>
        <v>1111010</v>
      </c>
      <c r="F124" s="107" t="s">
        <v>353</v>
      </c>
    </row>
    <row r="125" spans="1:6" s="107" customFormat="1" x14ac:dyDescent="0.25">
      <c r="A125" s="105">
        <f t="shared" si="9"/>
        <v>27</v>
      </c>
      <c r="B125" s="106">
        <v>1</v>
      </c>
      <c r="C125" s="106">
        <v>1</v>
      </c>
      <c r="D125" s="106" t="str">
        <f t="shared" si="7"/>
        <v>11011</v>
      </c>
      <c r="E125" s="106" t="str">
        <f t="shared" si="8"/>
        <v>1111011</v>
      </c>
      <c r="F125" s="107" t="s">
        <v>353</v>
      </c>
    </row>
    <row r="126" spans="1:6" s="107" customFormat="1" x14ac:dyDescent="0.25">
      <c r="A126" s="105">
        <f t="shared" si="9"/>
        <v>28</v>
      </c>
      <c r="B126" s="106">
        <v>1</v>
      </c>
      <c r="C126" s="106">
        <v>1</v>
      </c>
      <c r="D126" s="106" t="str">
        <f t="shared" si="7"/>
        <v>11100</v>
      </c>
      <c r="E126" s="106" t="str">
        <f t="shared" si="8"/>
        <v>1111100</v>
      </c>
      <c r="F126" s="107" t="s">
        <v>353</v>
      </c>
    </row>
    <row r="127" spans="1:6" s="107" customFormat="1" x14ac:dyDescent="0.25">
      <c r="A127" s="105">
        <f t="shared" si="9"/>
        <v>29</v>
      </c>
      <c r="B127" s="106">
        <v>1</v>
      </c>
      <c r="C127" s="106">
        <v>1</v>
      </c>
      <c r="D127" s="106" t="str">
        <f t="shared" si="7"/>
        <v>11101</v>
      </c>
      <c r="E127" s="106" t="str">
        <f t="shared" si="8"/>
        <v>1111101</v>
      </c>
      <c r="F127" s="107" t="s">
        <v>353</v>
      </c>
    </row>
    <row r="128" spans="1:6" s="107" customFormat="1" x14ac:dyDescent="0.25">
      <c r="A128" s="105">
        <f t="shared" si="9"/>
        <v>30</v>
      </c>
      <c r="B128" s="106">
        <v>1</v>
      </c>
      <c r="C128" s="106">
        <v>1</v>
      </c>
      <c r="D128" s="106" t="str">
        <f t="shared" si="7"/>
        <v>11110</v>
      </c>
      <c r="E128" s="106" t="str">
        <f t="shared" si="8"/>
        <v>1111110</v>
      </c>
      <c r="F128" s="107" t="s">
        <v>353</v>
      </c>
    </row>
    <row r="129" spans="1:6" s="110" customFormat="1" ht="15.75" thickBot="1" x14ac:dyDescent="0.3">
      <c r="A129" s="108">
        <f t="shared" si="9"/>
        <v>31</v>
      </c>
      <c r="B129" s="109">
        <v>1</v>
      </c>
      <c r="C129" s="109">
        <v>1</v>
      </c>
      <c r="D129" s="109" t="str">
        <f t="shared" si="7"/>
        <v>11111</v>
      </c>
      <c r="E129" s="109" t="str">
        <f t="shared" si="8"/>
        <v>1111111</v>
      </c>
      <c r="F129" s="110" t="s">
        <v>353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MIL-STD_1553_Registers</vt:lpstr>
      <vt:lpstr>FAT Result Sheet</vt:lpstr>
      <vt:lpstr>CONV_USB_1553_Registers</vt:lpstr>
      <vt:lpstr>SerialProtocol</vt:lpstr>
      <vt:lpstr>Mode Commands</vt:lpstr>
      <vt:lpstr>MemoryMap</vt:lpstr>
      <vt:lpstr>MemMap</vt:lpstr>
      <vt:lpstr>TX RAM Allocation</vt:lpstr>
      <vt:lpstr>ModeCmds</vt:lpstr>
      <vt:lpstr>CONV_USB_1553_Registers!Print_Area</vt:lpstr>
      <vt:lpstr>'MIL-STD_1553_Registers'!Print_Area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ivor</dc:creator>
  <cp:lastModifiedBy>Ivor Kruger</cp:lastModifiedBy>
  <cp:lastPrinted>2022-07-18T19:13:57Z</cp:lastPrinted>
  <dcterms:created xsi:type="dcterms:W3CDTF">2019-06-18T09:45:00Z</dcterms:created>
  <dcterms:modified xsi:type="dcterms:W3CDTF">2022-10-22T04:39:30Z</dcterms:modified>
</cp:coreProperties>
</file>